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eyza\OneDrive\Documents\BISMILLAH SKRIPSI\Thesis\WebApp\Data\"/>
    </mc:Choice>
  </mc:AlternateContent>
  <xr:revisionPtr revIDLastSave="0" documentId="13_ncr:1_{C14E591F-38B8-4B53-B52D-E246838A146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ongitude and Latitude" sheetId="1" r:id="rId1"/>
    <sheet name="DataAll" sheetId="2" r:id="rId2"/>
    <sheet name="Data" sheetId="3" r:id="rId3"/>
    <sheet name="Glossary" sheetId="4" r:id="rId4"/>
  </sheets>
  <definedNames>
    <definedName name="_xlnm._FilterDatabase" localSheetId="2" hidden="1">Data!$A$1:$T$1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 a="1"/>
  <c r="Q3" i="3" s="1"/>
  <c r="Q4" i="3" a="1"/>
  <c r="Q4" i="3"/>
  <c r="Q5" i="3" a="1"/>
  <c r="Q5" i="3" s="1"/>
  <c r="Q6" i="3" a="1"/>
  <c r="Q6" i="3" s="1"/>
  <c r="Q7" i="3" a="1"/>
  <c r="Q7" i="3" s="1"/>
  <c r="Q8" i="3" a="1"/>
  <c r="Q8" i="3" s="1"/>
  <c r="Q9" i="3" a="1"/>
  <c r="Q9" i="3" s="1"/>
  <c r="Q10" i="3" a="1"/>
  <c r="Q10" i="3"/>
  <c r="Q11" i="3" a="1"/>
  <c r="Q11" i="3" s="1"/>
  <c r="Q12" i="3" a="1"/>
  <c r="Q12" i="3" s="1"/>
  <c r="Q13" i="3" a="1"/>
  <c r="Q13" i="3" s="1"/>
  <c r="Q14" i="3" a="1"/>
  <c r="Q14" i="3" s="1"/>
  <c r="Q15" i="3" a="1"/>
  <c r="Q15" i="3" s="1"/>
  <c r="Q16" i="3" a="1"/>
  <c r="Q16" i="3" s="1"/>
  <c r="Q17" i="3" a="1"/>
  <c r="Q17" i="3" s="1"/>
  <c r="Q18" i="3" a="1"/>
  <c r="Q18" i="3"/>
  <c r="Q19" i="3" a="1"/>
  <c r="Q19" i="3" s="1"/>
  <c r="Q20" i="3" a="1"/>
  <c r="Q20" i="3" s="1"/>
  <c r="Q21" i="3" a="1"/>
  <c r="Q21" i="3" s="1"/>
  <c r="Q22" i="3" a="1"/>
  <c r="Q22" i="3" s="1"/>
  <c r="Q23" i="3" a="1"/>
  <c r="Q23" i="3" s="1"/>
  <c r="Q24" i="3" a="1"/>
  <c r="Q24" i="3" s="1"/>
  <c r="Q25" i="3" a="1"/>
  <c r="Q25" i="3" s="1"/>
  <c r="Q26" i="3" a="1"/>
  <c r="Q26" i="3"/>
  <c r="Q27" i="3" a="1"/>
  <c r="Q27" i="3" s="1"/>
  <c r="Q28" i="3" a="1"/>
  <c r="Q28" i="3" s="1"/>
  <c r="Q29" i="3" a="1"/>
  <c r="Q29" i="3" s="1"/>
  <c r="Q30" i="3" a="1"/>
  <c r="Q30" i="3" s="1"/>
  <c r="Q31" i="3" a="1"/>
  <c r="Q31" i="3" s="1"/>
  <c r="Q32" i="3" a="1"/>
  <c r="Q32" i="3" s="1"/>
  <c r="Q33" i="3" a="1"/>
  <c r="Q33" i="3" s="1"/>
  <c r="Q34" i="3" a="1"/>
  <c r="Q34" i="3"/>
  <c r="Q35" i="3" a="1"/>
  <c r="Q35" i="3" s="1"/>
  <c r="Q36" i="3" a="1"/>
  <c r="Q36" i="3" s="1"/>
  <c r="Q37" i="3" a="1"/>
  <c r="Q37" i="3" s="1"/>
  <c r="Q38" i="3" a="1"/>
  <c r="Q38" i="3"/>
  <c r="Q39" i="3" a="1"/>
  <c r="Q39" i="3" s="1"/>
  <c r="Q40" i="3" a="1"/>
  <c r="Q40" i="3" s="1"/>
  <c r="Q41" i="3" a="1"/>
  <c r="Q41" i="3" s="1"/>
  <c r="Q42" i="3" a="1"/>
  <c r="Q42" i="3"/>
  <c r="Q43" i="3" a="1"/>
  <c r="Q43" i="3" s="1"/>
  <c r="Q44" i="3" a="1"/>
  <c r="Q44" i="3" s="1"/>
  <c r="Q45" i="3" a="1"/>
  <c r="Q45" i="3" s="1"/>
  <c r="Q46" i="3" a="1"/>
  <c r="Q46" i="3"/>
  <c r="Q47" i="3" a="1"/>
  <c r="Q47" i="3" s="1"/>
  <c r="Q48" i="3" a="1"/>
  <c r="Q48" i="3" s="1"/>
  <c r="Q49" i="3" a="1"/>
  <c r="Q49" i="3" s="1"/>
  <c r="Q50" i="3" a="1"/>
  <c r="Q50" i="3"/>
  <c r="Q51" i="3" a="1"/>
  <c r="Q51" i="3" s="1"/>
  <c r="Q52" i="3" a="1"/>
  <c r="Q52" i="3" s="1"/>
  <c r="Q53" i="3" a="1"/>
  <c r="Q53" i="3" s="1"/>
  <c r="Q54" i="3" a="1"/>
  <c r="Q54" i="3"/>
  <c r="Q55" i="3" a="1"/>
  <c r="Q55" i="3" s="1"/>
  <c r="Q56" i="3" a="1"/>
  <c r="Q56" i="3" s="1"/>
  <c r="Q57" i="3" a="1"/>
  <c r="Q57" i="3" s="1"/>
  <c r="Q58" i="3" a="1"/>
  <c r="Q58" i="3"/>
  <c r="Q59" i="3" a="1"/>
  <c r="Q59" i="3" s="1"/>
  <c r="Q60" i="3" a="1"/>
  <c r="Q60" i="3" s="1"/>
  <c r="Q61" i="3" a="1"/>
  <c r="Q61" i="3" s="1"/>
  <c r="Q62" i="3" a="1"/>
  <c r="Q62" i="3"/>
  <c r="Q63" i="3" a="1"/>
  <c r="Q63" i="3" s="1"/>
  <c r="Q64" i="3" a="1"/>
  <c r="Q64" i="3" s="1"/>
  <c r="Q65" i="3" a="1"/>
  <c r="Q65" i="3" s="1"/>
  <c r="Q66" i="3" a="1"/>
  <c r="Q66" i="3"/>
  <c r="Q67" i="3" a="1"/>
  <c r="Q67" i="3" s="1"/>
  <c r="Q68" i="3" a="1"/>
  <c r="Q68" i="3" s="1"/>
  <c r="Q69" i="3" a="1"/>
  <c r="Q69" i="3" s="1"/>
  <c r="Q70" i="3" a="1"/>
  <c r="Q70" i="3"/>
  <c r="Q71" i="3" a="1"/>
  <c r="Q71" i="3" s="1"/>
  <c r="Q72" i="3" a="1"/>
  <c r="Q72" i="3" s="1"/>
  <c r="Q73" i="3" a="1"/>
  <c r="Q73" i="3" s="1"/>
  <c r="Q74" i="3" a="1"/>
  <c r="Q74" i="3"/>
  <c r="Q75" i="3" a="1"/>
  <c r="Q75" i="3" s="1"/>
  <c r="Q76" i="3" a="1"/>
  <c r="Q76" i="3"/>
  <c r="Q77" i="3" a="1"/>
  <c r="Q77" i="3" s="1"/>
  <c r="Q78" i="3" a="1"/>
  <c r="Q78" i="3"/>
  <c r="Q79" i="3" a="1"/>
  <c r="Q79" i="3" s="1"/>
  <c r="Q80" i="3" a="1"/>
  <c r="Q80" i="3" s="1"/>
  <c r="Q81" i="3" a="1"/>
  <c r="Q81" i="3" s="1"/>
  <c r="Q82" i="3" a="1"/>
  <c r="Q82" i="3"/>
  <c r="Q83" i="3" a="1"/>
  <c r="Q83" i="3" s="1"/>
  <c r="Q84" i="3" a="1"/>
  <c r="Q84" i="3"/>
  <c r="Q85" i="3" a="1"/>
  <c r="Q85" i="3" s="1"/>
  <c r="Q86" i="3" a="1"/>
  <c r="Q86" i="3"/>
  <c r="Q87" i="3" a="1"/>
  <c r="Q87" i="3" s="1"/>
  <c r="Q88" i="3" a="1"/>
  <c r="Q88" i="3" s="1"/>
  <c r="Q89" i="3" a="1"/>
  <c r="Q89" i="3" s="1"/>
  <c r="Q90" i="3" a="1"/>
  <c r="Q90" i="3"/>
  <c r="Q91" i="3" a="1"/>
  <c r="Q91" i="3" s="1"/>
  <c r="Q92" i="3" a="1"/>
  <c r="Q92" i="3"/>
  <c r="Q93" i="3" a="1"/>
  <c r="Q93" i="3" s="1"/>
  <c r="Q94" i="3" a="1"/>
  <c r="Q94" i="3"/>
  <c r="Q95" i="3" a="1"/>
  <c r="Q95" i="3" s="1"/>
  <c r="Q96" i="3" a="1"/>
  <c r="Q96" i="3" s="1"/>
  <c r="Q97" i="3" a="1"/>
  <c r="Q97" i="3" s="1"/>
  <c r="Q98" i="3" a="1"/>
  <c r="Q98" i="3"/>
  <c r="Q99" i="3" a="1"/>
  <c r="Q99" i="3" s="1"/>
  <c r="Q100" i="3" a="1"/>
  <c r="Q100" i="3"/>
  <c r="Q101" i="3" a="1"/>
  <c r="Q101" i="3" s="1"/>
  <c r="Q102" i="3" a="1"/>
  <c r="Q102" i="3"/>
  <c r="Q103" i="3" a="1"/>
  <c r="Q103" i="3" s="1"/>
  <c r="Q104" i="3" a="1"/>
  <c r="Q104" i="3" s="1"/>
  <c r="Q105" i="3" a="1"/>
  <c r="Q105" i="3" s="1"/>
  <c r="Q106" i="3" a="1"/>
  <c r="Q106" i="3"/>
  <c r="Q107" i="3" a="1"/>
  <c r="Q107" i="3" s="1"/>
  <c r="Q108" i="3" a="1"/>
  <c r="Q108" i="3"/>
  <c r="Q109" i="3" a="1"/>
  <c r="Q109" i="3" s="1"/>
  <c r="Q110" i="3" a="1"/>
  <c r="Q110" i="3"/>
  <c r="Q111" i="3" a="1"/>
  <c r="Q111" i="3" s="1"/>
  <c r="Q112" i="3" a="1"/>
  <c r="Q112" i="3" s="1"/>
  <c r="Q113" i="3" a="1"/>
  <c r="Q113" i="3" s="1"/>
  <c r="Q114" i="3" a="1"/>
  <c r="Q114" i="3"/>
  <c r="Q115" i="3" a="1"/>
  <c r="Q115" i="3" s="1"/>
  <c r="Q116" i="3" a="1"/>
  <c r="Q116" i="3"/>
  <c r="Q117" i="3" a="1"/>
  <c r="Q117" i="3" s="1"/>
  <c r="Q118" i="3" a="1"/>
  <c r="Q118" i="3"/>
  <c r="Q119" i="3" a="1"/>
  <c r="Q119" i="3" s="1"/>
  <c r="Q120" i="3" a="1"/>
  <c r="Q120" i="3" s="1"/>
  <c r="Q121" i="3" a="1"/>
  <c r="Q121" i="3" s="1"/>
  <c r="Q122" i="3" a="1"/>
  <c r="Q122" i="3"/>
  <c r="Q123" i="3" a="1"/>
  <c r="Q123" i="3" s="1"/>
  <c r="Q124" i="3" a="1"/>
  <c r="Q124" i="3"/>
  <c r="Q125" i="3" a="1"/>
  <c r="Q125" i="3" s="1"/>
  <c r="Q126" i="3" a="1"/>
  <c r="Q126" i="3"/>
  <c r="Q127" i="3" a="1"/>
  <c r="Q127" i="3" s="1"/>
  <c r="Q128" i="3" a="1"/>
  <c r="Q128" i="3" s="1"/>
  <c r="Q129" i="3" a="1"/>
  <c r="Q129" i="3" s="1"/>
  <c r="Q130" i="3" a="1"/>
  <c r="Q130" i="3"/>
  <c r="Q131" i="3" a="1"/>
  <c r="Q131" i="3" s="1"/>
  <c r="Q132" i="3" a="1"/>
  <c r="Q132" i="3"/>
  <c r="Q133" i="3" a="1"/>
  <c r="Q133" i="3" s="1"/>
  <c r="Q134" i="3" a="1"/>
  <c r="Q134" i="3"/>
  <c r="Q135" i="3" a="1"/>
  <c r="Q135" i="3" s="1"/>
  <c r="Q136" i="3" a="1"/>
  <c r="Q136" i="3" s="1"/>
  <c r="Q137" i="3" a="1"/>
  <c r="Q137" i="3" s="1"/>
  <c r="Q138" i="3" a="1"/>
  <c r="Q138" i="3"/>
  <c r="Q139" i="3" a="1"/>
  <c r="Q139" i="3" s="1"/>
  <c r="Q140" i="3" a="1"/>
  <c r="Q140" i="3"/>
  <c r="Q141" i="3" a="1"/>
  <c r="Q141" i="3" s="1"/>
  <c r="Q142" i="3" a="1"/>
  <c r="Q142" i="3"/>
  <c r="Q143" i="3" a="1"/>
  <c r="Q143" i="3" s="1"/>
  <c r="Q144" i="3" a="1"/>
  <c r="Q144" i="3" s="1"/>
  <c r="Q145" i="3" a="1"/>
  <c r="Q145" i="3" s="1"/>
  <c r="Q146" i="3" a="1"/>
  <c r="Q146" i="3"/>
  <c r="Q147" i="3" a="1"/>
  <c r="Q147" i="3" s="1"/>
  <c r="Q148" i="3" a="1"/>
  <c r="Q148" i="3"/>
  <c r="Q149" i="3" a="1"/>
  <c r="Q149" i="3" s="1"/>
  <c r="Q150" i="3" a="1"/>
  <c r="Q150" i="3"/>
  <c r="Q151" i="3" a="1"/>
  <c r="Q151" i="3" s="1"/>
  <c r="Q152" i="3" a="1"/>
  <c r="Q152" i="3" s="1"/>
  <c r="Q153" i="3" a="1"/>
  <c r="Q153" i="3" s="1"/>
  <c r="Q154" i="3" a="1"/>
  <c r="Q154" i="3"/>
  <c r="Q155" i="3" a="1"/>
  <c r="Q155" i="3" s="1"/>
  <c r="Q156" i="3" a="1"/>
  <c r="Q156" i="3"/>
  <c r="Q157" i="3" a="1"/>
  <c r="Q157" i="3" s="1"/>
  <c r="Q158" i="3" a="1"/>
  <c r="Q158" i="3"/>
  <c r="Q159" i="3" a="1"/>
  <c r="Q159" i="3" s="1"/>
  <c r="Q160" i="3" a="1"/>
  <c r="Q160" i="3" s="1"/>
  <c r="Q161" i="3" a="1"/>
  <c r="Q161" i="3" s="1"/>
  <c r="Q162" i="3" a="1"/>
  <c r="Q162" i="3" s="1"/>
  <c r="Q163" i="3" a="1"/>
  <c r="Q163" i="3" s="1"/>
  <c r="Q164" i="3" a="1"/>
  <c r="Q164" i="3"/>
  <c r="Q165" i="3" a="1"/>
  <c r="Q165" i="3" s="1"/>
  <c r="Q166" i="3" a="1"/>
  <c r="Q166" i="3"/>
  <c r="Q167" i="3" a="1"/>
  <c r="Q167" i="3" s="1"/>
  <c r="Q168" i="3" a="1"/>
  <c r="Q168" i="3" s="1"/>
  <c r="Q169" i="3" a="1"/>
  <c r="Q169" i="3" s="1"/>
  <c r="Q170" i="3" a="1"/>
  <c r="Q170" i="3"/>
  <c r="Q171" i="3" a="1"/>
  <c r="Q171" i="3" s="1"/>
  <c r="Q172" i="3" a="1"/>
  <c r="Q172" i="3"/>
  <c r="Q173" i="3" a="1"/>
  <c r="Q173" i="3" s="1"/>
  <c r="Q174" i="3" a="1"/>
  <c r="Q174" i="3" s="1"/>
  <c r="Q175" i="3" a="1"/>
  <c r="Q175" i="3" s="1"/>
  <c r="Q176" i="3" a="1"/>
  <c r="Q176" i="3" s="1"/>
  <c r="Q177" i="3" a="1"/>
  <c r="Q177" i="3" s="1"/>
  <c r="Q178" i="3" a="1"/>
  <c r="Q178" i="3"/>
  <c r="Q179" i="3" a="1"/>
  <c r="Q179" i="3" s="1"/>
  <c r="Q180" i="3" a="1"/>
  <c r="Q180" i="3"/>
  <c r="Q181" i="3" a="1"/>
  <c r="Q181" i="3" s="1"/>
  <c r="Q182" i="3" a="1"/>
  <c r="Q182" i="3" s="1"/>
  <c r="Q183" i="3" a="1"/>
  <c r="Q183" i="3" s="1"/>
  <c r="Q184" i="3" a="1"/>
  <c r="Q184" i="3" s="1"/>
  <c r="Q185" i="3" a="1"/>
  <c r="Q185" i="3" s="1"/>
  <c r="Q186" i="3" a="1"/>
  <c r="Q186" i="3"/>
  <c r="Q187" i="3" a="1"/>
  <c r="Q187" i="3" s="1"/>
  <c r="Q188" i="3" a="1"/>
  <c r="Q188" i="3"/>
  <c r="Q189" i="3" a="1"/>
  <c r="Q189" i="3" s="1"/>
  <c r="Q190" i="3" a="1"/>
  <c r="Q190" i="3" s="1"/>
  <c r="Q191" i="3" a="1"/>
  <c r="Q191" i="3" s="1"/>
  <c r="Q192" i="3" a="1"/>
  <c r="Q192" i="3" s="1"/>
  <c r="Q193" i="3" a="1"/>
  <c r="Q193" i="3" s="1"/>
  <c r="Q194" i="3" a="1"/>
  <c r="Q194" i="3"/>
  <c r="Q195" i="3" a="1"/>
  <c r="Q195" i="3" s="1"/>
  <c r="Q196" i="3" a="1"/>
  <c r="Q196" i="3"/>
  <c r="Q197" i="3" a="1"/>
  <c r="Q197" i="3" s="1"/>
  <c r="Q198" i="3" a="1"/>
  <c r="Q198" i="3" s="1"/>
  <c r="Q199" i="3" a="1"/>
  <c r="Q199" i="3" s="1"/>
  <c r="Q200" i="3" a="1"/>
  <c r="Q200" i="3" s="1"/>
  <c r="Q201" i="3" a="1"/>
  <c r="Q201" i="3" s="1"/>
  <c r="Q202" i="3" a="1"/>
  <c r="Q202" i="3"/>
  <c r="Q203" i="3" a="1"/>
  <c r="Q203" i="3" s="1"/>
  <c r="Q204" i="3" a="1"/>
  <c r="Q204" i="3"/>
  <c r="Q205" i="3" a="1"/>
  <c r="Q205" i="3" s="1"/>
  <c r="Q206" i="3" a="1"/>
  <c r="Q206" i="3" s="1"/>
  <c r="Q207" i="3" a="1"/>
  <c r="Q207" i="3" s="1"/>
  <c r="Q208" i="3" a="1"/>
  <c r="Q208" i="3" s="1"/>
  <c r="Q209" i="3" a="1"/>
  <c r="Q209" i="3" s="1"/>
  <c r="Q210" i="3" a="1"/>
  <c r="Q210" i="3"/>
  <c r="Q211" i="3" a="1"/>
  <c r="Q211" i="3" s="1"/>
  <c r="Q212" i="3" a="1"/>
  <c r="Q212" i="3"/>
  <c r="Q213" i="3" a="1"/>
  <c r="Q213" i="3" s="1"/>
  <c r="Q214" i="3" a="1"/>
  <c r="Q214" i="3" s="1"/>
  <c r="Q215" i="3" a="1"/>
  <c r="Q215" i="3" s="1"/>
  <c r="Q216" i="3" a="1"/>
  <c r="Q216" i="3" s="1"/>
  <c r="Q217" i="3" a="1"/>
  <c r="Q217" i="3" s="1"/>
  <c r="Q218" i="3" a="1"/>
  <c r="Q218" i="3"/>
  <c r="Q219" i="3" a="1"/>
  <c r="Q219" i="3" s="1"/>
  <c r="Q220" i="3" a="1"/>
  <c r="Q220" i="3"/>
  <c r="Q221" i="3" a="1"/>
  <c r="Q221" i="3" s="1"/>
  <c r="Q222" i="3" a="1"/>
  <c r="Q222" i="3" s="1"/>
  <c r="Q223" i="3" a="1"/>
  <c r="Q223" i="3" s="1"/>
  <c r="Q224" i="3" a="1"/>
  <c r="Q224" i="3" s="1"/>
  <c r="Q225" i="3" a="1"/>
  <c r="Q225" i="3" s="1"/>
  <c r="Q226" i="3" a="1"/>
  <c r="Q226" i="3"/>
  <c r="Q227" i="3" a="1"/>
  <c r="Q227" i="3" s="1"/>
  <c r="Q228" i="3" a="1"/>
  <c r="Q228" i="3"/>
  <c r="Q229" i="3" a="1"/>
  <c r="Q229" i="3" s="1"/>
  <c r="Q230" i="3" a="1"/>
  <c r="Q230" i="3" s="1"/>
  <c r="Q231" i="3" a="1"/>
  <c r="Q231" i="3" s="1"/>
  <c r="Q232" i="3" a="1"/>
  <c r="Q232" i="3" s="1"/>
  <c r="Q233" i="3" a="1"/>
  <c r="Q233" i="3" s="1"/>
  <c r="Q234" i="3" a="1"/>
  <c r="Q234" i="3"/>
  <c r="Q235" i="3" a="1"/>
  <c r="Q235" i="3" s="1"/>
  <c r="Q236" i="3" a="1"/>
  <c r="Q236" i="3"/>
  <c r="Q237" i="3" a="1"/>
  <c r="Q237" i="3" s="1"/>
  <c r="Q238" i="3" a="1"/>
  <c r="Q238" i="3" s="1"/>
  <c r="Q239" i="3" a="1"/>
  <c r="Q239" i="3" s="1"/>
  <c r="Q240" i="3" a="1"/>
  <c r="Q240" i="3" s="1"/>
  <c r="Q241" i="3" a="1"/>
  <c r="Q241" i="3" s="1"/>
  <c r="Q242" i="3" a="1"/>
  <c r="Q242" i="3"/>
  <c r="Q243" i="3" a="1"/>
  <c r="Q243" i="3" s="1"/>
  <c r="Q244" i="3" a="1"/>
  <c r="Q244" i="3"/>
  <c r="Q245" i="3" a="1"/>
  <c r="Q245" i="3" s="1"/>
  <c r="Q246" i="3" a="1"/>
  <c r="Q246" i="3" s="1"/>
  <c r="Q247" i="3" a="1"/>
  <c r="Q247" i="3" s="1"/>
  <c r="Q248" i="3" a="1"/>
  <c r="Q248" i="3" s="1"/>
  <c r="Q249" i="3" a="1"/>
  <c r="Q249" i="3" s="1"/>
  <c r="Q250" i="3" a="1"/>
  <c r="Q250" i="3"/>
  <c r="Q251" i="3" a="1"/>
  <c r="Q251" i="3" s="1"/>
  <c r="Q252" i="3" a="1"/>
  <c r="Q252" i="3"/>
  <c r="Q253" i="3" a="1"/>
  <c r="Q253" i="3" s="1"/>
  <c r="Q254" i="3" a="1"/>
  <c r="Q254" i="3" s="1"/>
  <c r="Q255" i="3" a="1"/>
  <c r="Q255" i="3" s="1"/>
  <c r="Q256" i="3" a="1"/>
  <c r="Q256" i="3" s="1"/>
  <c r="Q257" i="3" a="1"/>
  <c r="Q257" i="3" s="1"/>
  <c r="Q258" i="3" a="1"/>
  <c r="Q258" i="3"/>
  <c r="Q259" i="3" a="1"/>
  <c r="Q259" i="3" s="1"/>
  <c r="Q260" i="3" a="1"/>
  <c r="Q260" i="3"/>
  <c r="Q261" i="3" a="1"/>
  <c r="Q261" i="3" s="1"/>
  <c r="Q262" i="3" a="1"/>
  <c r="Q262" i="3" s="1"/>
  <c r="Q263" i="3" a="1"/>
  <c r="Q263" i="3" s="1"/>
  <c r="Q264" i="3" a="1"/>
  <c r="Q264" i="3" s="1"/>
  <c r="Q265" i="3" a="1"/>
  <c r="Q265" i="3" s="1"/>
  <c r="Q266" i="3" a="1"/>
  <c r="Q266" i="3"/>
  <c r="Q267" i="3" a="1"/>
  <c r="Q267" i="3" s="1"/>
  <c r="Q268" i="3" a="1"/>
  <c r="Q268" i="3"/>
  <c r="Q269" i="3" a="1"/>
  <c r="Q269" i="3" s="1"/>
  <c r="Q270" i="3" a="1"/>
  <c r="Q270" i="3" s="1"/>
  <c r="Q271" i="3" a="1"/>
  <c r="Q271" i="3" s="1"/>
  <c r="Q272" i="3" a="1"/>
  <c r="Q272" i="3" s="1"/>
  <c r="Q273" i="3" a="1"/>
  <c r="Q273" i="3" s="1"/>
  <c r="Q274" i="3" a="1"/>
  <c r="Q274" i="3"/>
  <c r="Q275" i="3" a="1"/>
  <c r="Q275" i="3" s="1"/>
  <c r="Q276" i="3" a="1"/>
  <c r="Q276" i="3"/>
  <c r="Q277" i="3" a="1"/>
  <c r="Q277" i="3" s="1"/>
  <c r="Q278" i="3" a="1"/>
  <c r="Q278" i="3" s="1"/>
  <c r="Q279" i="3" a="1"/>
  <c r="Q279" i="3" s="1"/>
  <c r="Q280" i="3" a="1"/>
  <c r="Q280" i="3" s="1"/>
  <c r="Q281" i="3" a="1"/>
  <c r="Q281" i="3" s="1"/>
  <c r="Q282" i="3" a="1"/>
  <c r="Q282" i="3"/>
  <c r="Q283" i="3" a="1"/>
  <c r="Q283" i="3" s="1"/>
  <c r="Q284" i="3" a="1"/>
  <c r="Q284" i="3"/>
  <c r="Q285" i="3" a="1"/>
  <c r="Q285" i="3" s="1"/>
  <c r="Q286" i="3" a="1"/>
  <c r="Q286" i="3" s="1"/>
  <c r="Q287" i="3" a="1"/>
  <c r="Q287" i="3" s="1"/>
  <c r="Q288" i="3" a="1"/>
  <c r="Q288" i="3" s="1"/>
  <c r="Q289" i="3" a="1"/>
  <c r="Q289" i="3" s="1"/>
  <c r="Q290" i="3" a="1"/>
  <c r="Q290" i="3"/>
  <c r="Q291" i="3" a="1"/>
  <c r="Q291" i="3" s="1"/>
  <c r="Q292" i="3" a="1"/>
  <c r="Q292" i="3"/>
  <c r="Q293" i="3" a="1"/>
  <c r="Q293" i="3" s="1"/>
  <c r="Q294" i="3" a="1"/>
  <c r="Q294" i="3" s="1"/>
  <c r="Q295" i="3" a="1"/>
  <c r="Q295" i="3" s="1"/>
  <c r="Q296" i="3" a="1"/>
  <c r="Q296" i="3" s="1"/>
  <c r="Q297" i="3" a="1"/>
  <c r="Q297" i="3" s="1"/>
  <c r="Q298" i="3" a="1"/>
  <c r="Q298" i="3"/>
  <c r="Q299" i="3" a="1"/>
  <c r="Q299" i="3" s="1"/>
  <c r="Q300" i="3" a="1"/>
  <c r="Q300" i="3"/>
  <c r="Q301" i="3" a="1"/>
  <c r="Q301" i="3" s="1"/>
  <c r="Q302" i="3" a="1"/>
  <c r="Q302" i="3" s="1"/>
  <c r="Q303" i="3" a="1"/>
  <c r="Q303" i="3" s="1"/>
  <c r="Q304" i="3" a="1"/>
  <c r="Q304" i="3" s="1"/>
  <c r="Q305" i="3" a="1"/>
  <c r="Q305" i="3" s="1"/>
  <c r="Q306" i="3" a="1"/>
  <c r="Q306" i="3"/>
  <c r="Q307" i="3" a="1"/>
  <c r="Q307" i="3" s="1"/>
  <c r="Q308" i="3" a="1"/>
  <c r="Q308" i="3" s="1"/>
  <c r="Q309" i="3" a="1"/>
  <c r="Q309" i="3" s="1"/>
  <c r="Q310" i="3" a="1"/>
  <c r="Q310" i="3" s="1"/>
  <c r="Q311" i="3" a="1"/>
  <c r="Q311" i="3" s="1"/>
  <c r="Q312" i="3" a="1"/>
  <c r="Q312" i="3" s="1"/>
  <c r="Q313" i="3" a="1"/>
  <c r="Q313" i="3" s="1"/>
  <c r="Q314" i="3" a="1"/>
  <c r="Q314" i="3"/>
  <c r="Q315" i="3" a="1"/>
  <c r="Q315" i="3" s="1"/>
  <c r="Q316" i="3" a="1"/>
  <c r="Q316" i="3" s="1"/>
  <c r="Q317" i="3" a="1"/>
  <c r="Q317" i="3" s="1"/>
  <c r="Q318" i="3" a="1"/>
  <c r="Q318" i="3" s="1"/>
  <c r="Q319" i="3" a="1"/>
  <c r="Q319" i="3" s="1"/>
  <c r="Q320" i="3" a="1"/>
  <c r="Q320" i="3" s="1"/>
  <c r="Q321" i="3" a="1"/>
  <c r="Q321" i="3" s="1"/>
  <c r="Q322" i="3" a="1"/>
  <c r="Q322" i="3"/>
  <c r="Q323" i="3" a="1"/>
  <c r="Q323" i="3" s="1"/>
  <c r="Q324" i="3" a="1"/>
  <c r="Q324" i="3"/>
  <c r="Q325" i="3" a="1"/>
  <c r="Q325" i="3" s="1"/>
  <c r="Q326" i="3" a="1"/>
  <c r="Q326" i="3" s="1"/>
  <c r="Q327" i="3" a="1"/>
  <c r="Q327" i="3" s="1"/>
  <c r="Q328" i="3" a="1"/>
  <c r="Q328" i="3" s="1"/>
  <c r="Q329" i="3" a="1"/>
  <c r="Q329" i="3" s="1"/>
  <c r="Q330" i="3" a="1"/>
  <c r="Q330" i="3"/>
  <c r="Q331" i="3" a="1"/>
  <c r="Q331" i="3" s="1"/>
  <c r="Q332" i="3" a="1"/>
  <c r="Q332" i="3"/>
  <c r="Q333" i="3" a="1"/>
  <c r="Q333" i="3" s="1"/>
  <c r="Q334" i="3" a="1"/>
  <c r="Q334" i="3" s="1"/>
  <c r="Q335" i="3" a="1"/>
  <c r="Q335" i="3" s="1"/>
  <c r="Q336" i="3" a="1"/>
  <c r="Q336" i="3" s="1"/>
  <c r="Q337" i="3" a="1"/>
  <c r="Q337" i="3" s="1"/>
  <c r="Q338" i="3" a="1"/>
  <c r="Q338" i="3"/>
  <c r="Q339" i="3" a="1"/>
  <c r="Q339" i="3" s="1"/>
  <c r="Q340" i="3" a="1"/>
  <c r="Q340" i="3" s="1"/>
  <c r="Q341" i="3" a="1"/>
  <c r="Q341" i="3" s="1"/>
  <c r="Q342" i="3" a="1"/>
  <c r="Q342" i="3" s="1"/>
  <c r="Q343" i="3" a="1"/>
  <c r="Q343" i="3" s="1"/>
  <c r="Q344" i="3" a="1"/>
  <c r="Q344" i="3"/>
  <c r="Q345" i="3" a="1"/>
  <c r="Q345" i="3" s="1"/>
  <c r="Q346" i="3" a="1"/>
  <c r="Q346" i="3"/>
  <c r="Q347" i="3" a="1"/>
  <c r="Q347" i="3" s="1"/>
  <c r="Q348" i="3" a="1"/>
  <c r="Q348" i="3"/>
  <c r="Q349" i="3" a="1"/>
  <c r="Q349" i="3" s="1"/>
  <c r="Q350" i="3" a="1"/>
  <c r="Q350" i="3" s="1"/>
  <c r="Q351" i="3" a="1"/>
  <c r="Q351" i="3" s="1"/>
  <c r="Q352" i="3" a="1"/>
  <c r="Q352" i="3"/>
  <c r="Q353" i="3" a="1"/>
  <c r="Q353" i="3" s="1"/>
  <c r="Q354" i="3" a="1"/>
  <c r="Q354" i="3"/>
  <c r="Q355" i="3" a="1"/>
  <c r="Q355" i="3" s="1"/>
  <c r="Q356" i="3" a="1"/>
  <c r="Q356" i="3" s="1"/>
  <c r="Q357" i="3" a="1"/>
  <c r="Q357" i="3" s="1"/>
  <c r="Q358" i="3" a="1"/>
  <c r="Q358" i="3" s="1"/>
  <c r="Q359" i="3" a="1"/>
  <c r="Q359" i="3" s="1"/>
  <c r="Q360" i="3" a="1"/>
  <c r="Q360" i="3"/>
  <c r="Q361" i="3" a="1"/>
  <c r="Q361" i="3" s="1"/>
  <c r="Q362" i="3" a="1"/>
  <c r="Q362" i="3"/>
  <c r="Q363" i="3" a="1"/>
  <c r="Q363" i="3" s="1"/>
  <c r="Q364" i="3" a="1"/>
  <c r="Q364" i="3" s="1"/>
  <c r="Q365" i="3" a="1"/>
  <c r="Q365" i="3" s="1"/>
  <c r="Q366" i="3" a="1"/>
  <c r="Q366" i="3" s="1"/>
  <c r="Q367" i="3" a="1"/>
  <c r="Q367" i="3" s="1"/>
  <c r="Q368" i="3" a="1"/>
  <c r="Q368" i="3"/>
  <c r="Q369" i="3" a="1"/>
  <c r="Q369" i="3" s="1"/>
  <c r="Q370" i="3" a="1"/>
  <c r="Q370" i="3"/>
  <c r="Q371" i="3" a="1"/>
  <c r="Q371" i="3" s="1"/>
  <c r="Q372" i="3" a="1"/>
  <c r="Q372" i="3"/>
  <c r="Q373" i="3" a="1"/>
  <c r="Q373" i="3" s="1"/>
  <c r="Q374" i="3" a="1"/>
  <c r="Q374" i="3" s="1"/>
  <c r="Q375" i="3" a="1"/>
  <c r="Q375" i="3" s="1"/>
  <c r="Q376" i="3" a="1"/>
  <c r="Q376" i="3"/>
  <c r="Q377" i="3" a="1"/>
  <c r="Q377" i="3" s="1"/>
  <c r="Q378" i="3" a="1"/>
  <c r="Q378" i="3"/>
  <c r="Q379" i="3" a="1"/>
  <c r="Q379" i="3" s="1"/>
  <c r="Q380" i="3" a="1"/>
  <c r="Q380" i="3" s="1"/>
  <c r="Q381" i="3" a="1"/>
  <c r="Q381" i="3" s="1"/>
  <c r="Q382" i="3" a="1"/>
  <c r="Q382" i="3" s="1"/>
  <c r="Q383" i="3" a="1"/>
  <c r="Q383" i="3" s="1"/>
  <c r="Q384" i="3" a="1"/>
  <c r="Q384" i="3"/>
  <c r="Q385" i="3" a="1"/>
  <c r="Q385" i="3" s="1"/>
  <c r="Q386" i="3" a="1"/>
  <c r="Q386" i="3"/>
  <c r="Q387" i="3" a="1"/>
  <c r="Q387" i="3" s="1"/>
  <c r="Q388" i="3" a="1"/>
  <c r="Q388" i="3"/>
  <c r="Q389" i="3" a="1"/>
  <c r="Q389" i="3" s="1"/>
  <c r="Q390" i="3" a="1"/>
  <c r="Q390" i="3" s="1"/>
  <c r="Q391" i="3" a="1"/>
  <c r="Q391" i="3" s="1"/>
  <c r="Q392" i="3" a="1"/>
  <c r="Q392" i="3"/>
  <c r="Q393" i="3" a="1"/>
  <c r="Q393" i="3" s="1"/>
  <c r="Q394" i="3" a="1"/>
  <c r="Q394" i="3"/>
  <c r="Q395" i="3" a="1"/>
  <c r="Q395" i="3" s="1"/>
  <c r="Q396" i="3" a="1"/>
  <c r="Q396" i="3"/>
  <c r="Q397" i="3" a="1"/>
  <c r="Q397" i="3" s="1"/>
  <c r="Q398" i="3" a="1"/>
  <c r="Q398" i="3" s="1"/>
  <c r="Q399" i="3" a="1"/>
  <c r="Q399" i="3" s="1"/>
  <c r="Q400" i="3" a="1"/>
  <c r="Q400" i="3"/>
  <c r="Q401" i="3" a="1"/>
  <c r="Q401" i="3" s="1"/>
  <c r="Q402" i="3" a="1"/>
  <c r="Q402" i="3"/>
  <c r="Q403" i="3" a="1"/>
  <c r="Q403" i="3" s="1"/>
  <c r="Q404" i="3" a="1"/>
  <c r="Q404" i="3"/>
  <c r="Q405" i="3" a="1"/>
  <c r="Q405" i="3" s="1"/>
  <c r="Q406" i="3" a="1"/>
  <c r="Q406" i="3" s="1"/>
  <c r="Q407" i="3" a="1"/>
  <c r="Q407" i="3" s="1"/>
  <c r="Q408" i="3" a="1"/>
  <c r="Q408" i="3"/>
  <c r="Q409" i="3" a="1"/>
  <c r="Q409" i="3" s="1"/>
  <c r="Q410" i="3" a="1"/>
  <c r="Q410" i="3"/>
  <c r="Q411" i="3" a="1"/>
  <c r="Q411" i="3" s="1"/>
  <c r="Q412" i="3" a="1"/>
  <c r="Q412" i="3" s="1"/>
  <c r="Q413" i="3" a="1"/>
  <c r="Q413" i="3" s="1"/>
  <c r="Q414" i="3" a="1"/>
  <c r="Q414" i="3" s="1"/>
  <c r="Q415" i="3" a="1"/>
  <c r="Q415" i="3" s="1"/>
  <c r="Q416" i="3" a="1"/>
  <c r="Q416" i="3"/>
  <c r="Q417" i="3" a="1"/>
  <c r="Q417" i="3" s="1"/>
  <c r="Q418" i="3" a="1"/>
  <c r="Q418" i="3"/>
  <c r="Q419" i="3" a="1"/>
  <c r="Q419" i="3" s="1"/>
  <c r="Q420" i="3" a="1"/>
  <c r="Q420" i="3"/>
  <c r="Q421" i="3" a="1"/>
  <c r="Q421" i="3" s="1"/>
  <c r="Q422" i="3" a="1"/>
  <c r="Q422" i="3" s="1"/>
  <c r="Q423" i="3" a="1"/>
  <c r="Q423" i="3" s="1"/>
  <c r="Q424" i="3" a="1"/>
  <c r="Q424" i="3"/>
  <c r="Q425" i="3" a="1"/>
  <c r="Q425" i="3" s="1"/>
  <c r="Q426" i="3" a="1"/>
  <c r="Q426" i="3"/>
  <c r="Q427" i="3" a="1"/>
  <c r="Q427" i="3" s="1"/>
  <c r="Q428" i="3" a="1"/>
  <c r="Q428" i="3" s="1"/>
  <c r="Q429" i="3" a="1"/>
  <c r="Q429" i="3" s="1"/>
  <c r="Q430" i="3" a="1"/>
  <c r="Q430" i="3" s="1"/>
  <c r="Q431" i="3" a="1"/>
  <c r="Q431" i="3" s="1"/>
  <c r="Q432" i="3" a="1"/>
  <c r="Q432" i="3"/>
  <c r="Q433" i="3" a="1"/>
  <c r="Q433" i="3" s="1"/>
  <c r="Q434" i="3" a="1"/>
  <c r="Q434" i="3"/>
  <c r="Q435" i="3" a="1"/>
  <c r="Q435" i="3" s="1"/>
  <c r="Q436" i="3" a="1"/>
  <c r="Q436" i="3" s="1"/>
  <c r="Q437" i="3" a="1"/>
  <c r="Q437" i="3"/>
  <c r="Q438" i="3" a="1"/>
  <c r="Q438" i="3" s="1"/>
  <c r="Q439" i="3" a="1"/>
  <c r="Q439" i="3"/>
  <c r="Q440" i="3" a="1"/>
  <c r="Q440" i="3" s="1"/>
  <c r="Q441" i="3" a="1"/>
  <c r="Q441" i="3"/>
  <c r="Q442" i="3" a="1"/>
  <c r="Q442" i="3" s="1"/>
  <c r="Q443" i="3" a="1"/>
  <c r="Q443" i="3" s="1"/>
  <c r="Q444" i="3" a="1"/>
  <c r="Q444" i="3" s="1"/>
  <c r="Q445" i="3" a="1"/>
  <c r="Q445" i="3" s="1"/>
  <c r="Q446" i="3" a="1"/>
  <c r="Q446" i="3" s="1"/>
  <c r="Q447" i="3" a="1"/>
  <c r="Q447" i="3" s="1"/>
  <c r="Q448" i="3" a="1"/>
  <c r="Q448" i="3" s="1"/>
  <c r="Q449" i="3" a="1"/>
  <c r="Q449" i="3" s="1"/>
  <c r="Q450" i="3" a="1"/>
  <c r="Q450" i="3" s="1"/>
  <c r="Q451" i="3" a="1"/>
  <c r="Q451" i="3" s="1"/>
  <c r="Q452" i="3" a="1"/>
  <c r="Q452" i="3" s="1"/>
  <c r="Q453" i="3" a="1"/>
  <c r="Q453" i="3" s="1"/>
  <c r="Q454" i="3" a="1"/>
  <c r="Q454" i="3" s="1"/>
  <c r="Q455" i="3" a="1"/>
  <c r="Q455" i="3" s="1"/>
  <c r="Q456" i="3" a="1"/>
  <c r="Q456" i="3" s="1"/>
  <c r="Q457" i="3" a="1"/>
  <c r="Q457" i="3" s="1"/>
  <c r="Q458" i="3" a="1"/>
  <c r="Q458" i="3" s="1"/>
  <c r="Q459" i="3" a="1"/>
  <c r="Q459" i="3" s="1"/>
  <c r="Q460" i="3" a="1"/>
  <c r="Q460" i="3" s="1"/>
  <c r="Q461" i="3" a="1"/>
  <c r="Q461" i="3" s="1"/>
  <c r="Q462" i="3" a="1"/>
  <c r="Q462" i="3" s="1"/>
  <c r="Q463" i="3" a="1"/>
  <c r="Q463" i="3" s="1"/>
  <c r="Q464" i="3" a="1"/>
  <c r="Q464" i="3" s="1"/>
  <c r="Q465" i="3" a="1"/>
  <c r="Q465" i="3" s="1"/>
  <c r="Q466" i="3" a="1"/>
  <c r="Q466" i="3" s="1"/>
  <c r="Q467" i="3" a="1"/>
  <c r="Q467" i="3" s="1"/>
  <c r="Q468" i="3" a="1"/>
  <c r="Q468" i="3" s="1"/>
  <c r="Q469" i="3" a="1"/>
  <c r="Q469" i="3" s="1"/>
  <c r="Q470" i="3" a="1"/>
  <c r="Q470" i="3" s="1"/>
  <c r="Q471" i="3" a="1"/>
  <c r="Q471" i="3" s="1"/>
  <c r="Q472" i="3" a="1"/>
  <c r="Q472" i="3" s="1"/>
  <c r="Q473" i="3" a="1"/>
  <c r="Q473" i="3" s="1"/>
  <c r="Q474" i="3" a="1"/>
  <c r="Q474" i="3" s="1"/>
  <c r="Q475" i="3" a="1"/>
  <c r="Q475" i="3" s="1"/>
  <c r="Q476" i="3" a="1"/>
  <c r="Q476" i="3" s="1"/>
  <c r="Q477" i="3" a="1"/>
  <c r="Q477" i="3" s="1"/>
  <c r="Q478" i="3" a="1"/>
  <c r="Q478" i="3" s="1"/>
  <c r="Q479" i="3" a="1"/>
  <c r="Q479" i="3" s="1"/>
  <c r="Q480" i="3" a="1"/>
  <c r="Q480" i="3" s="1"/>
  <c r="Q481" i="3" a="1"/>
  <c r="Q481" i="3" s="1"/>
  <c r="Q482" i="3" a="1"/>
  <c r="Q482" i="3" s="1"/>
  <c r="Q483" i="3" a="1"/>
  <c r="Q483" i="3" s="1"/>
  <c r="Q484" i="3" a="1"/>
  <c r="Q484" i="3" s="1"/>
  <c r="Q485" i="3" a="1"/>
  <c r="Q485" i="3" s="1"/>
  <c r="Q486" i="3" a="1"/>
  <c r="Q486" i="3" s="1"/>
  <c r="Q487" i="3" a="1"/>
  <c r="Q487" i="3" s="1"/>
  <c r="Q488" i="3" a="1"/>
  <c r="Q488" i="3" s="1"/>
  <c r="Q489" i="3" a="1"/>
  <c r="Q489" i="3" s="1"/>
  <c r="Q490" i="3" a="1"/>
  <c r="Q490" i="3" s="1"/>
  <c r="Q491" i="3" a="1"/>
  <c r="Q491" i="3" s="1"/>
  <c r="Q492" i="3" a="1"/>
  <c r="Q492" i="3" s="1"/>
  <c r="Q493" i="3" a="1"/>
  <c r="Q493" i="3" s="1"/>
  <c r="Q494" i="3" a="1"/>
  <c r="Q494" i="3" s="1"/>
  <c r="Q495" i="3" a="1"/>
  <c r="Q495" i="3" s="1"/>
  <c r="Q496" i="3" a="1"/>
  <c r="Q496" i="3" s="1"/>
  <c r="Q497" i="3" a="1"/>
  <c r="Q497" i="3" s="1"/>
  <c r="Q498" i="3" a="1"/>
  <c r="Q498" i="3" s="1"/>
  <c r="Q499" i="3" a="1"/>
  <c r="Q499" i="3" s="1"/>
  <c r="Q500" i="3" a="1"/>
  <c r="Q500" i="3" s="1"/>
  <c r="Q501" i="3" a="1"/>
  <c r="Q501" i="3" s="1"/>
  <c r="Q502" i="3" a="1"/>
  <c r="Q502" i="3" s="1"/>
  <c r="Q503" i="3" a="1"/>
  <c r="Q503" i="3" s="1"/>
  <c r="Q504" i="3" a="1"/>
  <c r="Q504" i="3" s="1"/>
  <c r="Q505" i="3" a="1"/>
  <c r="Q505" i="3" s="1"/>
  <c r="Q506" i="3" a="1"/>
  <c r="Q506" i="3" s="1"/>
  <c r="Q507" i="3" a="1"/>
  <c r="Q507" i="3" s="1"/>
  <c r="Q508" i="3" a="1"/>
  <c r="Q508" i="3" s="1"/>
  <c r="Q509" i="3" a="1"/>
  <c r="Q509" i="3" s="1"/>
  <c r="Q510" i="3" a="1"/>
  <c r="Q510" i="3" s="1"/>
  <c r="Q511" i="3" a="1"/>
  <c r="Q511" i="3" s="1"/>
  <c r="Q512" i="3" a="1"/>
  <c r="Q512" i="3" s="1"/>
  <c r="Q513" i="3" a="1"/>
  <c r="Q513" i="3" s="1"/>
  <c r="Q514" i="3" a="1"/>
  <c r="Q514" i="3" s="1"/>
  <c r="Q515" i="3" a="1"/>
  <c r="Q515" i="3" s="1"/>
  <c r="Q516" i="3" a="1"/>
  <c r="Q516" i="3" s="1"/>
  <c r="Q517" i="3" a="1"/>
  <c r="Q517" i="3" s="1"/>
  <c r="Q518" i="3" a="1"/>
  <c r="Q518" i="3" s="1"/>
  <c r="Q519" i="3" a="1"/>
  <c r="Q519" i="3" s="1"/>
  <c r="Q520" i="3" a="1"/>
  <c r="Q520" i="3" s="1"/>
  <c r="Q521" i="3" a="1"/>
  <c r="Q521" i="3" s="1"/>
  <c r="Q522" i="3" a="1"/>
  <c r="Q522" i="3" s="1"/>
  <c r="Q523" i="3" a="1"/>
  <c r="Q523" i="3" s="1"/>
  <c r="Q524" i="3" a="1"/>
  <c r="Q524" i="3" s="1"/>
  <c r="Q525" i="3" a="1"/>
  <c r="Q525" i="3" s="1"/>
  <c r="Q526" i="3" a="1"/>
  <c r="Q526" i="3" s="1"/>
  <c r="Q527" i="3" a="1"/>
  <c r="Q527" i="3" s="1"/>
  <c r="Q528" i="3" a="1"/>
  <c r="Q528" i="3" s="1"/>
  <c r="Q529" i="3" a="1"/>
  <c r="Q529" i="3" s="1"/>
  <c r="Q530" i="3" a="1"/>
  <c r="Q530" i="3" s="1"/>
  <c r="Q531" i="3" a="1"/>
  <c r="Q531" i="3" s="1"/>
  <c r="Q532" i="3" a="1"/>
  <c r="Q532" i="3" s="1"/>
  <c r="Q533" i="3" a="1"/>
  <c r="Q533" i="3" s="1"/>
  <c r="Q534" i="3" a="1"/>
  <c r="Q534" i="3" s="1"/>
  <c r="Q535" i="3" a="1"/>
  <c r="Q535" i="3" s="1"/>
  <c r="Q536" i="3" a="1"/>
  <c r="Q536" i="3" s="1"/>
  <c r="Q537" i="3" a="1"/>
  <c r="Q537" i="3" s="1"/>
  <c r="Q538" i="3" a="1"/>
  <c r="Q538" i="3" s="1"/>
  <c r="Q539" i="3" a="1"/>
  <c r="Q539" i="3" s="1"/>
  <c r="Q540" i="3" a="1"/>
  <c r="Q540" i="3" s="1"/>
  <c r="Q541" i="3" a="1"/>
  <c r="Q541" i="3" s="1"/>
  <c r="Q542" i="3" a="1"/>
  <c r="Q542" i="3" s="1"/>
  <c r="Q543" i="3" a="1"/>
  <c r="Q543" i="3" s="1"/>
  <c r="Q544" i="3" a="1"/>
  <c r="Q544" i="3" s="1"/>
  <c r="Q545" i="3" a="1"/>
  <c r="Q545" i="3" s="1"/>
  <c r="Q546" i="3" a="1"/>
  <c r="Q546" i="3" s="1"/>
  <c r="Q547" i="3" a="1"/>
  <c r="Q547" i="3" s="1"/>
  <c r="Q548" i="3" a="1"/>
  <c r="Q548" i="3" s="1"/>
  <c r="Q549" i="3" a="1"/>
  <c r="Q549" i="3" s="1"/>
  <c r="Q550" i="3" a="1"/>
  <c r="Q550" i="3" s="1"/>
  <c r="Q551" i="3" a="1"/>
  <c r="Q551" i="3" s="1"/>
  <c r="Q552" i="3" a="1"/>
  <c r="Q552" i="3" s="1"/>
  <c r="Q553" i="3" a="1"/>
  <c r="Q553" i="3" s="1"/>
  <c r="Q554" i="3" a="1"/>
  <c r="Q554" i="3" s="1"/>
  <c r="Q555" i="3" a="1"/>
  <c r="Q555" i="3" s="1"/>
  <c r="Q556" i="3" a="1"/>
  <c r="Q556" i="3" s="1"/>
  <c r="Q557" i="3" a="1"/>
  <c r="Q557" i="3" s="1"/>
  <c r="Q558" i="3" a="1"/>
  <c r="Q558" i="3" s="1"/>
  <c r="Q559" i="3" a="1"/>
  <c r="Q559" i="3" s="1"/>
  <c r="Q560" i="3" a="1"/>
  <c r="Q560" i="3" s="1"/>
  <c r="Q561" i="3" a="1"/>
  <c r="Q561" i="3" s="1"/>
  <c r="Q562" i="3" a="1"/>
  <c r="Q562" i="3" s="1"/>
  <c r="Q563" i="3" a="1"/>
  <c r="Q563" i="3" s="1"/>
  <c r="Q564" i="3" a="1"/>
  <c r="Q564" i="3" s="1"/>
  <c r="Q565" i="3" a="1"/>
  <c r="Q565" i="3" s="1"/>
  <c r="Q566" i="3" a="1"/>
  <c r="Q566" i="3" s="1"/>
  <c r="Q567" i="3" a="1"/>
  <c r="Q567" i="3" s="1"/>
  <c r="Q568" i="3" a="1"/>
  <c r="Q568" i="3" s="1"/>
  <c r="Q569" i="3" a="1"/>
  <c r="Q569" i="3" s="1"/>
  <c r="Q570" i="3" a="1"/>
  <c r="Q570" i="3" s="1"/>
  <c r="Q571" i="3" a="1"/>
  <c r="Q571" i="3" s="1"/>
  <c r="Q572" i="3" a="1"/>
  <c r="Q572" i="3" s="1"/>
  <c r="Q573" i="3" a="1"/>
  <c r="Q573" i="3" s="1"/>
  <c r="Q574" i="3" a="1"/>
  <c r="Q574" i="3" s="1"/>
  <c r="Q575" i="3" a="1"/>
  <c r="Q575" i="3" s="1"/>
  <c r="Q576" i="3" a="1"/>
  <c r="Q576" i="3" s="1"/>
  <c r="Q577" i="3" a="1"/>
  <c r="Q577" i="3" s="1"/>
  <c r="Q578" i="3" a="1"/>
  <c r="Q578" i="3" s="1"/>
  <c r="Q579" i="3" a="1"/>
  <c r="Q579" i="3" s="1"/>
  <c r="Q2" i="3" a="1"/>
  <c r="Q2" i="3" s="1"/>
  <c r="P556" i="3" a="1"/>
  <c r="P556" i="3" s="1"/>
  <c r="O556" i="3" a="1"/>
  <c r="O556" i="3" s="1"/>
  <c r="N556" i="3" a="1"/>
  <c r="N556" i="3" s="1"/>
  <c r="M556" i="3" a="1"/>
  <c r="M556" i="3" s="1"/>
  <c r="K557" i="3" a="1"/>
  <c r="K557" i="3" s="1"/>
  <c r="K556" i="3" a="1"/>
  <c r="K556" i="3" s="1"/>
  <c r="P3" i="3" a="1"/>
  <c r="P3" i="3" s="1"/>
  <c r="P4" i="3" a="1"/>
  <c r="P4" i="3" s="1"/>
  <c r="P5" i="3" a="1"/>
  <c r="P5" i="3" s="1"/>
  <c r="P6" i="3" a="1"/>
  <c r="P6" i="3" s="1"/>
  <c r="P7" i="3" a="1"/>
  <c r="P7" i="3" s="1"/>
  <c r="P8" i="3" a="1"/>
  <c r="P8" i="3" s="1"/>
  <c r="P9" i="3" a="1"/>
  <c r="P9" i="3" s="1"/>
  <c r="P10" i="3" a="1"/>
  <c r="P10" i="3" s="1"/>
  <c r="P11" i="3" a="1"/>
  <c r="P11" i="3" s="1"/>
  <c r="P12" i="3" a="1"/>
  <c r="P12" i="3" s="1"/>
  <c r="P13" i="3" a="1"/>
  <c r="P13" i="3" s="1"/>
  <c r="P14" i="3" a="1"/>
  <c r="P14" i="3" s="1"/>
  <c r="P15" i="3" a="1"/>
  <c r="P15" i="3" s="1"/>
  <c r="P16" i="3" a="1"/>
  <c r="P16" i="3" s="1"/>
  <c r="P17" i="3" a="1"/>
  <c r="P17" i="3" s="1"/>
  <c r="P18" i="3" a="1"/>
  <c r="P18" i="3" s="1"/>
  <c r="P19" i="3" a="1"/>
  <c r="P19" i="3" s="1"/>
  <c r="P20" i="3" a="1"/>
  <c r="P20" i="3" s="1"/>
  <c r="P21" i="3" a="1"/>
  <c r="P21" i="3" s="1"/>
  <c r="P22" i="3" a="1"/>
  <c r="P22" i="3" s="1"/>
  <c r="P23" i="3" a="1"/>
  <c r="P23" i="3" s="1"/>
  <c r="P24" i="3" a="1"/>
  <c r="P24" i="3" s="1"/>
  <c r="P25" i="3" a="1"/>
  <c r="P25" i="3" s="1"/>
  <c r="P26" i="3" a="1"/>
  <c r="P26" i="3" s="1"/>
  <c r="P27" i="3" a="1"/>
  <c r="P27" i="3" s="1"/>
  <c r="P28" i="3" a="1"/>
  <c r="P28" i="3" s="1"/>
  <c r="P29" i="3" a="1"/>
  <c r="P29" i="3" s="1"/>
  <c r="P30" i="3" a="1"/>
  <c r="P30" i="3" s="1"/>
  <c r="P31" i="3" a="1"/>
  <c r="P31" i="3" s="1"/>
  <c r="P32" i="3" a="1"/>
  <c r="P32" i="3" s="1"/>
  <c r="P33" i="3" a="1"/>
  <c r="P33" i="3" s="1"/>
  <c r="P34" i="3" a="1"/>
  <c r="P34" i="3" s="1"/>
  <c r="P35" i="3" a="1"/>
  <c r="P35" i="3" s="1"/>
  <c r="P36" i="3" a="1"/>
  <c r="P36" i="3" s="1"/>
  <c r="P37" i="3" a="1"/>
  <c r="P37" i="3" s="1"/>
  <c r="P38" i="3" a="1"/>
  <c r="P38" i="3" s="1"/>
  <c r="P39" i="3" a="1"/>
  <c r="P39" i="3" s="1"/>
  <c r="P40" i="3" a="1"/>
  <c r="P40" i="3" s="1"/>
  <c r="P41" i="3" a="1"/>
  <c r="P41" i="3" s="1"/>
  <c r="P42" i="3" a="1"/>
  <c r="P42" i="3" s="1"/>
  <c r="P43" i="3" a="1"/>
  <c r="P43" i="3" s="1"/>
  <c r="P44" i="3" a="1"/>
  <c r="P44" i="3" s="1"/>
  <c r="P45" i="3" a="1"/>
  <c r="P45" i="3" s="1"/>
  <c r="P46" i="3" a="1"/>
  <c r="P46" i="3" s="1"/>
  <c r="P47" i="3" a="1"/>
  <c r="P47" i="3" s="1"/>
  <c r="P48" i="3" a="1"/>
  <c r="P48" i="3" s="1"/>
  <c r="P49" i="3" a="1"/>
  <c r="P49" i="3" s="1"/>
  <c r="P50" i="3" a="1"/>
  <c r="P50" i="3" s="1"/>
  <c r="P51" i="3" a="1"/>
  <c r="P51" i="3" s="1"/>
  <c r="P52" i="3" a="1"/>
  <c r="P52" i="3" s="1"/>
  <c r="P53" i="3" a="1"/>
  <c r="P53" i="3" s="1"/>
  <c r="P54" i="3" a="1"/>
  <c r="P54" i="3" s="1"/>
  <c r="P55" i="3" a="1"/>
  <c r="P55" i="3" s="1"/>
  <c r="P56" i="3" a="1"/>
  <c r="P56" i="3" s="1"/>
  <c r="P57" i="3" a="1"/>
  <c r="P57" i="3" s="1"/>
  <c r="P58" i="3" a="1"/>
  <c r="P58" i="3" s="1"/>
  <c r="P59" i="3" a="1"/>
  <c r="P59" i="3" s="1"/>
  <c r="P60" i="3" a="1"/>
  <c r="P60" i="3" s="1"/>
  <c r="P61" i="3" a="1"/>
  <c r="P61" i="3" s="1"/>
  <c r="P62" i="3" a="1"/>
  <c r="P62" i="3" s="1"/>
  <c r="P63" i="3" a="1"/>
  <c r="P63" i="3" s="1"/>
  <c r="P64" i="3" a="1"/>
  <c r="P64" i="3" s="1"/>
  <c r="P65" i="3" a="1"/>
  <c r="P65" i="3" s="1"/>
  <c r="P66" i="3" a="1"/>
  <c r="P66" i="3" s="1"/>
  <c r="P67" i="3" a="1"/>
  <c r="P67" i="3" s="1"/>
  <c r="P68" i="3" a="1"/>
  <c r="P68" i="3" s="1"/>
  <c r="P69" i="3" a="1"/>
  <c r="P69" i="3" s="1"/>
  <c r="P70" i="3" a="1"/>
  <c r="P70" i="3" s="1"/>
  <c r="P71" i="3" a="1"/>
  <c r="P71" i="3" s="1"/>
  <c r="P72" i="3" a="1"/>
  <c r="P72" i="3" s="1"/>
  <c r="P73" i="3" a="1"/>
  <c r="P73" i="3" s="1"/>
  <c r="P74" i="3" a="1"/>
  <c r="P74" i="3" s="1"/>
  <c r="P75" i="3" a="1"/>
  <c r="P75" i="3" s="1"/>
  <c r="P76" i="3" a="1"/>
  <c r="P76" i="3" s="1"/>
  <c r="P77" i="3" a="1"/>
  <c r="P77" i="3" s="1"/>
  <c r="P78" i="3" a="1"/>
  <c r="P78" i="3" s="1"/>
  <c r="P79" i="3" a="1"/>
  <c r="P79" i="3" s="1"/>
  <c r="P80" i="3" a="1"/>
  <c r="P80" i="3" s="1"/>
  <c r="P81" i="3" a="1"/>
  <c r="P81" i="3" s="1"/>
  <c r="P82" i="3" a="1"/>
  <c r="P82" i="3" s="1"/>
  <c r="P83" i="3" a="1"/>
  <c r="P83" i="3" s="1"/>
  <c r="P84" i="3" a="1"/>
  <c r="P84" i="3" s="1"/>
  <c r="P85" i="3" a="1"/>
  <c r="P85" i="3" s="1"/>
  <c r="P86" i="3" a="1"/>
  <c r="P86" i="3" s="1"/>
  <c r="P87" i="3" a="1"/>
  <c r="P87" i="3" s="1"/>
  <c r="P88" i="3" a="1"/>
  <c r="P88" i="3" s="1"/>
  <c r="P89" i="3" a="1"/>
  <c r="P89" i="3" s="1"/>
  <c r="P90" i="3" a="1"/>
  <c r="P90" i="3"/>
  <c r="P91" i="3" a="1"/>
  <c r="P91" i="3" s="1"/>
  <c r="P92" i="3" a="1"/>
  <c r="P92" i="3" s="1"/>
  <c r="P93" i="3" a="1"/>
  <c r="P93" i="3" s="1"/>
  <c r="P94" i="3" a="1"/>
  <c r="P94" i="3" s="1"/>
  <c r="P95" i="3" a="1"/>
  <c r="P95" i="3" s="1"/>
  <c r="P96" i="3" a="1"/>
  <c r="P96" i="3" s="1"/>
  <c r="P97" i="3" a="1"/>
  <c r="P97" i="3" s="1"/>
  <c r="P98" i="3" a="1"/>
  <c r="P98" i="3" s="1"/>
  <c r="P99" i="3" a="1"/>
  <c r="P99" i="3" s="1"/>
  <c r="P100" i="3" a="1"/>
  <c r="P100" i="3" s="1"/>
  <c r="P101" i="3" a="1"/>
  <c r="P101" i="3" s="1"/>
  <c r="P102" i="3" a="1"/>
  <c r="P102" i="3" s="1"/>
  <c r="P103" i="3" a="1"/>
  <c r="P103" i="3" s="1"/>
  <c r="P104" i="3" a="1"/>
  <c r="P104" i="3" s="1"/>
  <c r="P105" i="3" a="1"/>
  <c r="P105" i="3" s="1"/>
  <c r="P106" i="3" a="1"/>
  <c r="P106" i="3" s="1"/>
  <c r="P107" i="3" a="1"/>
  <c r="P107" i="3" s="1"/>
  <c r="P108" i="3" a="1"/>
  <c r="P108" i="3" s="1"/>
  <c r="P109" i="3" a="1"/>
  <c r="P109" i="3" s="1"/>
  <c r="P110" i="3" a="1"/>
  <c r="P110" i="3" s="1"/>
  <c r="P111" i="3" a="1"/>
  <c r="P111" i="3" s="1"/>
  <c r="P112" i="3" a="1"/>
  <c r="P112" i="3" s="1"/>
  <c r="P113" i="3" a="1"/>
  <c r="P113" i="3" s="1"/>
  <c r="P114" i="3" a="1"/>
  <c r="P114" i="3" s="1"/>
  <c r="P115" i="3" a="1"/>
  <c r="P115" i="3" s="1"/>
  <c r="P116" i="3" a="1"/>
  <c r="P116" i="3" s="1"/>
  <c r="P117" i="3" a="1"/>
  <c r="P117" i="3" s="1"/>
  <c r="P118" i="3" a="1"/>
  <c r="P118" i="3" s="1"/>
  <c r="P119" i="3" a="1"/>
  <c r="P119" i="3" s="1"/>
  <c r="P120" i="3" a="1"/>
  <c r="P120" i="3" s="1"/>
  <c r="P121" i="3" a="1"/>
  <c r="P121" i="3" s="1"/>
  <c r="P122" i="3" a="1"/>
  <c r="P122" i="3" s="1"/>
  <c r="P123" i="3" a="1"/>
  <c r="P123" i="3" s="1"/>
  <c r="P124" i="3" a="1"/>
  <c r="P124" i="3" s="1"/>
  <c r="P125" i="3" a="1"/>
  <c r="P125" i="3" s="1"/>
  <c r="P126" i="3" a="1"/>
  <c r="P126" i="3" s="1"/>
  <c r="P127" i="3" a="1"/>
  <c r="P127" i="3" s="1"/>
  <c r="P128" i="3" a="1"/>
  <c r="P128" i="3" s="1"/>
  <c r="P129" i="3" a="1"/>
  <c r="P129" i="3" s="1"/>
  <c r="P130" i="3" a="1"/>
  <c r="P130" i="3" s="1"/>
  <c r="P131" i="3" a="1"/>
  <c r="P131" i="3" s="1"/>
  <c r="P132" i="3" a="1"/>
  <c r="P132" i="3" s="1"/>
  <c r="P133" i="3" a="1"/>
  <c r="P133" i="3" s="1"/>
  <c r="P134" i="3" a="1"/>
  <c r="P134" i="3" s="1"/>
  <c r="P135" i="3" a="1"/>
  <c r="P135" i="3" s="1"/>
  <c r="P136" i="3" a="1"/>
  <c r="P136" i="3" s="1"/>
  <c r="P137" i="3" a="1"/>
  <c r="P137" i="3" s="1"/>
  <c r="P138" i="3" a="1"/>
  <c r="P138" i="3" s="1"/>
  <c r="P139" i="3" a="1"/>
  <c r="P139" i="3" s="1"/>
  <c r="P140" i="3" a="1"/>
  <c r="P140" i="3" s="1"/>
  <c r="P141" i="3" a="1"/>
  <c r="P141" i="3" s="1"/>
  <c r="P142" i="3" a="1"/>
  <c r="P142" i="3" s="1"/>
  <c r="P143" i="3" a="1"/>
  <c r="P143" i="3" s="1"/>
  <c r="P144" i="3" a="1"/>
  <c r="P144" i="3" s="1"/>
  <c r="P145" i="3" a="1"/>
  <c r="P145" i="3" s="1"/>
  <c r="P146" i="3" a="1"/>
  <c r="P146" i="3" s="1"/>
  <c r="P147" i="3" a="1"/>
  <c r="P147" i="3" s="1"/>
  <c r="P148" i="3" a="1"/>
  <c r="P148" i="3" s="1"/>
  <c r="P149" i="3" a="1"/>
  <c r="P149" i="3" s="1"/>
  <c r="P150" i="3" a="1"/>
  <c r="P150" i="3" s="1"/>
  <c r="P151" i="3" a="1"/>
  <c r="P151" i="3" s="1"/>
  <c r="P152" i="3" a="1"/>
  <c r="P152" i="3" s="1"/>
  <c r="P153" i="3" a="1"/>
  <c r="P153" i="3" s="1"/>
  <c r="P154" i="3" a="1"/>
  <c r="P154" i="3" s="1"/>
  <c r="P155" i="3" a="1"/>
  <c r="P155" i="3" s="1"/>
  <c r="P156" i="3" a="1"/>
  <c r="P156" i="3" s="1"/>
  <c r="P157" i="3" a="1"/>
  <c r="P157" i="3" s="1"/>
  <c r="P158" i="3" a="1"/>
  <c r="P158" i="3" s="1"/>
  <c r="P159" i="3" a="1"/>
  <c r="P159" i="3" s="1"/>
  <c r="P160" i="3" a="1"/>
  <c r="P160" i="3" s="1"/>
  <c r="P161" i="3" a="1"/>
  <c r="P161" i="3" s="1"/>
  <c r="P162" i="3" a="1"/>
  <c r="P162" i="3" s="1"/>
  <c r="P163" i="3" a="1"/>
  <c r="P163" i="3" s="1"/>
  <c r="P164" i="3" a="1"/>
  <c r="P164" i="3" s="1"/>
  <c r="P165" i="3" a="1"/>
  <c r="P165" i="3" s="1"/>
  <c r="P166" i="3" a="1"/>
  <c r="P166" i="3" s="1"/>
  <c r="P167" i="3" a="1"/>
  <c r="P167" i="3" s="1"/>
  <c r="P168" i="3" a="1"/>
  <c r="P168" i="3" s="1"/>
  <c r="P169" i="3" a="1"/>
  <c r="P169" i="3" s="1"/>
  <c r="P170" i="3" a="1"/>
  <c r="P170" i="3" s="1"/>
  <c r="P171" i="3" a="1"/>
  <c r="P171" i="3" s="1"/>
  <c r="P172" i="3" a="1"/>
  <c r="P172" i="3" s="1"/>
  <c r="P173" i="3" a="1"/>
  <c r="P173" i="3" s="1"/>
  <c r="P174" i="3" a="1"/>
  <c r="P174" i="3" s="1"/>
  <c r="P175" i="3" a="1"/>
  <c r="P175" i="3" s="1"/>
  <c r="P176" i="3" a="1"/>
  <c r="P176" i="3" s="1"/>
  <c r="P177" i="3" a="1"/>
  <c r="P177" i="3" s="1"/>
  <c r="P178" i="3" a="1"/>
  <c r="P178" i="3" s="1"/>
  <c r="P179" i="3" a="1"/>
  <c r="P179" i="3" s="1"/>
  <c r="P180" i="3" a="1"/>
  <c r="P180" i="3" s="1"/>
  <c r="P181" i="3" a="1"/>
  <c r="P181" i="3" s="1"/>
  <c r="P182" i="3" a="1"/>
  <c r="P182" i="3" s="1"/>
  <c r="P183" i="3" a="1"/>
  <c r="P183" i="3" s="1"/>
  <c r="P184" i="3" a="1"/>
  <c r="P184" i="3" s="1"/>
  <c r="P185" i="3" a="1"/>
  <c r="P185" i="3" s="1"/>
  <c r="P186" i="3" a="1"/>
  <c r="P186" i="3" s="1"/>
  <c r="P187" i="3" a="1"/>
  <c r="P187" i="3" s="1"/>
  <c r="P188" i="3" a="1"/>
  <c r="P188" i="3" s="1"/>
  <c r="P189" i="3" a="1"/>
  <c r="P189" i="3" s="1"/>
  <c r="P190" i="3" a="1"/>
  <c r="P190" i="3" s="1"/>
  <c r="P191" i="3" a="1"/>
  <c r="P191" i="3" s="1"/>
  <c r="P192" i="3" a="1"/>
  <c r="P192" i="3" s="1"/>
  <c r="P193" i="3" a="1"/>
  <c r="P193" i="3" s="1"/>
  <c r="P194" i="3" a="1"/>
  <c r="P194" i="3" s="1"/>
  <c r="P195" i="3" a="1"/>
  <c r="P195" i="3"/>
  <c r="P196" i="3" a="1"/>
  <c r="P196" i="3" s="1"/>
  <c r="P197" i="3" a="1"/>
  <c r="P197" i="3" s="1"/>
  <c r="P198" i="3" a="1"/>
  <c r="P198" i="3" s="1"/>
  <c r="P199" i="3" a="1"/>
  <c r="P199" i="3" s="1"/>
  <c r="P200" i="3" a="1"/>
  <c r="P200" i="3" s="1"/>
  <c r="P201" i="3" a="1"/>
  <c r="P201" i="3" s="1"/>
  <c r="P202" i="3" a="1"/>
  <c r="P202" i="3" s="1"/>
  <c r="P203" i="3" a="1"/>
  <c r="P203" i="3" s="1"/>
  <c r="P204" i="3" a="1"/>
  <c r="P204" i="3" s="1"/>
  <c r="P205" i="3" a="1"/>
  <c r="P205" i="3" s="1"/>
  <c r="P206" i="3" a="1"/>
  <c r="P206" i="3" s="1"/>
  <c r="P207" i="3" a="1"/>
  <c r="P207" i="3" s="1"/>
  <c r="P208" i="3" a="1"/>
  <c r="P208" i="3" s="1"/>
  <c r="P209" i="3" a="1"/>
  <c r="P209" i="3" s="1"/>
  <c r="P210" i="3" a="1"/>
  <c r="P210" i="3" s="1"/>
  <c r="P211" i="3" a="1"/>
  <c r="P211" i="3"/>
  <c r="P212" i="3" a="1"/>
  <c r="P212" i="3" s="1"/>
  <c r="P213" i="3" a="1"/>
  <c r="P213" i="3" s="1"/>
  <c r="P214" i="3" a="1"/>
  <c r="P214" i="3" s="1"/>
  <c r="P215" i="3" a="1"/>
  <c r="P215" i="3" s="1"/>
  <c r="P216" i="3" a="1"/>
  <c r="P216" i="3" s="1"/>
  <c r="P217" i="3" a="1"/>
  <c r="P217" i="3" s="1"/>
  <c r="P218" i="3" a="1"/>
  <c r="P218" i="3" s="1"/>
  <c r="P219" i="3" a="1"/>
  <c r="P219" i="3" s="1"/>
  <c r="P220" i="3" a="1"/>
  <c r="P220" i="3" s="1"/>
  <c r="P221" i="3" a="1"/>
  <c r="P221" i="3" s="1"/>
  <c r="P222" i="3" a="1"/>
  <c r="P222" i="3" s="1"/>
  <c r="P223" i="3" a="1"/>
  <c r="P223" i="3" s="1"/>
  <c r="P224" i="3" a="1"/>
  <c r="P224" i="3" s="1"/>
  <c r="P225" i="3" a="1"/>
  <c r="P225" i="3" s="1"/>
  <c r="P226" i="3" a="1"/>
  <c r="P226" i="3" s="1"/>
  <c r="P227" i="3" a="1"/>
  <c r="P227" i="3" s="1"/>
  <c r="P228" i="3" a="1"/>
  <c r="P228" i="3" s="1"/>
  <c r="P229" i="3" a="1"/>
  <c r="P229" i="3" s="1"/>
  <c r="P230" i="3" a="1"/>
  <c r="P230" i="3" s="1"/>
  <c r="P231" i="3" a="1"/>
  <c r="P231" i="3" s="1"/>
  <c r="P232" i="3" a="1"/>
  <c r="P232" i="3" s="1"/>
  <c r="P233" i="3" a="1"/>
  <c r="P233" i="3" s="1"/>
  <c r="P234" i="3" a="1"/>
  <c r="P234" i="3" s="1"/>
  <c r="P235" i="3" a="1"/>
  <c r="P235" i="3" s="1"/>
  <c r="P236" i="3" a="1"/>
  <c r="P236" i="3" s="1"/>
  <c r="P237" i="3" a="1"/>
  <c r="P237" i="3" s="1"/>
  <c r="P238" i="3" a="1"/>
  <c r="P238" i="3" s="1"/>
  <c r="P239" i="3" a="1"/>
  <c r="P239" i="3" s="1"/>
  <c r="P240" i="3" a="1"/>
  <c r="P240" i="3" s="1"/>
  <c r="P241" i="3" a="1"/>
  <c r="P241" i="3" s="1"/>
  <c r="P242" i="3" a="1"/>
  <c r="P242" i="3" s="1"/>
  <c r="P243" i="3" a="1"/>
  <c r="P243" i="3"/>
  <c r="P244" i="3" a="1"/>
  <c r="P244" i="3" s="1"/>
  <c r="P245" i="3" a="1"/>
  <c r="P245" i="3" s="1"/>
  <c r="P246" i="3" a="1"/>
  <c r="P246" i="3" s="1"/>
  <c r="P247" i="3" a="1"/>
  <c r="P247" i="3" s="1"/>
  <c r="P248" i="3" a="1"/>
  <c r="P248" i="3" s="1"/>
  <c r="P249" i="3" a="1"/>
  <c r="P249" i="3" s="1"/>
  <c r="P250" i="3" a="1"/>
  <c r="P250" i="3" s="1"/>
  <c r="P251" i="3" a="1"/>
  <c r="P251" i="3" s="1"/>
  <c r="P252" i="3" a="1"/>
  <c r="P252" i="3" s="1"/>
  <c r="P253" i="3" a="1"/>
  <c r="P253" i="3" s="1"/>
  <c r="P254" i="3" a="1"/>
  <c r="P254" i="3" s="1"/>
  <c r="P255" i="3" a="1"/>
  <c r="P255" i="3" s="1"/>
  <c r="P256" i="3" a="1"/>
  <c r="P256" i="3" s="1"/>
  <c r="P257" i="3" a="1"/>
  <c r="P257" i="3" s="1"/>
  <c r="P258" i="3" a="1"/>
  <c r="P258" i="3" s="1"/>
  <c r="P259" i="3" a="1"/>
  <c r="P259" i="3"/>
  <c r="P260" i="3" a="1"/>
  <c r="P260" i="3" s="1"/>
  <c r="P261" i="3" a="1"/>
  <c r="P261" i="3" s="1"/>
  <c r="P262" i="3" a="1"/>
  <c r="P262" i="3" s="1"/>
  <c r="P263" i="3" a="1"/>
  <c r="P263" i="3" s="1"/>
  <c r="P264" i="3" a="1"/>
  <c r="P264" i="3" s="1"/>
  <c r="P265" i="3" a="1"/>
  <c r="P265" i="3" s="1"/>
  <c r="P266" i="3" a="1"/>
  <c r="P266" i="3" s="1"/>
  <c r="P267" i="3" a="1"/>
  <c r="P267" i="3" s="1"/>
  <c r="P268" i="3" a="1"/>
  <c r="P268" i="3" s="1"/>
  <c r="P269" i="3" a="1"/>
  <c r="P269" i="3" s="1"/>
  <c r="P270" i="3" a="1"/>
  <c r="P270" i="3" s="1"/>
  <c r="P271" i="3" a="1"/>
  <c r="P271" i="3" s="1"/>
  <c r="P272" i="3" a="1"/>
  <c r="P272" i="3" s="1"/>
  <c r="P273" i="3" a="1"/>
  <c r="P273" i="3" s="1"/>
  <c r="P274" i="3" a="1"/>
  <c r="P274" i="3" s="1"/>
  <c r="P275" i="3" a="1"/>
  <c r="P275" i="3"/>
  <c r="P276" i="3" a="1"/>
  <c r="P276" i="3" s="1"/>
  <c r="P277" i="3" a="1"/>
  <c r="P277" i="3" s="1"/>
  <c r="P278" i="3" a="1"/>
  <c r="P278" i="3" s="1"/>
  <c r="P279" i="3" a="1"/>
  <c r="P279" i="3" s="1"/>
  <c r="P280" i="3" a="1"/>
  <c r="P280" i="3" s="1"/>
  <c r="P281" i="3" a="1"/>
  <c r="P281" i="3" s="1"/>
  <c r="P282" i="3" a="1"/>
  <c r="P282" i="3" s="1"/>
  <c r="P283" i="3" a="1"/>
  <c r="P283" i="3" s="1"/>
  <c r="P284" i="3" a="1"/>
  <c r="P284" i="3" s="1"/>
  <c r="P285" i="3" a="1"/>
  <c r="P285" i="3"/>
  <c r="P286" i="3" a="1"/>
  <c r="P286" i="3" s="1"/>
  <c r="P287" i="3" a="1"/>
  <c r="P287" i="3" s="1"/>
  <c r="P288" i="3" a="1"/>
  <c r="P288" i="3" s="1"/>
  <c r="P289" i="3" a="1"/>
  <c r="P289" i="3" s="1"/>
  <c r="P290" i="3" a="1"/>
  <c r="P290" i="3" s="1"/>
  <c r="P291" i="3" a="1"/>
  <c r="P291" i="3" s="1"/>
  <c r="P292" i="3" a="1"/>
  <c r="P292" i="3" s="1"/>
  <c r="P293" i="3" a="1"/>
  <c r="P293" i="3" s="1"/>
  <c r="P294" i="3" a="1"/>
  <c r="P294" i="3" s="1"/>
  <c r="P295" i="3" a="1"/>
  <c r="P295" i="3" s="1"/>
  <c r="P296" i="3" a="1"/>
  <c r="P296" i="3" s="1"/>
  <c r="P297" i="3" a="1"/>
  <c r="P297" i="3"/>
  <c r="P298" i="3" a="1"/>
  <c r="P298" i="3" s="1"/>
  <c r="P299" i="3" a="1"/>
  <c r="P299" i="3" s="1"/>
  <c r="P300" i="3" a="1"/>
  <c r="P300" i="3" s="1"/>
  <c r="P301" i="3" a="1"/>
  <c r="P301" i="3" s="1"/>
  <c r="P302" i="3" a="1"/>
  <c r="P302" i="3" s="1"/>
  <c r="P303" i="3" a="1"/>
  <c r="P303" i="3" s="1"/>
  <c r="P304" i="3" a="1"/>
  <c r="P304" i="3"/>
  <c r="P305" i="3" a="1"/>
  <c r="P305" i="3" s="1"/>
  <c r="P306" i="3" a="1"/>
  <c r="P306" i="3" s="1"/>
  <c r="P307" i="3" a="1"/>
  <c r="P307" i="3" s="1"/>
  <c r="P308" i="3" a="1"/>
  <c r="P308" i="3" s="1"/>
  <c r="P309" i="3" a="1"/>
  <c r="P309" i="3" s="1"/>
  <c r="P310" i="3" a="1"/>
  <c r="P310" i="3" s="1"/>
  <c r="P311" i="3" a="1"/>
  <c r="P311" i="3" s="1"/>
  <c r="P312" i="3" a="1"/>
  <c r="P312" i="3" s="1"/>
  <c r="P313" i="3" a="1"/>
  <c r="P313" i="3" s="1"/>
  <c r="P314" i="3" a="1"/>
  <c r="P314" i="3" s="1"/>
  <c r="P315" i="3" a="1"/>
  <c r="P315" i="3" s="1"/>
  <c r="P316" i="3" a="1"/>
  <c r="P316" i="3" s="1"/>
  <c r="P317" i="3" a="1"/>
  <c r="P317" i="3" s="1"/>
  <c r="P318" i="3" a="1"/>
  <c r="P318" i="3" s="1"/>
  <c r="P319" i="3" a="1"/>
  <c r="P319" i="3" s="1"/>
  <c r="P320" i="3" a="1"/>
  <c r="P320" i="3"/>
  <c r="P321" i="3" a="1"/>
  <c r="P321" i="3" s="1"/>
  <c r="P322" i="3" a="1"/>
  <c r="P322" i="3" s="1"/>
  <c r="P323" i="3" a="1"/>
  <c r="P323" i="3" s="1"/>
  <c r="P324" i="3" a="1"/>
  <c r="P324" i="3" s="1"/>
  <c r="P325" i="3" a="1"/>
  <c r="P325" i="3" s="1"/>
  <c r="P326" i="3" a="1"/>
  <c r="P326" i="3" s="1"/>
  <c r="P327" i="3" a="1"/>
  <c r="P327" i="3" s="1"/>
  <c r="P328" i="3" a="1"/>
  <c r="P328" i="3"/>
  <c r="P329" i="3" a="1"/>
  <c r="P329" i="3" s="1"/>
  <c r="P330" i="3" a="1"/>
  <c r="P330" i="3" s="1"/>
  <c r="P331" i="3" a="1"/>
  <c r="P331" i="3" s="1"/>
  <c r="P332" i="3" a="1"/>
  <c r="P332" i="3" s="1"/>
  <c r="P333" i="3" a="1"/>
  <c r="P333" i="3" s="1"/>
  <c r="P334" i="3" a="1"/>
  <c r="P334" i="3" s="1"/>
  <c r="P335" i="3" a="1"/>
  <c r="P335" i="3" s="1"/>
  <c r="P336" i="3" a="1"/>
  <c r="P336" i="3"/>
  <c r="P337" i="3" a="1"/>
  <c r="P337" i="3" s="1"/>
  <c r="P338" i="3" a="1"/>
  <c r="P338" i="3" s="1"/>
  <c r="P339" i="3" a="1"/>
  <c r="P339" i="3" s="1"/>
  <c r="P340" i="3" a="1"/>
  <c r="P340" i="3" s="1"/>
  <c r="P341" i="3" a="1"/>
  <c r="P341" i="3" s="1"/>
  <c r="P342" i="3" a="1"/>
  <c r="P342" i="3" s="1"/>
  <c r="P343" i="3" a="1"/>
  <c r="P343" i="3" s="1"/>
  <c r="P344" i="3" a="1"/>
  <c r="P344" i="3" s="1"/>
  <c r="P345" i="3" a="1"/>
  <c r="P345" i="3" s="1"/>
  <c r="P346" i="3" a="1"/>
  <c r="P346" i="3" s="1"/>
  <c r="P347" i="3" a="1"/>
  <c r="P347" i="3" s="1"/>
  <c r="P348" i="3" a="1"/>
  <c r="P348" i="3" s="1"/>
  <c r="P349" i="3" a="1"/>
  <c r="P349" i="3" s="1"/>
  <c r="P350" i="3" a="1"/>
  <c r="P350" i="3" s="1"/>
  <c r="P351" i="3" a="1"/>
  <c r="P351" i="3" s="1"/>
  <c r="P352" i="3" a="1"/>
  <c r="P352" i="3" s="1"/>
  <c r="P353" i="3" a="1"/>
  <c r="P353" i="3" s="1"/>
  <c r="P354" i="3" a="1"/>
  <c r="P354" i="3" s="1"/>
  <c r="P355" i="3" a="1"/>
  <c r="P355" i="3" s="1"/>
  <c r="P356" i="3" a="1"/>
  <c r="P356" i="3" s="1"/>
  <c r="P357" i="3" a="1"/>
  <c r="P357" i="3" s="1"/>
  <c r="P358" i="3" a="1"/>
  <c r="P358" i="3" s="1"/>
  <c r="P359" i="3" a="1"/>
  <c r="P359" i="3" s="1"/>
  <c r="P360" i="3" a="1"/>
  <c r="P360" i="3" s="1"/>
  <c r="P361" i="3" a="1"/>
  <c r="P361" i="3" s="1"/>
  <c r="P362" i="3" a="1"/>
  <c r="P362" i="3" s="1"/>
  <c r="P363" i="3" a="1"/>
  <c r="P363" i="3" s="1"/>
  <c r="P364" i="3" a="1"/>
  <c r="P364" i="3" s="1"/>
  <c r="P365" i="3" a="1"/>
  <c r="P365" i="3" s="1"/>
  <c r="P366" i="3" a="1"/>
  <c r="P366" i="3" s="1"/>
  <c r="P367" i="3" a="1"/>
  <c r="P367" i="3" s="1"/>
  <c r="P368" i="3" a="1"/>
  <c r="P368" i="3" s="1"/>
  <c r="P369" i="3" a="1"/>
  <c r="P369" i="3" s="1"/>
  <c r="P370" i="3" a="1"/>
  <c r="P370" i="3" s="1"/>
  <c r="P371" i="3" a="1"/>
  <c r="P371" i="3" s="1"/>
  <c r="P372" i="3" a="1"/>
  <c r="P372" i="3" s="1"/>
  <c r="P373" i="3" a="1"/>
  <c r="P373" i="3" s="1"/>
  <c r="P374" i="3" a="1"/>
  <c r="P374" i="3" s="1"/>
  <c r="P375" i="3" a="1"/>
  <c r="P375" i="3" s="1"/>
  <c r="P376" i="3" a="1"/>
  <c r="P376" i="3" s="1"/>
  <c r="P377" i="3" a="1"/>
  <c r="P377" i="3" s="1"/>
  <c r="P378" i="3" a="1"/>
  <c r="P378" i="3" s="1"/>
  <c r="P379" i="3" a="1"/>
  <c r="P379" i="3" s="1"/>
  <c r="P380" i="3" a="1"/>
  <c r="P380" i="3" s="1"/>
  <c r="P381" i="3" a="1"/>
  <c r="P381" i="3" s="1"/>
  <c r="P382" i="3" a="1"/>
  <c r="P382" i="3" s="1"/>
  <c r="P383" i="3" a="1"/>
  <c r="P383" i="3" s="1"/>
  <c r="P384" i="3" a="1"/>
  <c r="P384" i="3" s="1"/>
  <c r="P385" i="3" a="1"/>
  <c r="P385" i="3" s="1"/>
  <c r="P386" i="3" a="1"/>
  <c r="P386" i="3" s="1"/>
  <c r="P387" i="3" a="1"/>
  <c r="P387" i="3" s="1"/>
  <c r="P388" i="3" a="1"/>
  <c r="P388" i="3" s="1"/>
  <c r="P389" i="3" a="1"/>
  <c r="P389" i="3" s="1"/>
  <c r="P390" i="3" a="1"/>
  <c r="P390" i="3" s="1"/>
  <c r="P391" i="3" a="1"/>
  <c r="P391" i="3" s="1"/>
  <c r="P392" i="3" a="1"/>
  <c r="P392" i="3" s="1"/>
  <c r="P393" i="3" a="1"/>
  <c r="P393" i="3" s="1"/>
  <c r="P394" i="3" a="1"/>
  <c r="P394" i="3" s="1"/>
  <c r="P395" i="3" a="1"/>
  <c r="P395" i="3" s="1"/>
  <c r="P396" i="3" a="1"/>
  <c r="P396" i="3" s="1"/>
  <c r="P397" i="3" a="1"/>
  <c r="P397" i="3" s="1"/>
  <c r="P398" i="3" a="1"/>
  <c r="P398" i="3" s="1"/>
  <c r="P399" i="3" a="1"/>
  <c r="P399" i="3" s="1"/>
  <c r="P400" i="3" a="1"/>
  <c r="P400" i="3" s="1"/>
  <c r="P401" i="3" a="1"/>
  <c r="P401" i="3" s="1"/>
  <c r="P402" i="3" a="1"/>
  <c r="P402" i="3" s="1"/>
  <c r="P403" i="3" a="1"/>
  <c r="P403" i="3" s="1"/>
  <c r="P404" i="3" a="1"/>
  <c r="P404" i="3" s="1"/>
  <c r="P405" i="3" a="1"/>
  <c r="P405" i="3" s="1"/>
  <c r="P406" i="3" a="1"/>
  <c r="P406" i="3" s="1"/>
  <c r="P407" i="3" a="1"/>
  <c r="P407" i="3" s="1"/>
  <c r="P408" i="3" a="1"/>
  <c r="P408" i="3" s="1"/>
  <c r="P409" i="3" a="1"/>
  <c r="P409" i="3" s="1"/>
  <c r="P410" i="3" a="1"/>
  <c r="P410" i="3" s="1"/>
  <c r="P411" i="3" a="1"/>
  <c r="P411" i="3" s="1"/>
  <c r="P412" i="3" a="1"/>
  <c r="P412" i="3" s="1"/>
  <c r="P413" i="3" a="1"/>
  <c r="P413" i="3" s="1"/>
  <c r="P414" i="3" a="1"/>
  <c r="P414" i="3" s="1"/>
  <c r="P415" i="3" a="1"/>
  <c r="P415" i="3" s="1"/>
  <c r="P416" i="3" a="1"/>
  <c r="P416" i="3" s="1"/>
  <c r="P417" i="3" a="1"/>
  <c r="P417" i="3" s="1"/>
  <c r="P418" i="3" a="1"/>
  <c r="P418" i="3" s="1"/>
  <c r="P419" i="3" a="1"/>
  <c r="P419" i="3" s="1"/>
  <c r="P420" i="3" a="1"/>
  <c r="P420" i="3" s="1"/>
  <c r="P421" i="3" a="1"/>
  <c r="P421" i="3" s="1"/>
  <c r="P422" i="3" a="1"/>
  <c r="P422" i="3" s="1"/>
  <c r="P423" i="3" a="1"/>
  <c r="P423" i="3" s="1"/>
  <c r="P424" i="3" a="1"/>
  <c r="P424" i="3" s="1"/>
  <c r="P425" i="3" a="1"/>
  <c r="P425" i="3" s="1"/>
  <c r="P426" i="3" a="1"/>
  <c r="P426" i="3" s="1"/>
  <c r="P427" i="3" a="1"/>
  <c r="P427" i="3" s="1"/>
  <c r="P428" i="3" a="1"/>
  <c r="P428" i="3" s="1"/>
  <c r="P429" i="3" a="1"/>
  <c r="P429" i="3" s="1"/>
  <c r="P430" i="3" a="1"/>
  <c r="P430" i="3" s="1"/>
  <c r="P431" i="3" a="1"/>
  <c r="P431" i="3" s="1"/>
  <c r="P432" i="3" a="1"/>
  <c r="P432" i="3" s="1"/>
  <c r="P433" i="3" a="1"/>
  <c r="P433" i="3" s="1"/>
  <c r="P434" i="3" a="1"/>
  <c r="P434" i="3" s="1"/>
  <c r="P435" i="3" a="1"/>
  <c r="P435" i="3" s="1"/>
  <c r="P436" i="3" a="1"/>
  <c r="P436" i="3" s="1"/>
  <c r="P437" i="3" a="1"/>
  <c r="P437" i="3" s="1"/>
  <c r="P438" i="3" a="1"/>
  <c r="P438" i="3" s="1"/>
  <c r="P439" i="3" a="1"/>
  <c r="P439" i="3" s="1"/>
  <c r="P440" i="3" a="1"/>
  <c r="P440" i="3" s="1"/>
  <c r="P441" i="3" a="1"/>
  <c r="P441" i="3" s="1"/>
  <c r="P442" i="3" a="1"/>
  <c r="P442" i="3" s="1"/>
  <c r="P443" i="3" a="1"/>
  <c r="P443" i="3" s="1"/>
  <c r="P444" i="3" a="1"/>
  <c r="P444" i="3" s="1"/>
  <c r="P445" i="3" a="1"/>
  <c r="P445" i="3" s="1"/>
  <c r="P446" i="3" a="1"/>
  <c r="P446" i="3" s="1"/>
  <c r="P447" i="3" a="1"/>
  <c r="P447" i="3" s="1"/>
  <c r="P448" i="3" a="1"/>
  <c r="P448" i="3" s="1"/>
  <c r="P449" i="3" a="1"/>
  <c r="P449" i="3" s="1"/>
  <c r="P450" i="3" a="1"/>
  <c r="P450" i="3" s="1"/>
  <c r="P451" i="3" a="1"/>
  <c r="P451" i="3" s="1"/>
  <c r="P452" i="3" a="1"/>
  <c r="P452" i="3" s="1"/>
  <c r="P453" i="3" a="1"/>
  <c r="P453" i="3" s="1"/>
  <c r="P454" i="3" a="1"/>
  <c r="P454" i="3" s="1"/>
  <c r="P455" i="3" a="1"/>
  <c r="P455" i="3" s="1"/>
  <c r="P456" i="3" a="1"/>
  <c r="P456" i="3" s="1"/>
  <c r="P457" i="3" a="1"/>
  <c r="P457" i="3" s="1"/>
  <c r="P458" i="3" a="1"/>
  <c r="P458" i="3" s="1"/>
  <c r="P459" i="3" a="1"/>
  <c r="P459" i="3" s="1"/>
  <c r="P460" i="3" a="1"/>
  <c r="P460" i="3" s="1"/>
  <c r="P461" i="3" a="1"/>
  <c r="P461" i="3" s="1"/>
  <c r="P462" i="3" a="1"/>
  <c r="P462" i="3" s="1"/>
  <c r="P463" i="3" a="1"/>
  <c r="P463" i="3" s="1"/>
  <c r="P464" i="3" a="1"/>
  <c r="P464" i="3" s="1"/>
  <c r="P465" i="3" a="1"/>
  <c r="P465" i="3" s="1"/>
  <c r="P466" i="3" a="1"/>
  <c r="P466" i="3" s="1"/>
  <c r="P467" i="3" a="1"/>
  <c r="P467" i="3" s="1"/>
  <c r="P468" i="3" a="1"/>
  <c r="P468" i="3" s="1"/>
  <c r="P469" i="3" a="1"/>
  <c r="P469" i="3" s="1"/>
  <c r="P470" i="3" a="1"/>
  <c r="P470" i="3" s="1"/>
  <c r="P471" i="3" a="1"/>
  <c r="P471" i="3" s="1"/>
  <c r="P472" i="3" a="1"/>
  <c r="P472" i="3" s="1"/>
  <c r="P473" i="3" a="1"/>
  <c r="P473" i="3" s="1"/>
  <c r="P474" i="3" a="1"/>
  <c r="P474" i="3" s="1"/>
  <c r="P475" i="3" a="1"/>
  <c r="P475" i="3" s="1"/>
  <c r="P476" i="3" a="1"/>
  <c r="P476" i="3" s="1"/>
  <c r="P477" i="3" a="1"/>
  <c r="P477" i="3" s="1"/>
  <c r="P478" i="3" a="1"/>
  <c r="P478" i="3" s="1"/>
  <c r="P479" i="3" a="1"/>
  <c r="P479" i="3" s="1"/>
  <c r="P480" i="3" a="1"/>
  <c r="P480" i="3" s="1"/>
  <c r="P481" i="3" a="1"/>
  <c r="P481" i="3" s="1"/>
  <c r="P482" i="3" a="1"/>
  <c r="P482" i="3" s="1"/>
  <c r="P483" i="3" a="1"/>
  <c r="P483" i="3" s="1"/>
  <c r="P484" i="3" a="1"/>
  <c r="P484" i="3" s="1"/>
  <c r="P485" i="3" a="1"/>
  <c r="P485" i="3" s="1"/>
  <c r="P486" i="3" a="1"/>
  <c r="P486" i="3" s="1"/>
  <c r="P487" i="3" a="1"/>
  <c r="P487" i="3" s="1"/>
  <c r="P488" i="3" a="1"/>
  <c r="P488" i="3" s="1"/>
  <c r="P489" i="3" a="1"/>
  <c r="P489" i="3" s="1"/>
  <c r="P490" i="3" a="1"/>
  <c r="P490" i="3" s="1"/>
  <c r="P491" i="3" a="1"/>
  <c r="P491" i="3" s="1"/>
  <c r="P492" i="3" a="1"/>
  <c r="P492" i="3" s="1"/>
  <c r="P493" i="3" a="1"/>
  <c r="P493" i="3" s="1"/>
  <c r="P494" i="3" a="1"/>
  <c r="P494" i="3" s="1"/>
  <c r="P495" i="3" a="1"/>
  <c r="P495" i="3" s="1"/>
  <c r="P496" i="3" a="1"/>
  <c r="P496" i="3" s="1"/>
  <c r="P497" i="3" a="1"/>
  <c r="P497" i="3" s="1"/>
  <c r="P498" i="3" a="1"/>
  <c r="P498" i="3" s="1"/>
  <c r="P499" i="3" a="1"/>
  <c r="P499" i="3" s="1"/>
  <c r="P500" i="3" a="1"/>
  <c r="P500" i="3" s="1"/>
  <c r="P501" i="3" a="1"/>
  <c r="P501" i="3" s="1"/>
  <c r="P502" i="3" a="1"/>
  <c r="P502" i="3" s="1"/>
  <c r="P503" i="3" a="1"/>
  <c r="P503" i="3" s="1"/>
  <c r="P504" i="3" a="1"/>
  <c r="P504" i="3" s="1"/>
  <c r="P505" i="3" a="1"/>
  <c r="P505" i="3" s="1"/>
  <c r="P506" i="3" a="1"/>
  <c r="P506" i="3" s="1"/>
  <c r="P507" i="3" a="1"/>
  <c r="P507" i="3" s="1"/>
  <c r="P508" i="3" a="1"/>
  <c r="P508" i="3" s="1"/>
  <c r="P509" i="3" a="1"/>
  <c r="P509" i="3" s="1"/>
  <c r="P510" i="3" a="1"/>
  <c r="P510" i="3" s="1"/>
  <c r="P511" i="3" a="1"/>
  <c r="P511" i="3" s="1"/>
  <c r="P512" i="3" a="1"/>
  <c r="P512" i="3" s="1"/>
  <c r="P513" i="3" a="1"/>
  <c r="P513" i="3" s="1"/>
  <c r="P514" i="3" a="1"/>
  <c r="P514" i="3" s="1"/>
  <c r="P515" i="3" a="1"/>
  <c r="P515" i="3" s="1"/>
  <c r="P516" i="3" a="1"/>
  <c r="P516" i="3" s="1"/>
  <c r="P517" i="3" a="1"/>
  <c r="P517" i="3" s="1"/>
  <c r="P518" i="3" a="1"/>
  <c r="P518" i="3" s="1"/>
  <c r="P519" i="3" a="1"/>
  <c r="P519" i="3" s="1"/>
  <c r="P520" i="3" a="1"/>
  <c r="P520" i="3" s="1"/>
  <c r="P521" i="3" a="1"/>
  <c r="P521" i="3" s="1"/>
  <c r="P522" i="3" a="1"/>
  <c r="P522" i="3" s="1"/>
  <c r="P523" i="3" a="1"/>
  <c r="P523" i="3" s="1"/>
  <c r="P524" i="3" a="1"/>
  <c r="P524" i="3" s="1"/>
  <c r="P525" i="3" a="1"/>
  <c r="P525" i="3" s="1"/>
  <c r="P526" i="3" a="1"/>
  <c r="P526" i="3" s="1"/>
  <c r="P527" i="3" a="1"/>
  <c r="P527" i="3" s="1"/>
  <c r="P528" i="3" a="1"/>
  <c r="P528" i="3" s="1"/>
  <c r="P529" i="3" a="1"/>
  <c r="P529" i="3" s="1"/>
  <c r="P530" i="3" a="1"/>
  <c r="P530" i="3" s="1"/>
  <c r="P531" i="3" a="1"/>
  <c r="P531" i="3" s="1"/>
  <c r="P532" i="3" a="1"/>
  <c r="P532" i="3" s="1"/>
  <c r="P533" i="3" a="1"/>
  <c r="P533" i="3" s="1"/>
  <c r="P534" i="3" a="1"/>
  <c r="P534" i="3" s="1"/>
  <c r="P535" i="3" a="1"/>
  <c r="P535" i="3" s="1"/>
  <c r="P536" i="3" a="1"/>
  <c r="P536" i="3" s="1"/>
  <c r="P537" i="3" a="1"/>
  <c r="P537" i="3" s="1"/>
  <c r="P538" i="3" a="1"/>
  <c r="P538" i="3" s="1"/>
  <c r="P539" i="3" a="1"/>
  <c r="P539" i="3" s="1"/>
  <c r="P540" i="3" a="1"/>
  <c r="P540" i="3" s="1"/>
  <c r="P541" i="3" a="1"/>
  <c r="P541" i="3" s="1"/>
  <c r="P542" i="3" a="1"/>
  <c r="P542" i="3" s="1"/>
  <c r="P543" i="3" a="1"/>
  <c r="P543" i="3" s="1"/>
  <c r="P544" i="3" a="1"/>
  <c r="P544" i="3"/>
  <c r="P545" i="3" a="1"/>
  <c r="P545" i="3" s="1"/>
  <c r="P546" i="3" a="1"/>
  <c r="P546" i="3" s="1"/>
  <c r="P547" i="3" a="1"/>
  <c r="P547" i="3" s="1"/>
  <c r="P548" i="3" a="1"/>
  <c r="P548" i="3" s="1"/>
  <c r="P549" i="3" a="1"/>
  <c r="P549" i="3" s="1"/>
  <c r="P550" i="3" a="1"/>
  <c r="P550" i="3" s="1"/>
  <c r="P551" i="3" a="1"/>
  <c r="P551" i="3" s="1"/>
  <c r="P552" i="3" a="1"/>
  <c r="P552" i="3" s="1"/>
  <c r="P553" i="3" a="1"/>
  <c r="P553" i="3" s="1"/>
  <c r="P554" i="3" a="1"/>
  <c r="P554" i="3" s="1"/>
  <c r="P555" i="3" a="1"/>
  <c r="P555" i="3" s="1"/>
  <c r="P557" i="3" a="1"/>
  <c r="P557" i="3" s="1"/>
  <c r="P558" i="3" a="1"/>
  <c r="P558" i="3" s="1"/>
  <c r="P559" i="3" a="1"/>
  <c r="P559" i="3" s="1"/>
  <c r="P560" i="3" a="1"/>
  <c r="P560" i="3" s="1"/>
  <c r="P561" i="3" a="1"/>
  <c r="P561" i="3" s="1"/>
  <c r="P562" i="3" a="1"/>
  <c r="P562" i="3" s="1"/>
  <c r="P563" i="3" a="1"/>
  <c r="P563" i="3" s="1"/>
  <c r="P564" i="3" a="1"/>
  <c r="P564" i="3" s="1"/>
  <c r="P565" i="3" a="1"/>
  <c r="P565" i="3" s="1"/>
  <c r="P566" i="3" a="1"/>
  <c r="P566" i="3" s="1"/>
  <c r="P567" i="3" a="1"/>
  <c r="P567" i="3" s="1"/>
  <c r="P568" i="3" a="1"/>
  <c r="P568" i="3" s="1"/>
  <c r="P569" i="3" a="1"/>
  <c r="P569" i="3" s="1"/>
  <c r="P570" i="3" a="1"/>
  <c r="P570" i="3" s="1"/>
  <c r="P571" i="3" a="1"/>
  <c r="P571" i="3" s="1"/>
  <c r="P572" i="3" a="1"/>
  <c r="P572" i="3" s="1"/>
  <c r="P573" i="3" a="1"/>
  <c r="P573" i="3" s="1"/>
  <c r="P574" i="3" a="1"/>
  <c r="P574" i="3" s="1"/>
  <c r="P575" i="3" a="1"/>
  <c r="P575" i="3" s="1"/>
  <c r="P576" i="3" a="1"/>
  <c r="P576" i="3"/>
  <c r="P577" i="3" a="1"/>
  <c r="P577" i="3" s="1"/>
  <c r="P578" i="3" a="1"/>
  <c r="P578" i="3" s="1"/>
  <c r="P579" i="3" a="1"/>
  <c r="P579" i="3" s="1"/>
  <c r="O3" i="3" a="1"/>
  <c r="O3" i="3" s="1"/>
  <c r="O4" i="3" a="1"/>
  <c r="O4" i="3" s="1"/>
  <c r="O5" i="3" a="1"/>
  <c r="O5" i="3" s="1"/>
  <c r="O6" i="3" a="1"/>
  <c r="O6" i="3"/>
  <c r="O7" i="3" a="1"/>
  <c r="O7" i="3" s="1"/>
  <c r="O8" i="3" a="1"/>
  <c r="O8" i="3" s="1"/>
  <c r="O9" i="3" a="1"/>
  <c r="O9" i="3" s="1"/>
  <c r="O10" i="3" a="1"/>
  <c r="O10" i="3" s="1"/>
  <c r="O11" i="3" a="1"/>
  <c r="O11" i="3" s="1"/>
  <c r="O12" i="3" a="1"/>
  <c r="O12" i="3" s="1"/>
  <c r="O13" i="3" a="1"/>
  <c r="O13" i="3" s="1"/>
  <c r="O14" i="3" a="1"/>
  <c r="O14" i="3" s="1"/>
  <c r="O15" i="3" a="1"/>
  <c r="O15" i="3" s="1"/>
  <c r="O16" i="3" a="1"/>
  <c r="O16" i="3" s="1"/>
  <c r="O17" i="3" a="1"/>
  <c r="O17" i="3" s="1"/>
  <c r="O18" i="3" a="1"/>
  <c r="O18" i="3" s="1"/>
  <c r="O19" i="3" a="1"/>
  <c r="O19" i="3" s="1"/>
  <c r="O20" i="3" a="1"/>
  <c r="O20" i="3" s="1"/>
  <c r="O21" i="3" a="1"/>
  <c r="O21" i="3" s="1"/>
  <c r="O22" i="3" a="1"/>
  <c r="O22" i="3" s="1"/>
  <c r="O23" i="3" a="1"/>
  <c r="O23" i="3" s="1"/>
  <c r="O24" i="3" a="1"/>
  <c r="O24" i="3" s="1"/>
  <c r="O25" i="3" a="1"/>
  <c r="O25" i="3" s="1"/>
  <c r="O26" i="3" a="1"/>
  <c r="O26" i="3" s="1"/>
  <c r="O27" i="3" a="1"/>
  <c r="O27" i="3" s="1"/>
  <c r="O28" i="3" a="1"/>
  <c r="O28" i="3" s="1"/>
  <c r="O29" i="3" a="1"/>
  <c r="O29" i="3" s="1"/>
  <c r="O30" i="3" a="1"/>
  <c r="O30" i="3" s="1"/>
  <c r="O31" i="3" a="1"/>
  <c r="O31" i="3" s="1"/>
  <c r="O32" i="3" a="1"/>
  <c r="O32" i="3" s="1"/>
  <c r="O33" i="3" a="1"/>
  <c r="O33" i="3" s="1"/>
  <c r="O34" i="3" a="1"/>
  <c r="O34" i="3" s="1"/>
  <c r="O35" i="3" a="1"/>
  <c r="O35" i="3" s="1"/>
  <c r="O36" i="3" a="1"/>
  <c r="O36" i="3" s="1"/>
  <c r="O37" i="3" a="1"/>
  <c r="O37" i="3" s="1"/>
  <c r="O38" i="3" a="1"/>
  <c r="O38" i="3"/>
  <c r="O39" i="3" a="1"/>
  <c r="O39" i="3" s="1"/>
  <c r="O40" i="3" a="1"/>
  <c r="O40" i="3" s="1"/>
  <c r="O41" i="3" a="1"/>
  <c r="O41" i="3" s="1"/>
  <c r="O42" i="3" a="1"/>
  <c r="O42" i="3" s="1"/>
  <c r="O43" i="3" a="1"/>
  <c r="O43" i="3" s="1"/>
  <c r="O44" i="3" a="1"/>
  <c r="O44" i="3" s="1"/>
  <c r="O45" i="3" a="1"/>
  <c r="O45" i="3" s="1"/>
  <c r="O46" i="3" a="1"/>
  <c r="O46" i="3" s="1"/>
  <c r="O47" i="3" a="1"/>
  <c r="O47" i="3" s="1"/>
  <c r="O48" i="3" a="1"/>
  <c r="O48" i="3" s="1"/>
  <c r="O49" i="3" a="1"/>
  <c r="O49" i="3" s="1"/>
  <c r="O50" i="3" a="1"/>
  <c r="O50" i="3" s="1"/>
  <c r="O51" i="3" a="1"/>
  <c r="O51" i="3" s="1"/>
  <c r="O52" i="3" a="1"/>
  <c r="O52" i="3" s="1"/>
  <c r="O53" i="3" a="1"/>
  <c r="O53" i="3" s="1"/>
  <c r="O54" i="3" a="1"/>
  <c r="O54" i="3" s="1"/>
  <c r="O55" i="3" a="1"/>
  <c r="O55" i="3" s="1"/>
  <c r="O56" i="3" a="1"/>
  <c r="O56" i="3" s="1"/>
  <c r="O57" i="3" a="1"/>
  <c r="O57" i="3" s="1"/>
  <c r="O58" i="3" a="1"/>
  <c r="O58" i="3" s="1"/>
  <c r="O59" i="3" a="1"/>
  <c r="O59" i="3" s="1"/>
  <c r="O60" i="3" a="1"/>
  <c r="O60" i="3" s="1"/>
  <c r="O61" i="3" a="1"/>
  <c r="O61" i="3" s="1"/>
  <c r="O62" i="3" a="1"/>
  <c r="O62" i="3" s="1"/>
  <c r="O63" i="3" a="1"/>
  <c r="O63" i="3" s="1"/>
  <c r="O64" i="3" a="1"/>
  <c r="O64" i="3" s="1"/>
  <c r="O65" i="3" a="1"/>
  <c r="O65" i="3" s="1"/>
  <c r="O66" i="3" a="1"/>
  <c r="O66" i="3" s="1"/>
  <c r="O67" i="3" a="1"/>
  <c r="O67" i="3" s="1"/>
  <c r="O68" i="3" a="1"/>
  <c r="O68" i="3" s="1"/>
  <c r="O69" i="3" a="1"/>
  <c r="O69" i="3" s="1"/>
  <c r="O70" i="3" a="1"/>
  <c r="O70" i="3" s="1"/>
  <c r="O71" i="3" a="1"/>
  <c r="O71" i="3" s="1"/>
  <c r="O72" i="3" a="1"/>
  <c r="O72" i="3" s="1"/>
  <c r="O73" i="3" a="1"/>
  <c r="O73" i="3" s="1"/>
  <c r="O74" i="3" a="1"/>
  <c r="O74" i="3" s="1"/>
  <c r="O75" i="3" a="1"/>
  <c r="O75" i="3" s="1"/>
  <c r="O76" i="3" a="1"/>
  <c r="O76" i="3" s="1"/>
  <c r="O77" i="3" a="1"/>
  <c r="O77" i="3" s="1"/>
  <c r="O78" i="3" a="1"/>
  <c r="O78" i="3" s="1"/>
  <c r="O79" i="3" a="1"/>
  <c r="O79" i="3" s="1"/>
  <c r="O80" i="3" a="1"/>
  <c r="O80" i="3" s="1"/>
  <c r="O81" i="3" a="1"/>
  <c r="O81" i="3" s="1"/>
  <c r="O82" i="3" a="1"/>
  <c r="O82" i="3" s="1"/>
  <c r="O83" i="3" a="1"/>
  <c r="O83" i="3" s="1"/>
  <c r="O84" i="3" a="1"/>
  <c r="O84" i="3" s="1"/>
  <c r="O85" i="3" a="1"/>
  <c r="O85" i="3" s="1"/>
  <c r="O86" i="3" a="1"/>
  <c r="O86" i="3" s="1"/>
  <c r="O87" i="3" a="1"/>
  <c r="O87" i="3" s="1"/>
  <c r="O88" i="3" a="1"/>
  <c r="O88" i="3" s="1"/>
  <c r="O89" i="3" a="1"/>
  <c r="O89" i="3" s="1"/>
  <c r="O90" i="3" a="1"/>
  <c r="O90" i="3" s="1"/>
  <c r="O91" i="3" a="1"/>
  <c r="O91" i="3" s="1"/>
  <c r="O92" i="3" a="1"/>
  <c r="O92" i="3" s="1"/>
  <c r="O93" i="3" a="1"/>
  <c r="O93" i="3" s="1"/>
  <c r="O94" i="3" a="1"/>
  <c r="O94" i="3" s="1"/>
  <c r="O95" i="3" a="1"/>
  <c r="O95" i="3" s="1"/>
  <c r="O96" i="3" a="1"/>
  <c r="O96" i="3" s="1"/>
  <c r="O97" i="3" a="1"/>
  <c r="O97" i="3" s="1"/>
  <c r="O98" i="3" a="1"/>
  <c r="O98" i="3" s="1"/>
  <c r="O99" i="3" a="1"/>
  <c r="O99" i="3" s="1"/>
  <c r="O100" i="3" a="1"/>
  <c r="O100" i="3" s="1"/>
  <c r="O101" i="3" a="1"/>
  <c r="O101" i="3" s="1"/>
  <c r="O102" i="3" a="1"/>
  <c r="O102" i="3" s="1"/>
  <c r="O103" i="3" a="1"/>
  <c r="O103" i="3" s="1"/>
  <c r="O104" i="3" a="1"/>
  <c r="O104" i="3" s="1"/>
  <c r="O105" i="3" a="1"/>
  <c r="O105" i="3" s="1"/>
  <c r="O106" i="3" a="1"/>
  <c r="O106" i="3" s="1"/>
  <c r="O107" i="3" a="1"/>
  <c r="O107" i="3" s="1"/>
  <c r="O108" i="3" a="1"/>
  <c r="O108" i="3" s="1"/>
  <c r="O109" i="3" a="1"/>
  <c r="O109" i="3" s="1"/>
  <c r="O110" i="3" a="1"/>
  <c r="O110" i="3" s="1"/>
  <c r="O111" i="3" a="1"/>
  <c r="O111" i="3" s="1"/>
  <c r="O112" i="3" a="1"/>
  <c r="O112" i="3" s="1"/>
  <c r="O113" i="3" a="1"/>
  <c r="O113" i="3" s="1"/>
  <c r="O114" i="3" a="1"/>
  <c r="O114" i="3" s="1"/>
  <c r="O115" i="3" a="1"/>
  <c r="O115" i="3" s="1"/>
  <c r="O116" i="3" a="1"/>
  <c r="O116" i="3" s="1"/>
  <c r="O117" i="3" a="1"/>
  <c r="O117" i="3" s="1"/>
  <c r="O118" i="3" a="1"/>
  <c r="O118" i="3" s="1"/>
  <c r="O119" i="3" a="1"/>
  <c r="O119" i="3" s="1"/>
  <c r="O120" i="3" a="1"/>
  <c r="O120" i="3" s="1"/>
  <c r="O121" i="3" a="1"/>
  <c r="O121" i="3" s="1"/>
  <c r="O122" i="3" a="1"/>
  <c r="O122" i="3" s="1"/>
  <c r="O123" i="3" a="1"/>
  <c r="O123" i="3" s="1"/>
  <c r="O124" i="3" a="1"/>
  <c r="O124" i="3" s="1"/>
  <c r="O125" i="3" a="1"/>
  <c r="O125" i="3" s="1"/>
  <c r="O126" i="3" a="1"/>
  <c r="O126" i="3" s="1"/>
  <c r="O127" i="3" a="1"/>
  <c r="O127" i="3" s="1"/>
  <c r="O128" i="3" a="1"/>
  <c r="O128" i="3" s="1"/>
  <c r="O129" i="3" a="1"/>
  <c r="O129" i="3" s="1"/>
  <c r="O130" i="3" a="1"/>
  <c r="O130" i="3" s="1"/>
  <c r="O131" i="3" a="1"/>
  <c r="O131" i="3" s="1"/>
  <c r="O132" i="3" a="1"/>
  <c r="O132" i="3" s="1"/>
  <c r="O133" i="3" a="1"/>
  <c r="O133" i="3" s="1"/>
  <c r="O134" i="3" a="1"/>
  <c r="O134" i="3"/>
  <c r="O135" i="3" a="1"/>
  <c r="O135" i="3" s="1"/>
  <c r="O136" i="3" a="1"/>
  <c r="O136" i="3" s="1"/>
  <c r="O137" i="3" a="1"/>
  <c r="O137" i="3" s="1"/>
  <c r="O138" i="3" a="1"/>
  <c r="O138" i="3" s="1"/>
  <c r="O139" i="3" a="1"/>
  <c r="O139" i="3" s="1"/>
  <c r="O140" i="3" a="1"/>
  <c r="O140" i="3" s="1"/>
  <c r="O141" i="3" a="1"/>
  <c r="O141" i="3" s="1"/>
  <c r="O142" i="3" a="1"/>
  <c r="O142" i="3" s="1"/>
  <c r="O143" i="3" a="1"/>
  <c r="O143" i="3" s="1"/>
  <c r="O144" i="3" a="1"/>
  <c r="O144" i="3" s="1"/>
  <c r="O145" i="3" a="1"/>
  <c r="O145" i="3" s="1"/>
  <c r="O146" i="3" a="1"/>
  <c r="O146" i="3" s="1"/>
  <c r="O147" i="3" a="1"/>
  <c r="O147" i="3" s="1"/>
  <c r="O148" i="3" a="1"/>
  <c r="O148" i="3" s="1"/>
  <c r="O149" i="3" a="1"/>
  <c r="O149" i="3" s="1"/>
  <c r="O150" i="3" a="1"/>
  <c r="O150" i="3" s="1"/>
  <c r="O151" i="3" a="1"/>
  <c r="O151" i="3" s="1"/>
  <c r="O152" i="3" a="1"/>
  <c r="O152" i="3" s="1"/>
  <c r="O153" i="3" a="1"/>
  <c r="O153" i="3" s="1"/>
  <c r="O154" i="3" a="1"/>
  <c r="O154" i="3" s="1"/>
  <c r="O155" i="3" a="1"/>
  <c r="O155" i="3" s="1"/>
  <c r="O156" i="3" a="1"/>
  <c r="O156" i="3" s="1"/>
  <c r="O157" i="3" a="1"/>
  <c r="O157" i="3" s="1"/>
  <c r="O158" i="3" a="1"/>
  <c r="O158" i="3" s="1"/>
  <c r="O159" i="3" a="1"/>
  <c r="O159" i="3" s="1"/>
  <c r="O160" i="3" a="1"/>
  <c r="O160" i="3" s="1"/>
  <c r="O161" i="3" a="1"/>
  <c r="O161" i="3" s="1"/>
  <c r="O162" i="3" a="1"/>
  <c r="O162" i="3" s="1"/>
  <c r="O163" i="3" a="1"/>
  <c r="O163" i="3" s="1"/>
  <c r="O164" i="3" a="1"/>
  <c r="O164" i="3" s="1"/>
  <c r="O165" i="3" a="1"/>
  <c r="O165" i="3" s="1"/>
  <c r="O166" i="3" a="1"/>
  <c r="O166" i="3"/>
  <c r="O167" i="3" a="1"/>
  <c r="O167" i="3" s="1"/>
  <c r="O168" i="3" a="1"/>
  <c r="O168" i="3" s="1"/>
  <c r="O169" i="3" a="1"/>
  <c r="O169" i="3" s="1"/>
  <c r="O170" i="3" a="1"/>
  <c r="O170" i="3" s="1"/>
  <c r="O171" i="3" a="1"/>
  <c r="O171" i="3" s="1"/>
  <c r="O172" i="3" a="1"/>
  <c r="O172" i="3" s="1"/>
  <c r="O173" i="3" a="1"/>
  <c r="O173" i="3" s="1"/>
  <c r="O174" i="3" a="1"/>
  <c r="O174" i="3" s="1"/>
  <c r="O175" i="3" a="1"/>
  <c r="O175" i="3" s="1"/>
  <c r="O176" i="3" a="1"/>
  <c r="O176" i="3" s="1"/>
  <c r="O177" i="3" a="1"/>
  <c r="O177" i="3" s="1"/>
  <c r="O178" i="3" a="1"/>
  <c r="O178" i="3" s="1"/>
  <c r="O179" i="3" a="1"/>
  <c r="O179" i="3" s="1"/>
  <c r="O180" i="3" a="1"/>
  <c r="O180" i="3" s="1"/>
  <c r="O181" i="3" a="1"/>
  <c r="O181" i="3" s="1"/>
  <c r="O182" i="3" a="1"/>
  <c r="O182" i="3" s="1"/>
  <c r="O183" i="3" a="1"/>
  <c r="O183" i="3" s="1"/>
  <c r="O184" i="3" a="1"/>
  <c r="O184" i="3" s="1"/>
  <c r="O185" i="3" a="1"/>
  <c r="O185" i="3" s="1"/>
  <c r="O186" i="3" a="1"/>
  <c r="O186" i="3" s="1"/>
  <c r="O187" i="3" a="1"/>
  <c r="O187" i="3" s="1"/>
  <c r="O188" i="3" a="1"/>
  <c r="O188" i="3" s="1"/>
  <c r="O189" i="3" a="1"/>
  <c r="O189" i="3" s="1"/>
  <c r="O190" i="3" a="1"/>
  <c r="O190" i="3" s="1"/>
  <c r="O191" i="3" a="1"/>
  <c r="O191" i="3" s="1"/>
  <c r="O192" i="3" a="1"/>
  <c r="O192" i="3" s="1"/>
  <c r="O193" i="3" a="1"/>
  <c r="O193" i="3" s="1"/>
  <c r="O194" i="3" a="1"/>
  <c r="O194" i="3" s="1"/>
  <c r="O195" i="3" a="1"/>
  <c r="O195" i="3" s="1"/>
  <c r="O196" i="3" a="1"/>
  <c r="O196" i="3" s="1"/>
  <c r="O197" i="3" a="1"/>
  <c r="O197" i="3" s="1"/>
  <c r="O198" i="3" a="1"/>
  <c r="O198" i="3" s="1"/>
  <c r="O199" i="3" a="1"/>
  <c r="O199" i="3" s="1"/>
  <c r="O200" i="3" a="1"/>
  <c r="O200" i="3" s="1"/>
  <c r="O201" i="3" a="1"/>
  <c r="O201" i="3" s="1"/>
  <c r="O202" i="3" a="1"/>
  <c r="O202" i="3" s="1"/>
  <c r="O203" i="3" a="1"/>
  <c r="O203" i="3" s="1"/>
  <c r="O204" i="3" a="1"/>
  <c r="O204" i="3" s="1"/>
  <c r="O205" i="3" a="1"/>
  <c r="O205" i="3" s="1"/>
  <c r="O206" i="3" a="1"/>
  <c r="O206" i="3" s="1"/>
  <c r="O207" i="3" a="1"/>
  <c r="O207" i="3" s="1"/>
  <c r="O208" i="3" a="1"/>
  <c r="O208" i="3" s="1"/>
  <c r="O209" i="3" a="1"/>
  <c r="O209" i="3" s="1"/>
  <c r="O210" i="3" a="1"/>
  <c r="O210" i="3" s="1"/>
  <c r="O211" i="3" a="1"/>
  <c r="O211" i="3" s="1"/>
  <c r="O212" i="3" a="1"/>
  <c r="O212" i="3" s="1"/>
  <c r="O213" i="3" a="1"/>
  <c r="O213" i="3" s="1"/>
  <c r="O214" i="3" a="1"/>
  <c r="O214" i="3" s="1"/>
  <c r="O215" i="3" a="1"/>
  <c r="O215" i="3" s="1"/>
  <c r="O216" i="3" a="1"/>
  <c r="O216" i="3" s="1"/>
  <c r="O217" i="3" a="1"/>
  <c r="O217" i="3" s="1"/>
  <c r="O218" i="3" a="1"/>
  <c r="O218" i="3" s="1"/>
  <c r="O219" i="3" a="1"/>
  <c r="O219" i="3" s="1"/>
  <c r="O220" i="3" a="1"/>
  <c r="O220" i="3" s="1"/>
  <c r="O221" i="3" a="1"/>
  <c r="O221" i="3" s="1"/>
  <c r="O222" i="3" a="1"/>
  <c r="O222" i="3" s="1"/>
  <c r="O223" i="3" a="1"/>
  <c r="O223" i="3" s="1"/>
  <c r="O224" i="3" a="1"/>
  <c r="O224" i="3" s="1"/>
  <c r="O225" i="3" a="1"/>
  <c r="O225" i="3" s="1"/>
  <c r="O226" i="3" a="1"/>
  <c r="O226" i="3" s="1"/>
  <c r="O227" i="3" a="1"/>
  <c r="O227" i="3" s="1"/>
  <c r="O228" i="3" a="1"/>
  <c r="O228" i="3" s="1"/>
  <c r="O229" i="3" a="1"/>
  <c r="O229" i="3" s="1"/>
  <c r="O230" i="3" a="1"/>
  <c r="O230" i="3" s="1"/>
  <c r="O231" i="3" a="1"/>
  <c r="O231" i="3" s="1"/>
  <c r="O232" i="3" a="1"/>
  <c r="O232" i="3" s="1"/>
  <c r="O233" i="3" a="1"/>
  <c r="O233" i="3" s="1"/>
  <c r="O234" i="3" a="1"/>
  <c r="O234" i="3" s="1"/>
  <c r="O235" i="3" a="1"/>
  <c r="O235" i="3" s="1"/>
  <c r="O236" i="3" a="1"/>
  <c r="O236" i="3" s="1"/>
  <c r="O237" i="3" a="1"/>
  <c r="O237" i="3" s="1"/>
  <c r="O238" i="3" a="1"/>
  <c r="O238" i="3" s="1"/>
  <c r="O239" i="3" a="1"/>
  <c r="O239" i="3" s="1"/>
  <c r="O240" i="3" a="1"/>
  <c r="O240" i="3" s="1"/>
  <c r="O241" i="3" a="1"/>
  <c r="O241" i="3" s="1"/>
  <c r="O242" i="3" a="1"/>
  <c r="O242" i="3" s="1"/>
  <c r="O243" i="3" a="1"/>
  <c r="O243" i="3" s="1"/>
  <c r="O244" i="3" a="1"/>
  <c r="O244" i="3" s="1"/>
  <c r="O245" i="3" a="1"/>
  <c r="O245" i="3" s="1"/>
  <c r="O246" i="3" a="1"/>
  <c r="O246" i="3" s="1"/>
  <c r="O247" i="3" a="1"/>
  <c r="O247" i="3" s="1"/>
  <c r="O248" i="3" a="1"/>
  <c r="O248" i="3" s="1"/>
  <c r="O249" i="3" a="1"/>
  <c r="O249" i="3" s="1"/>
  <c r="O250" i="3" a="1"/>
  <c r="O250" i="3" s="1"/>
  <c r="O251" i="3" a="1"/>
  <c r="O251" i="3" s="1"/>
  <c r="O252" i="3" a="1"/>
  <c r="O252" i="3" s="1"/>
  <c r="O253" i="3" a="1"/>
  <c r="O253" i="3" s="1"/>
  <c r="O254" i="3" a="1"/>
  <c r="O254" i="3" s="1"/>
  <c r="O255" i="3" a="1"/>
  <c r="O255" i="3" s="1"/>
  <c r="O256" i="3" a="1"/>
  <c r="O256" i="3" s="1"/>
  <c r="O257" i="3" a="1"/>
  <c r="O257" i="3" s="1"/>
  <c r="O258" i="3" a="1"/>
  <c r="O258" i="3" s="1"/>
  <c r="O259" i="3" a="1"/>
  <c r="O259" i="3" s="1"/>
  <c r="O260" i="3" a="1"/>
  <c r="O260" i="3" s="1"/>
  <c r="O261" i="3" a="1"/>
  <c r="O261" i="3" s="1"/>
  <c r="O262" i="3" a="1"/>
  <c r="O262" i="3" s="1"/>
  <c r="O263" i="3" a="1"/>
  <c r="O263" i="3" s="1"/>
  <c r="O264" i="3" a="1"/>
  <c r="O264" i="3" s="1"/>
  <c r="O265" i="3" a="1"/>
  <c r="O265" i="3" s="1"/>
  <c r="O266" i="3" a="1"/>
  <c r="O266" i="3" s="1"/>
  <c r="O267" i="3" a="1"/>
  <c r="O267" i="3" s="1"/>
  <c r="O268" i="3" a="1"/>
  <c r="O268" i="3" s="1"/>
  <c r="O269" i="3" a="1"/>
  <c r="O269" i="3" s="1"/>
  <c r="O270" i="3" a="1"/>
  <c r="O270" i="3" s="1"/>
  <c r="O271" i="3" a="1"/>
  <c r="O271" i="3" s="1"/>
  <c r="O272" i="3" a="1"/>
  <c r="O272" i="3" s="1"/>
  <c r="O273" i="3" a="1"/>
  <c r="O273" i="3" s="1"/>
  <c r="O274" i="3" a="1"/>
  <c r="O274" i="3" s="1"/>
  <c r="O275" i="3" a="1"/>
  <c r="O275" i="3" s="1"/>
  <c r="O276" i="3" a="1"/>
  <c r="O276" i="3" s="1"/>
  <c r="O277" i="3" a="1"/>
  <c r="O277" i="3" s="1"/>
  <c r="O278" i="3" a="1"/>
  <c r="O278" i="3" s="1"/>
  <c r="O279" i="3" a="1"/>
  <c r="O279" i="3" s="1"/>
  <c r="O280" i="3" a="1"/>
  <c r="O280" i="3" s="1"/>
  <c r="O281" i="3" a="1"/>
  <c r="O281" i="3" s="1"/>
  <c r="O282" i="3" a="1"/>
  <c r="O282" i="3" s="1"/>
  <c r="O283" i="3" a="1"/>
  <c r="O283" i="3" s="1"/>
  <c r="O284" i="3" a="1"/>
  <c r="O284" i="3" s="1"/>
  <c r="O285" i="3" a="1"/>
  <c r="O285" i="3" s="1"/>
  <c r="O286" i="3" a="1"/>
  <c r="O286" i="3" s="1"/>
  <c r="O287" i="3" a="1"/>
  <c r="O287" i="3" s="1"/>
  <c r="O288" i="3" a="1"/>
  <c r="O288" i="3" s="1"/>
  <c r="O289" i="3" a="1"/>
  <c r="O289" i="3" s="1"/>
  <c r="O290" i="3" a="1"/>
  <c r="O290" i="3" s="1"/>
  <c r="O291" i="3" a="1"/>
  <c r="O291" i="3" s="1"/>
  <c r="O292" i="3" a="1"/>
  <c r="O292" i="3" s="1"/>
  <c r="O293" i="3" a="1"/>
  <c r="O293" i="3" s="1"/>
  <c r="O294" i="3" a="1"/>
  <c r="O294" i="3" s="1"/>
  <c r="O295" i="3" a="1"/>
  <c r="O295" i="3" s="1"/>
  <c r="O296" i="3" a="1"/>
  <c r="O296" i="3" s="1"/>
  <c r="O297" i="3" a="1"/>
  <c r="O297" i="3" s="1"/>
  <c r="O298" i="3" a="1"/>
  <c r="O298" i="3" s="1"/>
  <c r="O299" i="3" a="1"/>
  <c r="O299" i="3" s="1"/>
  <c r="O300" i="3" a="1"/>
  <c r="O300" i="3" s="1"/>
  <c r="O301" i="3" a="1"/>
  <c r="O301" i="3" s="1"/>
  <c r="O302" i="3" a="1"/>
  <c r="O302" i="3" s="1"/>
  <c r="O303" i="3" a="1"/>
  <c r="O303" i="3" s="1"/>
  <c r="O304" i="3" a="1"/>
  <c r="O304" i="3" s="1"/>
  <c r="O305" i="3" a="1"/>
  <c r="O305" i="3" s="1"/>
  <c r="O306" i="3" a="1"/>
  <c r="O306" i="3" s="1"/>
  <c r="O307" i="3" a="1"/>
  <c r="O307" i="3" s="1"/>
  <c r="O308" i="3" a="1"/>
  <c r="O308" i="3" s="1"/>
  <c r="O309" i="3" a="1"/>
  <c r="O309" i="3" s="1"/>
  <c r="O310" i="3" a="1"/>
  <c r="O310" i="3" s="1"/>
  <c r="O311" i="3" a="1"/>
  <c r="O311" i="3" s="1"/>
  <c r="O312" i="3" a="1"/>
  <c r="O312" i="3" s="1"/>
  <c r="O313" i="3" a="1"/>
  <c r="O313" i="3" s="1"/>
  <c r="O314" i="3" a="1"/>
  <c r="O314" i="3" s="1"/>
  <c r="O315" i="3" a="1"/>
  <c r="O315" i="3" s="1"/>
  <c r="O316" i="3" a="1"/>
  <c r="O316" i="3" s="1"/>
  <c r="O317" i="3" a="1"/>
  <c r="O317" i="3" s="1"/>
  <c r="O318" i="3" a="1"/>
  <c r="O318" i="3" s="1"/>
  <c r="O319" i="3" a="1"/>
  <c r="O319" i="3" s="1"/>
  <c r="O320" i="3" a="1"/>
  <c r="O320" i="3" s="1"/>
  <c r="O321" i="3" a="1"/>
  <c r="O321" i="3" s="1"/>
  <c r="O322" i="3" a="1"/>
  <c r="O322" i="3" s="1"/>
  <c r="O323" i="3" a="1"/>
  <c r="O323" i="3" s="1"/>
  <c r="O324" i="3" a="1"/>
  <c r="O324" i="3" s="1"/>
  <c r="O325" i="3" a="1"/>
  <c r="O325" i="3" s="1"/>
  <c r="O326" i="3" a="1"/>
  <c r="O326" i="3" s="1"/>
  <c r="O327" i="3" a="1"/>
  <c r="O327" i="3" s="1"/>
  <c r="O328" i="3" a="1"/>
  <c r="O328" i="3" s="1"/>
  <c r="O329" i="3" a="1"/>
  <c r="O329" i="3" s="1"/>
  <c r="O330" i="3" a="1"/>
  <c r="O330" i="3" s="1"/>
  <c r="O331" i="3" a="1"/>
  <c r="O331" i="3" s="1"/>
  <c r="O332" i="3" a="1"/>
  <c r="O332" i="3" s="1"/>
  <c r="O333" i="3" a="1"/>
  <c r="O333" i="3" s="1"/>
  <c r="O334" i="3" a="1"/>
  <c r="O334" i="3" s="1"/>
  <c r="O335" i="3" a="1"/>
  <c r="O335" i="3" s="1"/>
  <c r="O336" i="3" a="1"/>
  <c r="O336" i="3" s="1"/>
  <c r="O337" i="3" a="1"/>
  <c r="O337" i="3" s="1"/>
  <c r="O338" i="3" a="1"/>
  <c r="O338" i="3" s="1"/>
  <c r="O339" i="3" a="1"/>
  <c r="O339" i="3" s="1"/>
  <c r="O340" i="3" a="1"/>
  <c r="O340" i="3" s="1"/>
  <c r="O341" i="3" a="1"/>
  <c r="O341" i="3" s="1"/>
  <c r="O342" i="3" a="1"/>
  <c r="O342" i="3" s="1"/>
  <c r="O343" i="3" a="1"/>
  <c r="O343" i="3" s="1"/>
  <c r="O344" i="3" a="1"/>
  <c r="O344" i="3" s="1"/>
  <c r="O345" i="3" a="1"/>
  <c r="O345" i="3" s="1"/>
  <c r="O346" i="3" a="1"/>
  <c r="O346" i="3" s="1"/>
  <c r="O347" i="3" a="1"/>
  <c r="O347" i="3" s="1"/>
  <c r="O348" i="3" a="1"/>
  <c r="O348" i="3" s="1"/>
  <c r="O349" i="3" a="1"/>
  <c r="O349" i="3" s="1"/>
  <c r="O350" i="3" a="1"/>
  <c r="O350" i="3" s="1"/>
  <c r="O351" i="3" a="1"/>
  <c r="O351" i="3" s="1"/>
  <c r="O352" i="3" a="1"/>
  <c r="O352" i="3" s="1"/>
  <c r="O353" i="3" a="1"/>
  <c r="O353" i="3" s="1"/>
  <c r="O354" i="3" a="1"/>
  <c r="O354" i="3" s="1"/>
  <c r="O355" i="3" a="1"/>
  <c r="O355" i="3"/>
  <c r="O356" i="3" a="1"/>
  <c r="O356" i="3" s="1"/>
  <c r="O357" i="3" a="1"/>
  <c r="O357" i="3" s="1"/>
  <c r="O358" i="3" a="1"/>
  <c r="O358" i="3" s="1"/>
  <c r="O359" i="3" a="1"/>
  <c r="O359" i="3" s="1"/>
  <c r="O360" i="3" a="1"/>
  <c r="O360" i="3" s="1"/>
  <c r="O361" i="3" a="1"/>
  <c r="O361" i="3" s="1"/>
  <c r="O362" i="3" a="1"/>
  <c r="O362" i="3" s="1"/>
  <c r="O363" i="3" a="1"/>
  <c r="O363" i="3" s="1"/>
  <c r="O364" i="3" a="1"/>
  <c r="O364" i="3" s="1"/>
  <c r="O365" i="3" a="1"/>
  <c r="O365" i="3" s="1"/>
  <c r="O366" i="3" a="1"/>
  <c r="O366" i="3" s="1"/>
  <c r="O367" i="3" a="1"/>
  <c r="O367" i="3" s="1"/>
  <c r="O368" i="3" a="1"/>
  <c r="O368" i="3" s="1"/>
  <c r="O369" i="3" a="1"/>
  <c r="O369" i="3" s="1"/>
  <c r="O370" i="3" a="1"/>
  <c r="O370" i="3" s="1"/>
  <c r="O371" i="3" a="1"/>
  <c r="O371" i="3" s="1"/>
  <c r="O372" i="3" a="1"/>
  <c r="O372" i="3" s="1"/>
  <c r="O373" i="3" a="1"/>
  <c r="O373" i="3" s="1"/>
  <c r="O374" i="3" a="1"/>
  <c r="O374" i="3" s="1"/>
  <c r="O375" i="3" a="1"/>
  <c r="O375" i="3" s="1"/>
  <c r="O376" i="3" a="1"/>
  <c r="O376" i="3" s="1"/>
  <c r="O377" i="3" a="1"/>
  <c r="O377" i="3" s="1"/>
  <c r="O378" i="3" a="1"/>
  <c r="O378" i="3" s="1"/>
  <c r="O379" i="3" a="1"/>
  <c r="O379" i="3" s="1"/>
  <c r="O380" i="3" a="1"/>
  <c r="O380" i="3" s="1"/>
  <c r="O381" i="3" a="1"/>
  <c r="O381" i="3" s="1"/>
  <c r="O382" i="3" a="1"/>
  <c r="O382" i="3" s="1"/>
  <c r="O383" i="3" a="1"/>
  <c r="O383" i="3" s="1"/>
  <c r="O384" i="3" a="1"/>
  <c r="O384" i="3" s="1"/>
  <c r="O385" i="3" a="1"/>
  <c r="O385" i="3" s="1"/>
  <c r="O386" i="3" a="1"/>
  <c r="O386" i="3" s="1"/>
  <c r="O387" i="3" a="1"/>
  <c r="O387" i="3" s="1"/>
  <c r="O388" i="3" a="1"/>
  <c r="O388" i="3" s="1"/>
  <c r="O389" i="3" a="1"/>
  <c r="O389" i="3" s="1"/>
  <c r="O390" i="3" a="1"/>
  <c r="O390" i="3" s="1"/>
  <c r="O391" i="3" a="1"/>
  <c r="O391" i="3" s="1"/>
  <c r="O392" i="3" a="1"/>
  <c r="O392" i="3" s="1"/>
  <c r="O393" i="3" a="1"/>
  <c r="O393" i="3" s="1"/>
  <c r="O394" i="3" a="1"/>
  <c r="O394" i="3" s="1"/>
  <c r="O395" i="3" a="1"/>
  <c r="O395" i="3" s="1"/>
  <c r="O396" i="3" a="1"/>
  <c r="O396" i="3" s="1"/>
  <c r="O397" i="3" a="1"/>
  <c r="O397" i="3" s="1"/>
  <c r="O398" i="3" a="1"/>
  <c r="O398" i="3" s="1"/>
  <c r="O399" i="3" a="1"/>
  <c r="O399" i="3" s="1"/>
  <c r="O400" i="3" a="1"/>
  <c r="O400" i="3" s="1"/>
  <c r="O401" i="3" a="1"/>
  <c r="O401" i="3" s="1"/>
  <c r="O402" i="3" a="1"/>
  <c r="O402" i="3" s="1"/>
  <c r="O403" i="3" a="1"/>
  <c r="O403" i="3" s="1"/>
  <c r="O404" i="3" a="1"/>
  <c r="O404" i="3" s="1"/>
  <c r="O405" i="3" a="1"/>
  <c r="O405" i="3" s="1"/>
  <c r="O406" i="3" a="1"/>
  <c r="O406" i="3" s="1"/>
  <c r="O407" i="3" a="1"/>
  <c r="O407" i="3" s="1"/>
  <c r="O408" i="3" a="1"/>
  <c r="O408" i="3" s="1"/>
  <c r="O409" i="3" a="1"/>
  <c r="O409" i="3" s="1"/>
  <c r="O410" i="3" a="1"/>
  <c r="O410" i="3" s="1"/>
  <c r="O411" i="3" a="1"/>
  <c r="O411" i="3" s="1"/>
  <c r="O412" i="3" a="1"/>
  <c r="O412" i="3" s="1"/>
  <c r="O413" i="3" a="1"/>
  <c r="O413" i="3" s="1"/>
  <c r="O414" i="3" a="1"/>
  <c r="O414" i="3" s="1"/>
  <c r="O415" i="3" a="1"/>
  <c r="O415" i="3" s="1"/>
  <c r="O416" i="3" a="1"/>
  <c r="O416" i="3" s="1"/>
  <c r="O417" i="3" a="1"/>
  <c r="O417" i="3" s="1"/>
  <c r="O418" i="3" a="1"/>
  <c r="O418" i="3" s="1"/>
  <c r="O419" i="3" a="1"/>
  <c r="O419" i="3" s="1"/>
  <c r="O420" i="3" a="1"/>
  <c r="O420" i="3" s="1"/>
  <c r="O421" i="3" a="1"/>
  <c r="O421" i="3" s="1"/>
  <c r="O422" i="3" a="1"/>
  <c r="O422" i="3" s="1"/>
  <c r="O423" i="3" a="1"/>
  <c r="O423" i="3" s="1"/>
  <c r="O424" i="3" a="1"/>
  <c r="O424" i="3" s="1"/>
  <c r="O425" i="3" a="1"/>
  <c r="O425" i="3" s="1"/>
  <c r="O426" i="3" a="1"/>
  <c r="O426" i="3" s="1"/>
  <c r="O427" i="3" a="1"/>
  <c r="O427" i="3" s="1"/>
  <c r="O428" i="3" a="1"/>
  <c r="O428" i="3" s="1"/>
  <c r="O429" i="3" a="1"/>
  <c r="O429" i="3" s="1"/>
  <c r="O430" i="3" a="1"/>
  <c r="O430" i="3" s="1"/>
  <c r="O431" i="3" a="1"/>
  <c r="O431" i="3" s="1"/>
  <c r="O432" i="3" a="1"/>
  <c r="O432" i="3" s="1"/>
  <c r="O433" i="3" a="1"/>
  <c r="O433" i="3" s="1"/>
  <c r="O434" i="3" a="1"/>
  <c r="O434" i="3" s="1"/>
  <c r="O435" i="3" a="1"/>
  <c r="O435" i="3" s="1"/>
  <c r="O436" i="3" a="1"/>
  <c r="O436" i="3" s="1"/>
  <c r="O437" i="3" a="1"/>
  <c r="O437" i="3" s="1"/>
  <c r="O438" i="3" a="1"/>
  <c r="O438" i="3" s="1"/>
  <c r="O439" i="3" a="1"/>
  <c r="O439" i="3" s="1"/>
  <c r="O440" i="3" a="1"/>
  <c r="O440" i="3" s="1"/>
  <c r="O441" i="3" a="1"/>
  <c r="O441" i="3" s="1"/>
  <c r="O442" i="3" a="1"/>
  <c r="O442" i="3" s="1"/>
  <c r="O443" i="3" a="1"/>
  <c r="O443" i="3" s="1"/>
  <c r="O444" i="3" a="1"/>
  <c r="O444" i="3" s="1"/>
  <c r="O445" i="3" a="1"/>
  <c r="O445" i="3" s="1"/>
  <c r="O446" i="3" a="1"/>
  <c r="O446" i="3" s="1"/>
  <c r="O447" i="3" a="1"/>
  <c r="O447" i="3" s="1"/>
  <c r="O448" i="3" a="1"/>
  <c r="O448" i="3" s="1"/>
  <c r="O449" i="3" a="1"/>
  <c r="O449" i="3" s="1"/>
  <c r="O450" i="3" a="1"/>
  <c r="O450" i="3" s="1"/>
  <c r="O451" i="3" a="1"/>
  <c r="O451" i="3"/>
  <c r="O452" i="3" a="1"/>
  <c r="O452" i="3" s="1"/>
  <c r="O453" i="3" a="1"/>
  <c r="O453" i="3" s="1"/>
  <c r="O454" i="3" a="1"/>
  <c r="O454" i="3" s="1"/>
  <c r="O455" i="3" a="1"/>
  <c r="O455" i="3" s="1"/>
  <c r="O456" i="3" a="1"/>
  <c r="O456" i="3" s="1"/>
  <c r="O457" i="3" a="1"/>
  <c r="O457" i="3" s="1"/>
  <c r="O458" i="3" a="1"/>
  <c r="O458" i="3" s="1"/>
  <c r="O459" i="3" a="1"/>
  <c r="O459" i="3" s="1"/>
  <c r="O460" i="3" a="1"/>
  <c r="O460" i="3" s="1"/>
  <c r="O461" i="3" a="1"/>
  <c r="O461" i="3" s="1"/>
  <c r="O462" i="3" a="1"/>
  <c r="O462" i="3" s="1"/>
  <c r="O463" i="3" a="1"/>
  <c r="O463" i="3" s="1"/>
  <c r="O464" i="3" a="1"/>
  <c r="O464" i="3" s="1"/>
  <c r="O465" i="3" a="1"/>
  <c r="O465" i="3" s="1"/>
  <c r="O466" i="3" a="1"/>
  <c r="O466" i="3" s="1"/>
  <c r="O467" i="3" a="1"/>
  <c r="O467" i="3" s="1"/>
  <c r="O468" i="3" a="1"/>
  <c r="O468" i="3" s="1"/>
  <c r="O469" i="3" a="1"/>
  <c r="O469" i="3" s="1"/>
  <c r="O470" i="3" a="1"/>
  <c r="O470" i="3" s="1"/>
  <c r="O471" i="3" a="1"/>
  <c r="O471" i="3" s="1"/>
  <c r="O472" i="3" a="1"/>
  <c r="O472" i="3" s="1"/>
  <c r="O473" i="3" a="1"/>
  <c r="O473" i="3" s="1"/>
  <c r="O474" i="3" a="1"/>
  <c r="O474" i="3" s="1"/>
  <c r="O475" i="3" a="1"/>
  <c r="O475" i="3" s="1"/>
  <c r="O476" i="3" a="1"/>
  <c r="O476" i="3" s="1"/>
  <c r="O477" i="3" a="1"/>
  <c r="O477" i="3" s="1"/>
  <c r="O478" i="3" a="1"/>
  <c r="O478" i="3" s="1"/>
  <c r="O479" i="3" a="1"/>
  <c r="O479" i="3" s="1"/>
  <c r="O480" i="3" a="1"/>
  <c r="O480" i="3" s="1"/>
  <c r="O481" i="3" a="1"/>
  <c r="O481" i="3" s="1"/>
  <c r="O482" i="3" a="1"/>
  <c r="O482" i="3" s="1"/>
  <c r="O483" i="3" a="1"/>
  <c r="O483" i="3" s="1"/>
  <c r="O484" i="3" a="1"/>
  <c r="O484" i="3" s="1"/>
  <c r="O485" i="3" a="1"/>
  <c r="O485" i="3" s="1"/>
  <c r="O486" i="3" a="1"/>
  <c r="O486" i="3" s="1"/>
  <c r="O487" i="3" a="1"/>
  <c r="O487" i="3" s="1"/>
  <c r="O488" i="3" a="1"/>
  <c r="O488" i="3" s="1"/>
  <c r="O489" i="3" a="1"/>
  <c r="O489" i="3" s="1"/>
  <c r="O490" i="3" a="1"/>
  <c r="O490" i="3" s="1"/>
  <c r="O491" i="3" a="1"/>
  <c r="O491" i="3" s="1"/>
  <c r="O492" i="3" a="1"/>
  <c r="O492" i="3" s="1"/>
  <c r="O493" i="3" a="1"/>
  <c r="O493" i="3" s="1"/>
  <c r="O494" i="3" a="1"/>
  <c r="O494" i="3" s="1"/>
  <c r="O495" i="3" a="1"/>
  <c r="O495" i="3" s="1"/>
  <c r="O496" i="3" a="1"/>
  <c r="O496" i="3" s="1"/>
  <c r="O497" i="3" a="1"/>
  <c r="O497" i="3" s="1"/>
  <c r="O498" i="3" a="1"/>
  <c r="O498" i="3" s="1"/>
  <c r="O499" i="3" a="1"/>
  <c r="O499" i="3" s="1"/>
  <c r="O500" i="3" a="1"/>
  <c r="O500" i="3" s="1"/>
  <c r="O501" i="3" a="1"/>
  <c r="O501" i="3" s="1"/>
  <c r="O502" i="3" a="1"/>
  <c r="O502" i="3" s="1"/>
  <c r="O503" i="3" a="1"/>
  <c r="O503" i="3" s="1"/>
  <c r="O504" i="3" a="1"/>
  <c r="O504" i="3" s="1"/>
  <c r="O505" i="3" a="1"/>
  <c r="O505" i="3" s="1"/>
  <c r="O506" i="3" a="1"/>
  <c r="O506" i="3" s="1"/>
  <c r="O507" i="3" a="1"/>
  <c r="O507" i="3" s="1"/>
  <c r="O508" i="3" a="1"/>
  <c r="O508" i="3" s="1"/>
  <c r="O509" i="3" a="1"/>
  <c r="O509" i="3" s="1"/>
  <c r="O510" i="3" a="1"/>
  <c r="O510" i="3" s="1"/>
  <c r="O511" i="3" a="1"/>
  <c r="O511" i="3" s="1"/>
  <c r="O512" i="3" a="1"/>
  <c r="O512" i="3" s="1"/>
  <c r="O513" i="3" a="1"/>
  <c r="O513" i="3" s="1"/>
  <c r="O514" i="3" a="1"/>
  <c r="O514" i="3" s="1"/>
  <c r="O515" i="3" a="1"/>
  <c r="O515" i="3" s="1"/>
  <c r="O516" i="3" a="1"/>
  <c r="O516" i="3" s="1"/>
  <c r="O517" i="3" a="1"/>
  <c r="O517" i="3" s="1"/>
  <c r="O518" i="3" a="1"/>
  <c r="O518" i="3" s="1"/>
  <c r="O519" i="3" a="1"/>
  <c r="O519" i="3" s="1"/>
  <c r="O520" i="3" a="1"/>
  <c r="O520" i="3" s="1"/>
  <c r="O521" i="3" a="1"/>
  <c r="O521" i="3" s="1"/>
  <c r="O522" i="3" a="1"/>
  <c r="O522" i="3" s="1"/>
  <c r="O523" i="3" a="1"/>
  <c r="O523" i="3" s="1"/>
  <c r="O524" i="3" a="1"/>
  <c r="O524" i="3" s="1"/>
  <c r="O525" i="3" a="1"/>
  <c r="O525" i="3" s="1"/>
  <c r="O526" i="3" a="1"/>
  <c r="O526" i="3" s="1"/>
  <c r="O527" i="3" a="1"/>
  <c r="O527" i="3" s="1"/>
  <c r="O528" i="3" a="1"/>
  <c r="O528" i="3" s="1"/>
  <c r="O529" i="3" a="1"/>
  <c r="O529" i="3" s="1"/>
  <c r="O530" i="3" a="1"/>
  <c r="O530" i="3" s="1"/>
  <c r="O531" i="3" a="1"/>
  <c r="O531" i="3" s="1"/>
  <c r="O532" i="3" a="1"/>
  <c r="O532" i="3" s="1"/>
  <c r="O533" i="3" a="1"/>
  <c r="O533" i="3" s="1"/>
  <c r="O534" i="3" a="1"/>
  <c r="O534" i="3" s="1"/>
  <c r="O535" i="3" a="1"/>
  <c r="O535" i="3" s="1"/>
  <c r="O536" i="3" a="1"/>
  <c r="O536" i="3" s="1"/>
  <c r="O537" i="3" a="1"/>
  <c r="O537" i="3" s="1"/>
  <c r="O538" i="3" a="1"/>
  <c r="O538" i="3" s="1"/>
  <c r="O539" i="3" a="1"/>
  <c r="O539" i="3" s="1"/>
  <c r="O540" i="3" a="1"/>
  <c r="O540" i="3" s="1"/>
  <c r="O541" i="3" a="1"/>
  <c r="O541" i="3" s="1"/>
  <c r="O542" i="3" a="1"/>
  <c r="O542" i="3" s="1"/>
  <c r="O543" i="3" a="1"/>
  <c r="O543" i="3" s="1"/>
  <c r="O544" i="3" a="1"/>
  <c r="O544" i="3" s="1"/>
  <c r="O545" i="3" a="1"/>
  <c r="O545" i="3" s="1"/>
  <c r="O546" i="3" a="1"/>
  <c r="O546" i="3" s="1"/>
  <c r="O547" i="3" a="1"/>
  <c r="O547" i="3" s="1"/>
  <c r="O548" i="3" a="1"/>
  <c r="O548" i="3" s="1"/>
  <c r="O549" i="3" a="1"/>
  <c r="O549" i="3" s="1"/>
  <c r="O550" i="3" a="1"/>
  <c r="O550" i="3" s="1"/>
  <c r="O551" i="3" a="1"/>
  <c r="O551" i="3" s="1"/>
  <c r="O552" i="3" a="1"/>
  <c r="O552" i="3" s="1"/>
  <c r="O553" i="3" a="1"/>
  <c r="O553" i="3" s="1"/>
  <c r="O554" i="3" a="1"/>
  <c r="O554" i="3" s="1"/>
  <c r="O555" i="3" a="1"/>
  <c r="O555" i="3" s="1"/>
  <c r="O557" i="3" a="1"/>
  <c r="O557" i="3" s="1"/>
  <c r="O558" i="3" a="1"/>
  <c r="O558" i="3" s="1"/>
  <c r="O559" i="3" a="1"/>
  <c r="O559" i="3" s="1"/>
  <c r="O560" i="3" a="1"/>
  <c r="O560" i="3" s="1"/>
  <c r="O561" i="3" a="1"/>
  <c r="O561" i="3" s="1"/>
  <c r="O562" i="3" a="1"/>
  <c r="O562" i="3" s="1"/>
  <c r="O563" i="3" a="1"/>
  <c r="O563" i="3" s="1"/>
  <c r="O564" i="3" a="1"/>
  <c r="O564" i="3" s="1"/>
  <c r="O565" i="3" a="1"/>
  <c r="O565" i="3" s="1"/>
  <c r="O566" i="3" a="1"/>
  <c r="O566" i="3" s="1"/>
  <c r="O567" i="3" a="1"/>
  <c r="O567" i="3" s="1"/>
  <c r="O568" i="3" a="1"/>
  <c r="O568" i="3" s="1"/>
  <c r="O569" i="3" a="1"/>
  <c r="O569" i="3" s="1"/>
  <c r="O570" i="3" a="1"/>
  <c r="O570" i="3" s="1"/>
  <c r="O571" i="3" a="1"/>
  <c r="O571" i="3" s="1"/>
  <c r="O572" i="3" a="1"/>
  <c r="O572" i="3" s="1"/>
  <c r="O573" i="3" a="1"/>
  <c r="O573" i="3" s="1"/>
  <c r="O574" i="3" a="1"/>
  <c r="O574" i="3" s="1"/>
  <c r="O575" i="3" a="1"/>
  <c r="O575" i="3" s="1"/>
  <c r="O576" i="3" a="1"/>
  <c r="O576" i="3" s="1"/>
  <c r="O577" i="3" a="1"/>
  <c r="O577" i="3" s="1"/>
  <c r="O578" i="3" a="1"/>
  <c r="O578" i="3" s="1"/>
  <c r="O579" i="3" a="1"/>
  <c r="O579" i="3" s="1"/>
  <c r="P2" i="3" a="1"/>
  <c r="P2" i="3" s="1"/>
  <c r="O2" i="3" a="1"/>
  <c r="O2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N17" i="3" a="1"/>
  <c r="N17" i="3" s="1"/>
  <c r="N18" i="3" a="1"/>
  <c r="N18" i="3" s="1"/>
  <c r="N19" i="3" a="1"/>
  <c r="N19" i="3" s="1"/>
  <c r="N20" i="3" a="1"/>
  <c r="N20" i="3" s="1"/>
  <c r="N21" i="3" a="1"/>
  <c r="N21" i="3" s="1"/>
  <c r="N22" i="3" a="1"/>
  <c r="N22" i="3" s="1"/>
  <c r="N23" i="3" a="1"/>
  <c r="N23" i="3" s="1"/>
  <c r="N24" i="3" a="1"/>
  <c r="N24" i="3" s="1"/>
  <c r="N25" i="3" a="1"/>
  <c r="N25" i="3" s="1"/>
  <c r="N26" i="3" a="1"/>
  <c r="N26" i="3" s="1"/>
  <c r="N27" i="3" a="1"/>
  <c r="N27" i="3" s="1"/>
  <c r="N28" i="3" a="1"/>
  <c r="N28" i="3" s="1"/>
  <c r="N29" i="3" a="1"/>
  <c r="N29" i="3" s="1"/>
  <c r="N30" i="3" a="1"/>
  <c r="N30" i="3" s="1"/>
  <c r="N31" i="3" a="1"/>
  <c r="N31" i="3" s="1"/>
  <c r="N32" i="3" a="1"/>
  <c r="N32" i="3" s="1"/>
  <c r="N33" i="3" a="1"/>
  <c r="N33" i="3" s="1"/>
  <c r="N34" i="3" a="1"/>
  <c r="N34" i="3" s="1"/>
  <c r="N35" i="3" a="1"/>
  <c r="N35" i="3" s="1"/>
  <c r="N36" i="3" a="1"/>
  <c r="N36" i="3" s="1"/>
  <c r="N37" i="3" a="1"/>
  <c r="N37" i="3" s="1"/>
  <c r="N38" i="3" a="1"/>
  <c r="N38" i="3" s="1"/>
  <c r="N39" i="3" a="1"/>
  <c r="N39" i="3" s="1"/>
  <c r="N40" i="3" a="1"/>
  <c r="N40" i="3" s="1"/>
  <c r="N41" i="3" a="1"/>
  <c r="N41" i="3" s="1"/>
  <c r="N42" i="3" a="1"/>
  <c r="N42" i="3" s="1"/>
  <c r="N43" i="3" a="1"/>
  <c r="N43" i="3" s="1"/>
  <c r="N44" i="3" a="1"/>
  <c r="N44" i="3" s="1"/>
  <c r="N45" i="3" a="1"/>
  <c r="N45" i="3" s="1"/>
  <c r="N46" i="3" a="1"/>
  <c r="N46" i="3" s="1"/>
  <c r="N47" i="3" a="1"/>
  <c r="N47" i="3" s="1"/>
  <c r="N48" i="3" a="1"/>
  <c r="N48" i="3" s="1"/>
  <c r="N49" i="3" a="1"/>
  <c r="N49" i="3" s="1"/>
  <c r="N50" i="3" a="1"/>
  <c r="N50" i="3" s="1"/>
  <c r="N51" i="3" a="1"/>
  <c r="N51" i="3" s="1"/>
  <c r="N52" i="3" a="1"/>
  <c r="N52" i="3" s="1"/>
  <c r="N53" i="3" a="1"/>
  <c r="N53" i="3" s="1"/>
  <c r="N54" i="3" a="1"/>
  <c r="N54" i="3" s="1"/>
  <c r="N55" i="3" a="1"/>
  <c r="N55" i="3" s="1"/>
  <c r="N56" i="3" a="1"/>
  <c r="N56" i="3" s="1"/>
  <c r="N57" i="3" a="1"/>
  <c r="N57" i="3" s="1"/>
  <c r="N58" i="3" a="1"/>
  <c r="N58" i="3" s="1"/>
  <c r="N59" i="3" a="1"/>
  <c r="N59" i="3" s="1"/>
  <c r="N60" i="3" a="1"/>
  <c r="N60" i="3" s="1"/>
  <c r="N61" i="3" a="1"/>
  <c r="N61" i="3" s="1"/>
  <c r="N62" i="3" a="1"/>
  <c r="N62" i="3" s="1"/>
  <c r="N63" i="3" a="1"/>
  <c r="N63" i="3" s="1"/>
  <c r="N64" i="3" a="1"/>
  <c r="N64" i="3" s="1"/>
  <c r="N65" i="3" a="1"/>
  <c r="N65" i="3" s="1"/>
  <c r="N66" i="3" a="1"/>
  <c r="N66" i="3" s="1"/>
  <c r="N67" i="3" a="1"/>
  <c r="N67" i="3" s="1"/>
  <c r="N68" i="3" a="1"/>
  <c r="N68" i="3" s="1"/>
  <c r="N69" i="3" a="1"/>
  <c r="N69" i="3" s="1"/>
  <c r="N70" i="3" a="1"/>
  <c r="N70" i="3" s="1"/>
  <c r="N71" i="3" a="1"/>
  <c r="N71" i="3" s="1"/>
  <c r="N72" i="3" a="1"/>
  <c r="N72" i="3" s="1"/>
  <c r="N73" i="3" a="1"/>
  <c r="N73" i="3" s="1"/>
  <c r="N74" i="3" a="1"/>
  <c r="N74" i="3" s="1"/>
  <c r="N75" i="3" a="1"/>
  <c r="N75" i="3" s="1"/>
  <c r="N76" i="3" a="1"/>
  <c r="N76" i="3" s="1"/>
  <c r="N77" i="3" a="1"/>
  <c r="N77" i="3" s="1"/>
  <c r="N78" i="3" a="1"/>
  <c r="N78" i="3" s="1"/>
  <c r="N79" i="3" a="1"/>
  <c r="N79" i="3" s="1"/>
  <c r="N80" i="3" a="1"/>
  <c r="N80" i="3" s="1"/>
  <c r="N81" i="3" a="1"/>
  <c r="N81" i="3" s="1"/>
  <c r="N82" i="3" a="1"/>
  <c r="N82" i="3" s="1"/>
  <c r="N83" i="3" a="1"/>
  <c r="N83" i="3" s="1"/>
  <c r="N84" i="3" a="1"/>
  <c r="N84" i="3" s="1"/>
  <c r="N85" i="3" a="1"/>
  <c r="N85" i="3" s="1"/>
  <c r="N86" i="3" a="1"/>
  <c r="N86" i="3" s="1"/>
  <c r="N87" i="3" a="1"/>
  <c r="N87" i="3" s="1"/>
  <c r="N88" i="3" a="1"/>
  <c r="N88" i="3" s="1"/>
  <c r="N89" i="3" a="1"/>
  <c r="N89" i="3" s="1"/>
  <c r="N90" i="3" a="1"/>
  <c r="N90" i="3" s="1"/>
  <c r="N91" i="3" a="1"/>
  <c r="N91" i="3" s="1"/>
  <c r="N92" i="3" a="1"/>
  <c r="N92" i="3" s="1"/>
  <c r="N93" i="3" a="1"/>
  <c r="N93" i="3" s="1"/>
  <c r="N94" i="3" a="1"/>
  <c r="N94" i="3" s="1"/>
  <c r="N95" i="3" a="1"/>
  <c r="N95" i="3" s="1"/>
  <c r="N96" i="3" a="1"/>
  <c r="N96" i="3" s="1"/>
  <c r="N97" i="3" a="1"/>
  <c r="N97" i="3" s="1"/>
  <c r="N98" i="3" a="1"/>
  <c r="N98" i="3" s="1"/>
  <c r="N99" i="3" a="1"/>
  <c r="N99" i="3" s="1"/>
  <c r="N100" i="3" a="1"/>
  <c r="N100" i="3" s="1"/>
  <c r="N101" i="3" a="1"/>
  <c r="N101" i="3" s="1"/>
  <c r="N102" i="3" a="1"/>
  <c r="N102" i="3" s="1"/>
  <c r="N103" i="3" a="1"/>
  <c r="N103" i="3" s="1"/>
  <c r="N104" i="3" a="1"/>
  <c r="N104" i="3" s="1"/>
  <c r="N105" i="3" a="1"/>
  <c r="N105" i="3" s="1"/>
  <c r="N106" i="3" a="1"/>
  <c r="N106" i="3" s="1"/>
  <c r="N107" i="3" a="1"/>
  <c r="N107" i="3" s="1"/>
  <c r="N108" i="3" a="1"/>
  <c r="N108" i="3" s="1"/>
  <c r="N109" i="3" a="1"/>
  <c r="N109" i="3" s="1"/>
  <c r="N110" i="3" a="1"/>
  <c r="N110" i="3" s="1"/>
  <c r="N111" i="3" a="1"/>
  <c r="N111" i="3" s="1"/>
  <c r="N112" i="3" a="1"/>
  <c r="N112" i="3" s="1"/>
  <c r="N113" i="3" a="1"/>
  <c r="N113" i="3" s="1"/>
  <c r="N114" i="3" a="1"/>
  <c r="N114" i="3" s="1"/>
  <c r="N115" i="3" a="1"/>
  <c r="N115" i="3" s="1"/>
  <c r="N116" i="3" a="1"/>
  <c r="N116" i="3" s="1"/>
  <c r="N117" i="3" a="1"/>
  <c r="N117" i="3" s="1"/>
  <c r="N118" i="3" a="1"/>
  <c r="N118" i="3" s="1"/>
  <c r="N119" i="3" a="1"/>
  <c r="N119" i="3" s="1"/>
  <c r="N120" i="3" a="1"/>
  <c r="N120" i="3" s="1"/>
  <c r="N121" i="3" a="1"/>
  <c r="N121" i="3" s="1"/>
  <c r="N122" i="3" a="1"/>
  <c r="N122" i="3" s="1"/>
  <c r="N123" i="3" a="1"/>
  <c r="N123" i="3" s="1"/>
  <c r="N124" i="3" a="1"/>
  <c r="N124" i="3" s="1"/>
  <c r="N125" i="3" a="1"/>
  <c r="N125" i="3" s="1"/>
  <c r="N126" i="3" a="1"/>
  <c r="N126" i="3" s="1"/>
  <c r="N127" i="3" a="1"/>
  <c r="N127" i="3" s="1"/>
  <c r="N128" i="3" a="1"/>
  <c r="N128" i="3" s="1"/>
  <c r="N129" i="3" a="1"/>
  <c r="N129" i="3" s="1"/>
  <c r="N130" i="3" a="1"/>
  <c r="N130" i="3" s="1"/>
  <c r="N131" i="3" a="1"/>
  <c r="N131" i="3" s="1"/>
  <c r="N132" i="3" a="1"/>
  <c r="N132" i="3" s="1"/>
  <c r="N133" i="3" a="1"/>
  <c r="N133" i="3" s="1"/>
  <c r="N134" i="3" a="1"/>
  <c r="N134" i="3" s="1"/>
  <c r="N135" i="3" a="1"/>
  <c r="N135" i="3" s="1"/>
  <c r="N136" i="3" a="1"/>
  <c r="N136" i="3" s="1"/>
  <c r="N137" i="3" a="1"/>
  <c r="N137" i="3" s="1"/>
  <c r="N138" i="3" a="1"/>
  <c r="N138" i="3" s="1"/>
  <c r="N139" i="3" a="1"/>
  <c r="N139" i="3" s="1"/>
  <c r="N140" i="3" a="1"/>
  <c r="N140" i="3" s="1"/>
  <c r="N141" i="3" a="1"/>
  <c r="N141" i="3" s="1"/>
  <c r="N142" i="3" a="1"/>
  <c r="N142" i="3" s="1"/>
  <c r="N143" i="3" a="1"/>
  <c r="N143" i="3" s="1"/>
  <c r="N144" i="3" a="1"/>
  <c r="N144" i="3" s="1"/>
  <c r="N145" i="3" a="1"/>
  <c r="N145" i="3" s="1"/>
  <c r="N146" i="3" a="1"/>
  <c r="N146" i="3" s="1"/>
  <c r="N147" i="3" a="1"/>
  <c r="N147" i="3" s="1"/>
  <c r="N148" i="3" a="1"/>
  <c r="N148" i="3" s="1"/>
  <c r="N149" i="3" a="1"/>
  <c r="N149" i="3" s="1"/>
  <c r="N150" i="3" a="1"/>
  <c r="N150" i="3" s="1"/>
  <c r="N151" i="3" a="1"/>
  <c r="N151" i="3" s="1"/>
  <c r="N152" i="3" a="1"/>
  <c r="N152" i="3" s="1"/>
  <c r="N153" i="3" a="1"/>
  <c r="N153" i="3" s="1"/>
  <c r="N154" i="3" a="1"/>
  <c r="N154" i="3" s="1"/>
  <c r="N155" i="3" a="1"/>
  <c r="N155" i="3" s="1"/>
  <c r="N156" i="3" a="1"/>
  <c r="N156" i="3" s="1"/>
  <c r="N157" i="3" a="1"/>
  <c r="N157" i="3" s="1"/>
  <c r="N158" i="3" a="1"/>
  <c r="N158" i="3" s="1"/>
  <c r="N159" i="3" a="1"/>
  <c r="N159" i="3" s="1"/>
  <c r="N160" i="3" a="1"/>
  <c r="N160" i="3" s="1"/>
  <c r="N161" i="3" a="1"/>
  <c r="N161" i="3" s="1"/>
  <c r="N162" i="3" a="1"/>
  <c r="N162" i="3" s="1"/>
  <c r="N163" i="3" a="1"/>
  <c r="N163" i="3" s="1"/>
  <c r="N164" i="3" a="1"/>
  <c r="N164" i="3" s="1"/>
  <c r="N165" i="3" a="1"/>
  <c r="N165" i="3" s="1"/>
  <c r="N166" i="3" a="1"/>
  <c r="N166" i="3" s="1"/>
  <c r="N167" i="3" a="1"/>
  <c r="N167" i="3" s="1"/>
  <c r="N168" i="3" a="1"/>
  <c r="N168" i="3" s="1"/>
  <c r="N169" i="3" a="1"/>
  <c r="N169" i="3" s="1"/>
  <c r="N170" i="3" a="1"/>
  <c r="N170" i="3" s="1"/>
  <c r="N171" i="3" a="1"/>
  <c r="N171" i="3" s="1"/>
  <c r="N172" i="3" a="1"/>
  <c r="N172" i="3" s="1"/>
  <c r="N173" i="3" a="1"/>
  <c r="N173" i="3" s="1"/>
  <c r="N174" i="3" a="1"/>
  <c r="N174" i="3" s="1"/>
  <c r="N175" i="3" a="1"/>
  <c r="N175" i="3" s="1"/>
  <c r="N176" i="3" a="1"/>
  <c r="N176" i="3" s="1"/>
  <c r="N177" i="3" a="1"/>
  <c r="N177" i="3" s="1"/>
  <c r="N178" i="3" a="1"/>
  <c r="N178" i="3" s="1"/>
  <c r="N179" i="3" a="1"/>
  <c r="N179" i="3" s="1"/>
  <c r="N180" i="3" a="1"/>
  <c r="N180" i="3" s="1"/>
  <c r="N181" i="3" a="1"/>
  <c r="N181" i="3" s="1"/>
  <c r="N182" i="3" a="1"/>
  <c r="N182" i="3" s="1"/>
  <c r="N183" i="3" a="1"/>
  <c r="N183" i="3" s="1"/>
  <c r="N184" i="3" a="1"/>
  <c r="N184" i="3" s="1"/>
  <c r="N185" i="3" a="1"/>
  <c r="N185" i="3" s="1"/>
  <c r="N186" i="3" a="1"/>
  <c r="N186" i="3" s="1"/>
  <c r="N187" i="3" a="1"/>
  <c r="N187" i="3" s="1"/>
  <c r="N188" i="3" a="1"/>
  <c r="N188" i="3" s="1"/>
  <c r="N189" i="3" a="1"/>
  <c r="N189" i="3" s="1"/>
  <c r="N190" i="3" a="1"/>
  <c r="N190" i="3" s="1"/>
  <c r="N191" i="3" a="1"/>
  <c r="N191" i="3" s="1"/>
  <c r="N192" i="3" a="1"/>
  <c r="N192" i="3" s="1"/>
  <c r="N193" i="3" a="1"/>
  <c r="N193" i="3" s="1"/>
  <c r="N194" i="3" a="1"/>
  <c r="N194" i="3" s="1"/>
  <c r="N195" i="3" a="1"/>
  <c r="N195" i="3" s="1"/>
  <c r="N196" i="3" a="1"/>
  <c r="N196" i="3" s="1"/>
  <c r="N197" i="3" a="1"/>
  <c r="N197" i="3" s="1"/>
  <c r="N198" i="3" a="1"/>
  <c r="N198" i="3" s="1"/>
  <c r="N199" i="3" a="1"/>
  <c r="N199" i="3" s="1"/>
  <c r="N200" i="3" a="1"/>
  <c r="N200" i="3" s="1"/>
  <c r="N201" i="3" a="1"/>
  <c r="N201" i="3" s="1"/>
  <c r="N202" i="3" a="1"/>
  <c r="N202" i="3" s="1"/>
  <c r="N203" i="3" a="1"/>
  <c r="N203" i="3" s="1"/>
  <c r="N204" i="3" a="1"/>
  <c r="N204" i="3" s="1"/>
  <c r="N205" i="3" a="1"/>
  <c r="N205" i="3" s="1"/>
  <c r="N206" i="3" a="1"/>
  <c r="N206" i="3" s="1"/>
  <c r="N207" i="3" a="1"/>
  <c r="N207" i="3" s="1"/>
  <c r="N208" i="3" a="1"/>
  <c r="N208" i="3" s="1"/>
  <c r="N209" i="3" a="1"/>
  <c r="N209" i="3" s="1"/>
  <c r="N210" i="3" a="1"/>
  <c r="N210" i="3" s="1"/>
  <c r="N211" i="3" a="1"/>
  <c r="N211" i="3" s="1"/>
  <c r="N212" i="3" a="1"/>
  <c r="N212" i="3" s="1"/>
  <c r="N213" i="3" a="1"/>
  <c r="N213" i="3" s="1"/>
  <c r="N214" i="3" a="1"/>
  <c r="N214" i="3" s="1"/>
  <c r="N215" i="3" a="1"/>
  <c r="N215" i="3" s="1"/>
  <c r="N216" i="3" a="1"/>
  <c r="N216" i="3" s="1"/>
  <c r="N217" i="3" a="1"/>
  <c r="N217" i="3" s="1"/>
  <c r="N218" i="3" a="1"/>
  <c r="N218" i="3" s="1"/>
  <c r="N219" i="3" a="1"/>
  <c r="N219" i="3" s="1"/>
  <c r="N220" i="3" a="1"/>
  <c r="N220" i="3" s="1"/>
  <c r="N221" i="3" a="1"/>
  <c r="N221" i="3" s="1"/>
  <c r="N222" i="3" a="1"/>
  <c r="N222" i="3" s="1"/>
  <c r="N223" i="3" a="1"/>
  <c r="N223" i="3" s="1"/>
  <c r="N224" i="3" a="1"/>
  <c r="N224" i="3" s="1"/>
  <c r="N225" i="3" a="1"/>
  <c r="N225" i="3" s="1"/>
  <c r="N226" i="3" a="1"/>
  <c r="N226" i="3" s="1"/>
  <c r="N227" i="3" a="1"/>
  <c r="N227" i="3" s="1"/>
  <c r="N228" i="3" a="1"/>
  <c r="N228" i="3" s="1"/>
  <c r="N229" i="3" a="1"/>
  <c r="N229" i="3" s="1"/>
  <c r="N230" i="3" a="1"/>
  <c r="N230" i="3" s="1"/>
  <c r="N231" i="3" a="1"/>
  <c r="N231" i="3" s="1"/>
  <c r="N232" i="3" a="1"/>
  <c r="N232" i="3" s="1"/>
  <c r="N233" i="3" a="1"/>
  <c r="N233" i="3" s="1"/>
  <c r="N234" i="3" a="1"/>
  <c r="N234" i="3" s="1"/>
  <c r="N235" i="3" a="1"/>
  <c r="N235" i="3" s="1"/>
  <c r="N236" i="3" a="1"/>
  <c r="N236" i="3" s="1"/>
  <c r="N237" i="3" a="1"/>
  <c r="N237" i="3" s="1"/>
  <c r="N238" i="3" a="1"/>
  <c r="N238" i="3" s="1"/>
  <c r="N239" i="3" a="1"/>
  <c r="N239" i="3" s="1"/>
  <c r="N240" i="3" a="1"/>
  <c r="N240" i="3" s="1"/>
  <c r="N241" i="3" a="1"/>
  <c r="N241" i="3" s="1"/>
  <c r="N242" i="3" a="1"/>
  <c r="N242" i="3" s="1"/>
  <c r="N243" i="3" a="1"/>
  <c r="N243" i="3" s="1"/>
  <c r="N244" i="3" a="1"/>
  <c r="N244" i="3" s="1"/>
  <c r="N245" i="3" a="1"/>
  <c r="N245" i="3" s="1"/>
  <c r="N246" i="3" a="1"/>
  <c r="N246" i="3" s="1"/>
  <c r="N247" i="3" a="1"/>
  <c r="N247" i="3" s="1"/>
  <c r="N248" i="3" a="1"/>
  <c r="N248" i="3" s="1"/>
  <c r="N249" i="3" a="1"/>
  <c r="N249" i="3" s="1"/>
  <c r="N250" i="3" a="1"/>
  <c r="N250" i="3" s="1"/>
  <c r="N251" i="3" a="1"/>
  <c r="N251" i="3" s="1"/>
  <c r="N252" i="3" a="1"/>
  <c r="N252" i="3" s="1"/>
  <c r="N253" i="3" a="1"/>
  <c r="N253" i="3" s="1"/>
  <c r="N254" i="3" a="1"/>
  <c r="N254" i="3" s="1"/>
  <c r="N255" i="3" a="1"/>
  <c r="N255" i="3" s="1"/>
  <c r="N256" i="3" a="1"/>
  <c r="N256" i="3" s="1"/>
  <c r="N257" i="3" a="1"/>
  <c r="N257" i="3" s="1"/>
  <c r="N258" i="3" a="1"/>
  <c r="N258" i="3" s="1"/>
  <c r="N259" i="3" a="1"/>
  <c r="N259" i="3" s="1"/>
  <c r="N260" i="3" a="1"/>
  <c r="N260" i="3" s="1"/>
  <c r="N261" i="3" a="1"/>
  <c r="N261" i="3" s="1"/>
  <c r="N262" i="3" a="1"/>
  <c r="N262" i="3" s="1"/>
  <c r="N263" i="3" a="1"/>
  <c r="N263" i="3" s="1"/>
  <c r="N264" i="3" a="1"/>
  <c r="N264" i="3" s="1"/>
  <c r="N265" i="3" a="1"/>
  <c r="N265" i="3" s="1"/>
  <c r="N266" i="3" a="1"/>
  <c r="N266" i="3" s="1"/>
  <c r="N267" i="3" a="1"/>
  <c r="N267" i="3" s="1"/>
  <c r="N268" i="3" a="1"/>
  <c r="N268" i="3" s="1"/>
  <c r="N269" i="3" a="1"/>
  <c r="N269" i="3" s="1"/>
  <c r="N270" i="3" a="1"/>
  <c r="N270" i="3" s="1"/>
  <c r="N271" i="3" a="1"/>
  <c r="N271" i="3" s="1"/>
  <c r="N272" i="3" a="1"/>
  <c r="N272" i="3" s="1"/>
  <c r="N273" i="3" a="1"/>
  <c r="N273" i="3" s="1"/>
  <c r="N274" i="3" a="1"/>
  <c r="N274" i="3" s="1"/>
  <c r="N275" i="3" a="1"/>
  <c r="N275" i="3" s="1"/>
  <c r="N276" i="3" a="1"/>
  <c r="N276" i="3" s="1"/>
  <c r="N277" i="3" a="1"/>
  <c r="N277" i="3" s="1"/>
  <c r="N278" i="3" a="1"/>
  <c r="N278" i="3" s="1"/>
  <c r="N279" i="3" a="1"/>
  <c r="N279" i="3" s="1"/>
  <c r="N280" i="3" a="1"/>
  <c r="N280" i="3" s="1"/>
  <c r="N281" i="3" a="1"/>
  <c r="N281" i="3" s="1"/>
  <c r="N282" i="3" a="1"/>
  <c r="N282" i="3" s="1"/>
  <c r="N283" i="3" a="1"/>
  <c r="N283" i="3" s="1"/>
  <c r="N284" i="3" a="1"/>
  <c r="N284" i="3" s="1"/>
  <c r="N285" i="3" a="1"/>
  <c r="N285" i="3" s="1"/>
  <c r="N286" i="3" a="1"/>
  <c r="N286" i="3" s="1"/>
  <c r="N287" i="3" a="1"/>
  <c r="N287" i="3" s="1"/>
  <c r="N288" i="3" a="1"/>
  <c r="N288" i="3" s="1"/>
  <c r="N289" i="3" a="1"/>
  <c r="N289" i="3" s="1"/>
  <c r="N290" i="3" a="1"/>
  <c r="N290" i="3" s="1"/>
  <c r="N291" i="3" a="1"/>
  <c r="N291" i="3" s="1"/>
  <c r="N292" i="3" a="1"/>
  <c r="N292" i="3" s="1"/>
  <c r="N293" i="3" a="1"/>
  <c r="N293" i="3" s="1"/>
  <c r="N294" i="3" a="1"/>
  <c r="N294" i="3" s="1"/>
  <c r="N295" i="3" a="1"/>
  <c r="N295" i="3" s="1"/>
  <c r="N296" i="3" a="1"/>
  <c r="N296" i="3" s="1"/>
  <c r="N297" i="3" a="1"/>
  <c r="N297" i="3" s="1"/>
  <c r="N298" i="3" a="1"/>
  <c r="N298" i="3" s="1"/>
  <c r="N299" i="3" a="1"/>
  <c r="N299" i="3" s="1"/>
  <c r="N300" i="3" a="1"/>
  <c r="N300" i="3" s="1"/>
  <c r="N301" i="3" a="1"/>
  <c r="N301" i="3" s="1"/>
  <c r="N302" i="3" a="1"/>
  <c r="N302" i="3" s="1"/>
  <c r="N303" i="3" a="1"/>
  <c r="N303" i="3" s="1"/>
  <c r="N304" i="3" a="1"/>
  <c r="N304" i="3" s="1"/>
  <c r="N305" i="3" a="1"/>
  <c r="N305" i="3" s="1"/>
  <c r="N306" i="3" a="1"/>
  <c r="N306" i="3" s="1"/>
  <c r="N307" i="3" a="1"/>
  <c r="N307" i="3" s="1"/>
  <c r="N308" i="3" a="1"/>
  <c r="N308" i="3" s="1"/>
  <c r="N309" i="3" a="1"/>
  <c r="N309" i="3" s="1"/>
  <c r="N310" i="3" a="1"/>
  <c r="N310" i="3" s="1"/>
  <c r="N311" i="3" a="1"/>
  <c r="N311" i="3" s="1"/>
  <c r="N312" i="3" a="1"/>
  <c r="N312" i="3" s="1"/>
  <c r="N313" i="3" a="1"/>
  <c r="N313" i="3" s="1"/>
  <c r="N314" i="3" a="1"/>
  <c r="N314" i="3" s="1"/>
  <c r="N315" i="3" a="1"/>
  <c r="N315" i="3" s="1"/>
  <c r="N316" i="3" a="1"/>
  <c r="N316" i="3" s="1"/>
  <c r="N317" i="3" a="1"/>
  <c r="N317" i="3" s="1"/>
  <c r="N318" i="3" a="1"/>
  <c r="N318" i="3" s="1"/>
  <c r="N319" i="3" a="1"/>
  <c r="N319" i="3" s="1"/>
  <c r="N320" i="3" a="1"/>
  <c r="N320" i="3" s="1"/>
  <c r="N321" i="3" a="1"/>
  <c r="N321" i="3" s="1"/>
  <c r="N322" i="3" a="1"/>
  <c r="N322" i="3" s="1"/>
  <c r="N323" i="3" a="1"/>
  <c r="N323" i="3" s="1"/>
  <c r="N324" i="3" a="1"/>
  <c r="N324" i="3" s="1"/>
  <c r="N325" i="3" a="1"/>
  <c r="N325" i="3" s="1"/>
  <c r="N326" i="3" a="1"/>
  <c r="N326" i="3" s="1"/>
  <c r="N327" i="3" a="1"/>
  <c r="N327" i="3" s="1"/>
  <c r="N328" i="3" a="1"/>
  <c r="N328" i="3" s="1"/>
  <c r="N329" i="3" a="1"/>
  <c r="N329" i="3" s="1"/>
  <c r="N330" i="3" a="1"/>
  <c r="N330" i="3" s="1"/>
  <c r="N331" i="3" a="1"/>
  <c r="N331" i="3" s="1"/>
  <c r="N332" i="3" a="1"/>
  <c r="N332" i="3" s="1"/>
  <c r="N333" i="3" a="1"/>
  <c r="N333" i="3" s="1"/>
  <c r="N334" i="3" a="1"/>
  <c r="N334" i="3" s="1"/>
  <c r="N335" i="3" a="1"/>
  <c r="N335" i="3" s="1"/>
  <c r="N336" i="3" a="1"/>
  <c r="N336" i="3" s="1"/>
  <c r="N337" i="3" a="1"/>
  <c r="N337" i="3" s="1"/>
  <c r="N338" i="3" a="1"/>
  <c r="N338" i="3" s="1"/>
  <c r="N339" i="3" a="1"/>
  <c r="N339" i="3" s="1"/>
  <c r="N340" i="3" a="1"/>
  <c r="N340" i="3" s="1"/>
  <c r="N341" i="3" a="1"/>
  <c r="N341" i="3" s="1"/>
  <c r="N342" i="3" a="1"/>
  <c r="N342" i="3" s="1"/>
  <c r="N343" i="3" a="1"/>
  <c r="N343" i="3" s="1"/>
  <c r="N344" i="3" a="1"/>
  <c r="N344" i="3" s="1"/>
  <c r="N345" i="3" a="1"/>
  <c r="N345" i="3" s="1"/>
  <c r="N346" i="3" a="1"/>
  <c r="N346" i="3" s="1"/>
  <c r="N347" i="3" a="1"/>
  <c r="N347" i="3" s="1"/>
  <c r="N348" i="3" a="1"/>
  <c r="N348" i="3" s="1"/>
  <c r="N349" i="3" a="1"/>
  <c r="N349" i="3" s="1"/>
  <c r="N350" i="3" a="1"/>
  <c r="N350" i="3" s="1"/>
  <c r="N351" i="3" a="1"/>
  <c r="N351" i="3" s="1"/>
  <c r="N352" i="3" a="1"/>
  <c r="N352" i="3" s="1"/>
  <c r="N353" i="3" a="1"/>
  <c r="N353" i="3" s="1"/>
  <c r="N354" i="3" a="1"/>
  <c r="N354" i="3" s="1"/>
  <c r="N355" i="3" a="1"/>
  <c r="N355" i="3" s="1"/>
  <c r="N356" i="3" a="1"/>
  <c r="N356" i="3" s="1"/>
  <c r="N357" i="3" a="1"/>
  <c r="N357" i="3" s="1"/>
  <c r="N358" i="3" a="1"/>
  <c r="N358" i="3" s="1"/>
  <c r="N359" i="3" a="1"/>
  <c r="N359" i="3" s="1"/>
  <c r="N360" i="3" a="1"/>
  <c r="N360" i="3" s="1"/>
  <c r="N361" i="3" a="1"/>
  <c r="N361" i="3" s="1"/>
  <c r="N362" i="3" a="1"/>
  <c r="N362" i="3" s="1"/>
  <c r="N363" i="3" a="1"/>
  <c r="N363" i="3" s="1"/>
  <c r="N364" i="3" a="1"/>
  <c r="N364" i="3" s="1"/>
  <c r="N365" i="3" a="1"/>
  <c r="N365" i="3" s="1"/>
  <c r="N366" i="3" a="1"/>
  <c r="N366" i="3" s="1"/>
  <c r="N367" i="3" a="1"/>
  <c r="N367" i="3" s="1"/>
  <c r="N368" i="3" a="1"/>
  <c r="N368" i="3" s="1"/>
  <c r="N369" i="3" a="1"/>
  <c r="N369" i="3" s="1"/>
  <c r="N370" i="3" a="1"/>
  <c r="N370" i="3" s="1"/>
  <c r="N371" i="3" a="1"/>
  <c r="N371" i="3" s="1"/>
  <c r="N372" i="3" a="1"/>
  <c r="N372" i="3" s="1"/>
  <c r="N373" i="3" a="1"/>
  <c r="N373" i="3" s="1"/>
  <c r="N374" i="3" a="1"/>
  <c r="N374" i="3" s="1"/>
  <c r="N375" i="3" a="1"/>
  <c r="N375" i="3" s="1"/>
  <c r="N376" i="3" a="1"/>
  <c r="N376" i="3" s="1"/>
  <c r="N377" i="3" a="1"/>
  <c r="N377" i="3" s="1"/>
  <c r="N378" i="3" a="1"/>
  <c r="N378" i="3" s="1"/>
  <c r="N379" i="3" a="1"/>
  <c r="N379" i="3" s="1"/>
  <c r="N380" i="3" a="1"/>
  <c r="N380" i="3" s="1"/>
  <c r="N381" i="3" a="1"/>
  <c r="N381" i="3" s="1"/>
  <c r="N382" i="3" a="1"/>
  <c r="N382" i="3" s="1"/>
  <c r="N383" i="3" a="1"/>
  <c r="N383" i="3" s="1"/>
  <c r="N384" i="3" a="1"/>
  <c r="N384" i="3" s="1"/>
  <c r="N385" i="3" a="1"/>
  <c r="N385" i="3" s="1"/>
  <c r="N386" i="3" a="1"/>
  <c r="N386" i="3" s="1"/>
  <c r="N387" i="3" a="1"/>
  <c r="N387" i="3" s="1"/>
  <c r="N388" i="3" a="1"/>
  <c r="N388" i="3" s="1"/>
  <c r="N389" i="3" a="1"/>
  <c r="N389" i="3" s="1"/>
  <c r="N390" i="3" a="1"/>
  <c r="N390" i="3" s="1"/>
  <c r="N391" i="3" a="1"/>
  <c r="N391" i="3" s="1"/>
  <c r="N392" i="3" a="1"/>
  <c r="N392" i="3" s="1"/>
  <c r="N393" i="3" a="1"/>
  <c r="N393" i="3" s="1"/>
  <c r="N394" i="3" a="1"/>
  <c r="N394" i="3" s="1"/>
  <c r="N395" i="3" a="1"/>
  <c r="N395" i="3" s="1"/>
  <c r="N396" i="3" a="1"/>
  <c r="N396" i="3" s="1"/>
  <c r="N397" i="3" a="1"/>
  <c r="N397" i="3" s="1"/>
  <c r="N398" i="3" a="1"/>
  <c r="N398" i="3" s="1"/>
  <c r="N399" i="3" a="1"/>
  <c r="N399" i="3" s="1"/>
  <c r="N400" i="3" a="1"/>
  <c r="N400" i="3" s="1"/>
  <c r="N401" i="3" a="1"/>
  <c r="N401" i="3" s="1"/>
  <c r="N402" i="3" a="1"/>
  <c r="N402" i="3" s="1"/>
  <c r="N403" i="3" a="1"/>
  <c r="N403" i="3" s="1"/>
  <c r="N404" i="3" a="1"/>
  <c r="N404" i="3" s="1"/>
  <c r="N405" i="3" a="1"/>
  <c r="N405" i="3" s="1"/>
  <c r="N406" i="3" a="1"/>
  <c r="N406" i="3" s="1"/>
  <c r="N407" i="3" a="1"/>
  <c r="N407" i="3" s="1"/>
  <c r="N408" i="3" a="1"/>
  <c r="N408" i="3" s="1"/>
  <c r="N409" i="3" a="1"/>
  <c r="N409" i="3" s="1"/>
  <c r="N410" i="3" a="1"/>
  <c r="N410" i="3" s="1"/>
  <c r="N411" i="3" a="1"/>
  <c r="N411" i="3" s="1"/>
  <c r="N412" i="3" a="1"/>
  <c r="N412" i="3" s="1"/>
  <c r="N413" i="3" a="1"/>
  <c r="N413" i="3" s="1"/>
  <c r="N414" i="3" a="1"/>
  <c r="N414" i="3" s="1"/>
  <c r="N415" i="3" a="1"/>
  <c r="N415" i="3" s="1"/>
  <c r="N416" i="3" a="1"/>
  <c r="N416" i="3" s="1"/>
  <c r="N417" i="3" a="1"/>
  <c r="N417" i="3" s="1"/>
  <c r="N418" i="3" a="1"/>
  <c r="N418" i="3" s="1"/>
  <c r="N419" i="3" a="1"/>
  <c r="N419" i="3" s="1"/>
  <c r="N420" i="3" a="1"/>
  <c r="N420" i="3" s="1"/>
  <c r="N421" i="3" a="1"/>
  <c r="N421" i="3" s="1"/>
  <c r="N422" i="3" a="1"/>
  <c r="N422" i="3" s="1"/>
  <c r="N423" i="3" a="1"/>
  <c r="N423" i="3" s="1"/>
  <c r="N424" i="3" a="1"/>
  <c r="N424" i="3" s="1"/>
  <c r="N425" i="3" a="1"/>
  <c r="N425" i="3" s="1"/>
  <c r="N426" i="3" a="1"/>
  <c r="N426" i="3" s="1"/>
  <c r="N427" i="3" a="1"/>
  <c r="N427" i="3" s="1"/>
  <c r="N428" i="3" a="1"/>
  <c r="N428" i="3" s="1"/>
  <c r="N429" i="3" a="1"/>
  <c r="N429" i="3" s="1"/>
  <c r="N430" i="3" a="1"/>
  <c r="N430" i="3" s="1"/>
  <c r="N431" i="3" a="1"/>
  <c r="N431" i="3" s="1"/>
  <c r="N432" i="3" a="1"/>
  <c r="N432" i="3" s="1"/>
  <c r="N433" i="3" a="1"/>
  <c r="N433" i="3" s="1"/>
  <c r="N434" i="3" a="1"/>
  <c r="N434" i="3" s="1"/>
  <c r="N435" i="3" a="1"/>
  <c r="N435" i="3" s="1"/>
  <c r="N436" i="3" a="1"/>
  <c r="N436" i="3" s="1"/>
  <c r="N437" i="3" a="1"/>
  <c r="N437" i="3" s="1"/>
  <c r="N438" i="3" a="1"/>
  <c r="N438" i="3" s="1"/>
  <c r="N439" i="3" a="1"/>
  <c r="N439" i="3" s="1"/>
  <c r="N440" i="3" a="1"/>
  <c r="N440" i="3" s="1"/>
  <c r="N441" i="3" a="1"/>
  <c r="N441" i="3" s="1"/>
  <c r="N442" i="3" a="1"/>
  <c r="N442" i="3" s="1"/>
  <c r="N443" i="3" a="1"/>
  <c r="N443" i="3" s="1"/>
  <c r="N444" i="3" a="1"/>
  <c r="N444" i="3" s="1"/>
  <c r="N445" i="3" a="1"/>
  <c r="N445" i="3" s="1"/>
  <c r="N446" i="3" a="1"/>
  <c r="N446" i="3" s="1"/>
  <c r="N447" i="3" a="1"/>
  <c r="N447" i="3" s="1"/>
  <c r="N448" i="3" a="1"/>
  <c r="N448" i="3" s="1"/>
  <c r="N449" i="3" a="1"/>
  <c r="N449" i="3" s="1"/>
  <c r="N450" i="3" a="1"/>
  <c r="N450" i="3" s="1"/>
  <c r="N451" i="3" a="1"/>
  <c r="N451" i="3" s="1"/>
  <c r="N452" i="3" a="1"/>
  <c r="N452" i="3" s="1"/>
  <c r="N453" i="3" a="1"/>
  <c r="N453" i="3" s="1"/>
  <c r="N454" i="3" a="1"/>
  <c r="N454" i="3" s="1"/>
  <c r="N455" i="3" a="1"/>
  <c r="N455" i="3" s="1"/>
  <c r="N456" i="3" a="1"/>
  <c r="N456" i="3" s="1"/>
  <c r="N457" i="3" a="1"/>
  <c r="N457" i="3" s="1"/>
  <c r="N458" i="3" a="1"/>
  <c r="N458" i="3" s="1"/>
  <c r="N459" i="3" a="1"/>
  <c r="N459" i="3" s="1"/>
  <c r="N460" i="3" a="1"/>
  <c r="N460" i="3" s="1"/>
  <c r="N461" i="3" a="1"/>
  <c r="N461" i="3" s="1"/>
  <c r="N462" i="3" a="1"/>
  <c r="N462" i="3" s="1"/>
  <c r="N463" i="3" a="1"/>
  <c r="N463" i="3" s="1"/>
  <c r="N464" i="3" a="1"/>
  <c r="N464" i="3" s="1"/>
  <c r="N465" i="3" a="1"/>
  <c r="N465" i="3" s="1"/>
  <c r="N466" i="3" a="1"/>
  <c r="N466" i="3" s="1"/>
  <c r="N467" i="3" a="1"/>
  <c r="N467" i="3" s="1"/>
  <c r="N468" i="3" a="1"/>
  <c r="N468" i="3" s="1"/>
  <c r="N469" i="3" a="1"/>
  <c r="N469" i="3" s="1"/>
  <c r="N470" i="3" a="1"/>
  <c r="N470" i="3" s="1"/>
  <c r="N471" i="3" a="1"/>
  <c r="N471" i="3" s="1"/>
  <c r="N472" i="3" a="1"/>
  <c r="N472" i="3" s="1"/>
  <c r="N473" i="3" a="1"/>
  <c r="N473" i="3" s="1"/>
  <c r="N474" i="3" a="1"/>
  <c r="N474" i="3" s="1"/>
  <c r="N475" i="3" a="1"/>
  <c r="N475" i="3" s="1"/>
  <c r="N476" i="3" a="1"/>
  <c r="N476" i="3" s="1"/>
  <c r="N477" i="3" a="1"/>
  <c r="N477" i="3" s="1"/>
  <c r="N478" i="3" a="1"/>
  <c r="N478" i="3" s="1"/>
  <c r="N479" i="3" a="1"/>
  <c r="N479" i="3" s="1"/>
  <c r="N480" i="3" a="1"/>
  <c r="N480" i="3" s="1"/>
  <c r="N481" i="3" a="1"/>
  <c r="N481" i="3" s="1"/>
  <c r="N482" i="3" a="1"/>
  <c r="N482" i="3" s="1"/>
  <c r="N483" i="3" a="1"/>
  <c r="N483" i="3" s="1"/>
  <c r="N484" i="3" a="1"/>
  <c r="N484" i="3" s="1"/>
  <c r="N485" i="3" a="1"/>
  <c r="N485" i="3" s="1"/>
  <c r="N486" i="3" a="1"/>
  <c r="N486" i="3" s="1"/>
  <c r="N487" i="3" a="1"/>
  <c r="N487" i="3" s="1"/>
  <c r="N488" i="3" a="1"/>
  <c r="N488" i="3" s="1"/>
  <c r="N489" i="3" a="1"/>
  <c r="N489" i="3" s="1"/>
  <c r="N490" i="3" a="1"/>
  <c r="N490" i="3" s="1"/>
  <c r="N491" i="3" a="1"/>
  <c r="N491" i="3" s="1"/>
  <c r="N492" i="3" a="1"/>
  <c r="N492" i="3" s="1"/>
  <c r="N493" i="3" a="1"/>
  <c r="N493" i="3" s="1"/>
  <c r="N494" i="3" a="1"/>
  <c r="N494" i="3" s="1"/>
  <c r="N495" i="3" a="1"/>
  <c r="N495" i="3" s="1"/>
  <c r="N496" i="3" a="1"/>
  <c r="N496" i="3" s="1"/>
  <c r="N497" i="3" a="1"/>
  <c r="N497" i="3" s="1"/>
  <c r="N498" i="3" a="1"/>
  <c r="N498" i="3" s="1"/>
  <c r="N499" i="3" a="1"/>
  <c r="N499" i="3" s="1"/>
  <c r="N500" i="3" a="1"/>
  <c r="N500" i="3" s="1"/>
  <c r="N501" i="3" a="1"/>
  <c r="N501" i="3" s="1"/>
  <c r="N502" i="3" a="1"/>
  <c r="N502" i="3" s="1"/>
  <c r="N503" i="3" a="1"/>
  <c r="N503" i="3" s="1"/>
  <c r="N504" i="3" a="1"/>
  <c r="N504" i="3" s="1"/>
  <c r="N505" i="3" a="1"/>
  <c r="N505" i="3" s="1"/>
  <c r="N506" i="3" a="1"/>
  <c r="N506" i="3" s="1"/>
  <c r="N507" i="3" a="1"/>
  <c r="N507" i="3" s="1"/>
  <c r="N508" i="3" a="1"/>
  <c r="N508" i="3" s="1"/>
  <c r="N509" i="3" a="1"/>
  <c r="N509" i="3" s="1"/>
  <c r="N510" i="3" a="1"/>
  <c r="N510" i="3" s="1"/>
  <c r="N511" i="3" a="1"/>
  <c r="N511" i="3" s="1"/>
  <c r="N512" i="3" a="1"/>
  <c r="N512" i="3" s="1"/>
  <c r="N513" i="3" a="1"/>
  <c r="N513" i="3" s="1"/>
  <c r="N514" i="3" a="1"/>
  <c r="N514" i="3" s="1"/>
  <c r="N515" i="3" a="1"/>
  <c r="N515" i="3" s="1"/>
  <c r="N516" i="3" a="1"/>
  <c r="N516" i="3" s="1"/>
  <c r="N517" i="3" a="1"/>
  <c r="N517" i="3" s="1"/>
  <c r="N518" i="3" a="1"/>
  <c r="N518" i="3" s="1"/>
  <c r="N519" i="3" a="1"/>
  <c r="N519" i="3" s="1"/>
  <c r="N520" i="3" a="1"/>
  <c r="N520" i="3" s="1"/>
  <c r="N521" i="3" a="1"/>
  <c r="N521" i="3" s="1"/>
  <c r="N522" i="3" a="1"/>
  <c r="N522" i="3" s="1"/>
  <c r="N523" i="3" a="1"/>
  <c r="N523" i="3" s="1"/>
  <c r="N524" i="3" a="1"/>
  <c r="N524" i="3" s="1"/>
  <c r="N525" i="3" a="1"/>
  <c r="N525" i="3" s="1"/>
  <c r="N526" i="3" a="1"/>
  <c r="N526" i="3" s="1"/>
  <c r="N527" i="3" a="1"/>
  <c r="N527" i="3" s="1"/>
  <c r="N528" i="3" a="1"/>
  <c r="N528" i="3" s="1"/>
  <c r="N529" i="3" a="1"/>
  <c r="N529" i="3" s="1"/>
  <c r="N530" i="3" a="1"/>
  <c r="N530" i="3" s="1"/>
  <c r="N531" i="3" a="1"/>
  <c r="N531" i="3" s="1"/>
  <c r="N532" i="3" a="1"/>
  <c r="N532" i="3" s="1"/>
  <c r="N533" i="3" a="1"/>
  <c r="N533" i="3" s="1"/>
  <c r="N534" i="3" a="1"/>
  <c r="N534" i="3" s="1"/>
  <c r="N535" i="3" a="1"/>
  <c r="N535" i="3" s="1"/>
  <c r="N536" i="3" a="1"/>
  <c r="N536" i="3" s="1"/>
  <c r="N537" i="3" a="1"/>
  <c r="N537" i="3" s="1"/>
  <c r="N538" i="3" a="1"/>
  <c r="N538" i="3" s="1"/>
  <c r="N539" i="3" a="1"/>
  <c r="N539" i="3" s="1"/>
  <c r="N540" i="3" a="1"/>
  <c r="N540" i="3" s="1"/>
  <c r="N541" i="3" a="1"/>
  <c r="N541" i="3" s="1"/>
  <c r="N542" i="3" a="1"/>
  <c r="N542" i="3" s="1"/>
  <c r="N543" i="3" a="1"/>
  <c r="N543" i="3" s="1"/>
  <c r="N544" i="3" a="1"/>
  <c r="N544" i="3" s="1"/>
  <c r="N545" i="3" a="1"/>
  <c r="N545" i="3" s="1"/>
  <c r="N546" i="3" a="1"/>
  <c r="N546" i="3" s="1"/>
  <c r="N547" i="3" a="1"/>
  <c r="N547" i="3" s="1"/>
  <c r="N548" i="3" a="1"/>
  <c r="N548" i="3" s="1"/>
  <c r="N549" i="3" a="1"/>
  <c r="N549" i="3" s="1"/>
  <c r="N550" i="3" a="1"/>
  <c r="N550" i="3" s="1"/>
  <c r="N551" i="3" a="1"/>
  <c r="N551" i="3" s="1"/>
  <c r="N552" i="3" a="1"/>
  <c r="N552" i="3" s="1"/>
  <c r="N553" i="3" a="1"/>
  <c r="N553" i="3" s="1"/>
  <c r="N554" i="3" a="1"/>
  <c r="N554" i="3" s="1"/>
  <c r="N555" i="3" a="1"/>
  <c r="N555" i="3" s="1"/>
  <c r="N557" i="3" a="1"/>
  <c r="N557" i="3" s="1"/>
  <c r="N558" i="3" a="1"/>
  <c r="N558" i="3" s="1"/>
  <c r="N559" i="3" a="1"/>
  <c r="N559" i="3" s="1"/>
  <c r="N560" i="3" a="1"/>
  <c r="N560" i="3" s="1"/>
  <c r="N561" i="3" a="1"/>
  <c r="N561" i="3" s="1"/>
  <c r="N562" i="3" a="1"/>
  <c r="N562" i="3" s="1"/>
  <c r="N563" i="3" a="1"/>
  <c r="N563" i="3" s="1"/>
  <c r="N564" i="3" a="1"/>
  <c r="N564" i="3" s="1"/>
  <c r="N565" i="3" a="1"/>
  <c r="N565" i="3" s="1"/>
  <c r="N566" i="3" a="1"/>
  <c r="N566" i="3" s="1"/>
  <c r="N567" i="3" a="1"/>
  <c r="N567" i="3" s="1"/>
  <c r="N568" i="3" a="1"/>
  <c r="N568" i="3" s="1"/>
  <c r="N569" i="3" a="1"/>
  <c r="N569" i="3" s="1"/>
  <c r="N570" i="3" a="1"/>
  <c r="N570" i="3" s="1"/>
  <c r="N571" i="3" a="1"/>
  <c r="N571" i="3" s="1"/>
  <c r="N572" i="3" a="1"/>
  <c r="N572" i="3" s="1"/>
  <c r="N573" i="3" a="1"/>
  <c r="N573" i="3" s="1"/>
  <c r="N574" i="3" a="1"/>
  <c r="N574" i="3" s="1"/>
  <c r="N575" i="3" a="1"/>
  <c r="N575" i="3" s="1"/>
  <c r="N576" i="3" a="1"/>
  <c r="N576" i="3" s="1"/>
  <c r="N577" i="3" a="1"/>
  <c r="N577" i="3" s="1"/>
  <c r="N578" i="3" a="1"/>
  <c r="N578" i="3" s="1"/>
  <c r="N579" i="3" a="1"/>
  <c r="N579" i="3" s="1"/>
  <c r="N2" i="3" a="1"/>
  <c r="N2" i="3" s="1"/>
  <c r="M3" i="3" a="1"/>
  <c r="M3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13" i="3" a="1"/>
  <c r="M13" i="3" s="1"/>
  <c r="M14" i="3" a="1"/>
  <c r="M14" i="3" s="1"/>
  <c r="M15" i="3" a="1"/>
  <c r="M15" i="3" s="1"/>
  <c r="M16" i="3" a="1"/>
  <c r="M16" i="3" s="1"/>
  <c r="M17" i="3" a="1"/>
  <c r="M17" i="3" s="1"/>
  <c r="M18" i="3" a="1"/>
  <c r="M18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24" i="3" a="1"/>
  <c r="M24" i="3" s="1"/>
  <c r="M25" i="3" a="1"/>
  <c r="M25" i="3" s="1"/>
  <c r="M26" i="3" a="1"/>
  <c r="M26" i="3" s="1"/>
  <c r="M27" i="3" a="1"/>
  <c r="M27" i="3" s="1"/>
  <c r="M28" i="3" a="1"/>
  <c r="M28" i="3" s="1"/>
  <c r="M29" i="3" a="1"/>
  <c r="M29" i="3" s="1"/>
  <c r="M30" i="3" a="1"/>
  <c r="M30" i="3" s="1"/>
  <c r="M31" i="3" a="1"/>
  <c r="M31" i="3" s="1"/>
  <c r="M32" i="3" a="1"/>
  <c r="M32" i="3" s="1"/>
  <c r="M33" i="3" a="1"/>
  <c r="M33" i="3" s="1"/>
  <c r="M34" i="3" a="1"/>
  <c r="M34" i="3" s="1"/>
  <c r="M35" i="3" a="1"/>
  <c r="M35" i="3" s="1"/>
  <c r="M36" i="3" a="1"/>
  <c r="M36" i="3" s="1"/>
  <c r="M37" i="3" a="1"/>
  <c r="M37" i="3" s="1"/>
  <c r="M38" i="3" a="1"/>
  <c r="M38" i="3" s="1"/>
  <c r="M39" i="3" a="1"/>
  <c r="M39" i="3" s="1"/>
  <c r="M40" i="3" a="1"/>
  <c r="M40" i="3" s="1"/>
  <c r="M41" i="3" a="1"/>
  <c r="M41" i="3" s="1"/>
  <c r="M42" i="3" a="1"/>
  <c r="M42" i="3" s="1"/>
  <c r="M43" i="3" a="1"/>
  <c r="M43" i="3" s="1"/>
  <c r="M44" i="3" a="1"/>
  <c r="M44" i="3" s="1"/>
  <c r="M45" i="3" a="1"/>
  <c r="M45" i="3" s="1"/>
  <c r="M46" i="3" a="1"/>
  <c r="M46" i="3" s="1"/>
  <c r="M47" i="3" a="1"/>
  <c r="M47" i="3" s="1"/>
  <c r="M48" i="3" a="1"/>
  <c r="M48" i="3" s="1"/>
  <c r="M49" i="3" a="1"/>
  <c r="M49" i="3" s="1"/>
  <c r="M50" i="3" a="1"/>
  <c r="M50" i="3" s="1"/>
  <c r="M51" i="3" a="1"/>
  <c r="M51" i="3" s="1"/>
  <c r="M52" i="3" a="1"/>
  <c r="M52" i="3" s="1"/>
  <c r="M53" i="3" a="1"/>
  <c r="M53" i="3" s="1"/>
  <c r="M54" i="3" a="1"/>
  <c r="M54" i="3" s="1"/>
  <c r="M55" i="3" a="1"/>
  <c r="M55" i="3" s="1"/>
  <c r="M56" i="3" a="1"/>
  <c r="M56" i="3" s="1"/>
  <c r="M57" i="3" a="1"/>
  <c r="M57" i="3" s="1"/>
  <c r="M58" i="3" a="1"/>
  <c r="M58" i="3" s="1"/>
  <c r="M59" i="3" a="1"/>
  <c r="M59" i="3" s="1"/>
  <c r="M60" i="3" a="1"/>
  <c r="M60" i="3" s="1"/>
  <c r="M61" i="3" a="1"/>
  <c r="M61" i="3" s="1"/>
  <c r="M62" i="3" a="1"/>
  <c r="M62" i="3" s="1"/>
  <c r="M63" i="3" a="1"/>
  <c r="M63" i="3" s="1"/>
  <c r="M64" i="3" a="1"/>
  <c r="M64" i="3" s="1"/>
  <c r="M65" i="3" a="1"/>
  <c r="M65" i="3" s="1"/>
  <c r="M66" i="3" a="1"/>
  <c r="M66" i="3" s="1"/>
  <c r="M67" i="3" a="1"/>
  <c r="M67" i="3" s="1"/>
  <c r="M68" i="3" a="1"/>
  <c r="M68" i="3" s="1"/>
  <c r="M69" i="3" a="1"/>
  <c r="M69" i="3" s="1"/>
  <c r="M70" i="3" a="1"/>
  <c r="M70" i="3" s="1"/>
  <c r="M71" i="3" a="1"/>
  <c r="M71" i="3" s="1"/>
  <c r="M72" i="3" a="1"/>
  <c r="M72" i="3" s="1"/>
  <c r="M73" i="3" a="1"/>
  <c r="M73" i="3" s="1"/>
  <c r="M74" i="3" a="1"/>
  <c r="M74" i="3" s="1"/>
  <c r="M75" i="3" a="1"/>
  <c r="M75" i="3" s="1"/>
  <c r="M76" i="3" a="1"/>
  <c r="M76" i="3" s="1"/>
  <c r="M77" i="3" a="1"/>
  <c r="M77" i="3" s="1"/>
  <c r="M78" i="3" a="1"/>
  <c r="M78" i="3" s="1"/>
  <c r="M79" i="3" a="1"/>
  <c r="M79" i="3" s="1"/>
  <c r="M80" i="3" a="1"/>
  <c r="M80" i="3" s="1"/>
  <c r="M81" i="3" a="1"/>
  <c r="M81" i="3" s="1"/>
  <c r="M82" i="3" a="1"/>
  <c r="M82" i="3" s="1"/>
  <c r="M83" i="3" a="1"/>
  <c r="M83" i="3" s="1"/>
  <c r="M84" i="3" a="1"/>
  <c r="M84" i="3" s="1"/>
  <c r="M85" i="3" a="1"/>
  <c r="M85" i="3" s="1"/>
  <c r="M86" i="3" a="1"/>
  <c r="M86" i="3" s="1"/>
  <c r="M87" i="3" a="1"/>
  <c r="M87" i="3" s="1"/>
  <c r="M88" i="3" a="1"/>
  <c r="M88" i="3" s="1"/>
  <c r="M89" i="3" a="1"/>
  <c r="M89" i="3" s="1"/>
  <c r="M90" i="3" a="1"/>
  <c r="M90" i="3" s="1"/>
  <c r="M91" i="3" a="1"/>
  <c r="M91" i="3" s="1"/>
  <c r="M92" i="3" a="1"/>
  <c r="M92" i="3" s="1"/>
  <c r="M93" i="3" a="1"/>
  <c r="M93" i="3" s="1"/>
  <c r="M94" i="3" a="1"/>
  <c r="M94" i="3" s="1"/>
  <c r="M95" i="3" a="1"/>
  <c r="M95" i="3" s="1"/>
  <c r="M96" i="3" a="1"/>
  <c r="M96" i="3" s="1"/>
  <c r="M97" i="3" a="1"/>
  <c r="M97" i="3" s="1"/>
  <c r="M98" i="3" a="1"/>
  <c r="M98" i="3" s="1"/>
  <c r="M99" i="3" a="1"/>
  <c r="M99" i="3" s="1"/>
  <c r="M100" i="3" a="1"/>
  <c r="M100" i="3" s="1"/>
  <c r="M101" i="3" a="1"/>
  <c r="M101" i="3" s="1"/>
  <c r="M102" i="3" a="1"/>
  <c r="M102" i="3" s="1"/>
  <c r="M103" i="3" a="1"/>
  <c r="M103" i="3" s="1"/>
  <c r="M104" i="3" a="1"/>
  <c r="M104" i="3" s="1"/>
  <c r="M105" i="3" a="1"/>
  <c r="M105" i="3" s="1"/>
  <c r="M106" i="3" a="1"/>
  <c r="M106" i="3" s="1"/>
  <c r="M107" i="3" a="1"/>
  <c r="M107" i="3" s="1"/>
  <c r="M108" i="3" a="1"/>
  <c r="M108" i="3" s="1"/>
  <c r="M109" i="3" a="1"/>
  <c r="M109" i="3" s="1"/>
  <c r="M110" i="3" a="1"/>
  <c r="M110" i="3" s="1"/>
  <c r="M111" i="3" a="1"/>
  <c r="M111" i="3" s="1"/>
  <c r="M112" i="3" a="1"/>
  <c r="M112" i="3" s="1"/>
  <c r="M113" i="3" a="1"/>
  <c r="M113" i="3" s="1"/>
  <c r="M114" i="3" a="1"/>
  <c r="M114" i="3" s="1"/>
  <c r="M115" i="3" a="1"/>
  <c r="M115" i="3" s="1"/>
  <c r="M116" i="3" a="1"/>
  <c r="M116" i="3" s="1"/>
  <c r="M117" i="3" a="1"/>
  <c r="M117" i="3" s="1"/>
  <c r="M118" i="3" a="1"/>
  <c r="M118" i="3" s="1"/>
  <c r="M119" i="3" a="1"/>
  <c r="M119" i="3" s="1"/>
  <c r="M120" i="3" a="1"/>
  <c r="M120" i="3" s="1"/>
  <c r="M121" i="3" a="1"/>
  <c r="M121" i="3" s="1"/>
  <c r="M122" i="3" a="1"/>
  <c r="M122" i="3" s="1"/>
  <c r="M123" i="3" a="1"/>
  <c r="M123" i="3" s="1"/>
  <c r="M124" i="3" a="1"/>
  <c r="M124" i="3" s="1"/>
  <c r="M125" i="3" a="1"/>
  <c r="M125" i="3" s="1"/>
  <c r="M126" i="3" a="1"/>
  <c r="M126" i="3" s="1"/>
  <c r="M127" i="3" a="1"/>
  <c r="M127" i="3" s="1"/>
  <c r="M128" i="3" a="1"/>
  <c r="M128" i="3" s="1"/>
  <c r="M129" i="3" a="1"/>
  <c r="M129" i="3" s="1"/>
  <c r="M130" i="3" a="1"/>
  <c r="M130" i="3" s="1"/>
  <c r="M131" i="3" a="1"/>
  <c r="M131" i="3" s="1"/>
  <c r="M132" i="3" a="1"/>
  <c r="M132" i="3" s="1"/>
  <c r="M133" i="3" a="1"/>
  <c r="M133" i="3" s="1"/>
  <c r="M134" i="3" a="1"/>
  <c r="M134" i="3" s="1"/>
  <c r="M135" i="3" a="1"/>
  <c r="M135" i="3" s="1"/>
  <c r="M136" i="3" a="1"/>
  <c r="M136" i="3" s="1"/>
  <c r="M137" i="3" a="1"/>
  <c r="M137" i="3" s="1"/>
  <c r="M138" i="3" a="1"/>
  <c r="M138" i="3" s="1"/>
  <c r="M139" i="3" a="1"/>
  <c r="M139" i="3" s="1"/>
  <c r="M140" i="3" a="1"/>
  <c r="M140" i="3" s="1"/>
  <c r="M141" i="3" a="1"/>
  <c r="M141" i="3" s="1"/>
  <c r="M142" i="3" a="1"/>
  <c r="M142" i="3" s="1"/>
  <c r="M143" i="3" a="1"/>
  <c r="M143" i="3" s="1"/>
  <c r="M144" i="3" a="1"/>
  <c r="M144" i="3" s="1"/>
  <c r="M145" i="3" a="1"/>
  <c r="M145" i="3" s="1"/>
  <c r="M146" i="3" a="1"/>
  <c r="M146" i="3" s="1"/>
  <c r="M147" i="3" a="1"/>
  <c r="M147" i="3" s="1"/>
  <c r="M148" i="3" a="1"/>
  <c r="M148" i="3" s="1"/>
  <c r="M149" i="3" a="1"/>
  <c r="M149" i="3" s="1"/>
  <c r="M150" i="3" a="1"/>
  <c r="M150" i="3" s="1"/>
  <c r="M151" i="3" a="1"/>
  <c r="M151" i="3" s="1"/>
  <c r="M152" i="3" a="1"/>
  <c r="M152" i="3" s="1"/>
  <c r="M153" i="3" a="1"/>
  <c r="M153" i="3" s="1"/>
  <c r="M154" i="3" a="1"/>
  <c r="M154" i="3" s="1"/>
  <c r="M155" i="3" a="1"/>
  <c r="M155" i="3" s="1"/>
  <c r="M156" i="3" a="1"/>
  <c r="M156" i="3" s="1"/>
  <c r="M157" i="3" a="1"/>
  <c r="M157" i="3" s="1"/>
  <c r="M158" i="3" a="1"/>
  <c r="M158" i="3" s="1"/>
  <c r="M159" i="3" a="1"/>
  <c r="M159" i="3" s="1"/>
  <c r="M160" i="3" a="1"/>
  <c r="M160" i="3" s="1"/>
  <c r="M161" i="3" a="1"/>
  <c r="M161" i="3" s="1"/>
  <c r="M162" i="3" a="1"/>
  <c r="M162" i="3" s="1"/>
  <c r="M163" i="3" a="1"/>
  <c r="M163" i="3" s="1"/>
  <c r="M164" i="3" a="1"/>
  <c r="M164" i="3" s="1"/>
  <c r="M165" i="3" a="1"/>
  <c r="M165" i="3" s="1"/>
  <c r="M166" i="3" a="1"/>
  <c r="M166" i="3" s="1"/>
  <c r="M167" i="3" a="1"/>
  <c r="M167" i="3" s="1"/>
  <c r="M168" i="3" a="1"/>
  <c r="M168" i="3" s="1"/>
  <c r="M169" i="3" a="1"/>
  <c r="M169" i="3" s="1"/>
  <c r="M170" i="3" a="1"/>
  <c r="M170" i="3" s="1"/>
  <c r="M171" i="3" a="1"/>
  <c r="M171" i="3" s="1"/>
  <c r="M172" i="3" a="1"/>
  <c r="M172" i="3" s="1"/>
  <c r="M173" i="3" a="1"/>
  <c r="M173" i="3" s="1"/>
  <c r="M174" i="3" a="1"/>
  <c r="M174" i="3" s="1"/>
  <c r="M175" i="3" a="1"/>
  <c r="M175" i="3" s="1"/>
  <c r="M176" i="3" a="1"/>
  <c r="M176" i="3" s="1"/>
  <c r="M177" i="3" a="1"/>
  <c r="M177" i="3" s="1"/>
  <c r="M178" i="3" a="1"/>
  <c r="M178" i="3" s="1"/>
  <c r="M179" i="3" a="1"/>
  <c r="M179" i="3" s="1"/>
  <c r="M180" i="3" a="1"/>
  <c r="M180" i="3" s="1"/>
  <c r="M181" i="3" a="1"/>
  <c r="M181" i="3" s="1"/>
  <c r="M182" i="3" a="1"/>
  <c r="M182" i="3" s="1"/>
  <c r="M183" i="3" a="1"/>
  <c r="M183" i="3" s="1"/>
  <c r="M184" i="3" a="1"/>
  <c r="M184" i="3" s="1"/>
  <c r="M185" i="3" a="1"/>
  <c r="M185" i="3" s="1"/>
  <c r="M186" i="3" a="1"/>
  <c r="M186" i="3" s="1"/>
  <c r="M187" i="3" a="1"/>
  <c r="M187" i="3" s="1"/>
  <c r="M188" i="3" a="1"/>
  <c r="M188" i="3" s="1"/>
  <c r="M189" i="3" a="1"/>
  <c r="M189" i="3" s="1"/>
  <c r="M190" i="3" a="1"/>
  <c r="M190" i="3" s="1"/>
  <c r="M191" i="3" a="1"/>
  <c r="M191" i="3" s="1"/>
  <c r="M192" i="3" a="1"/>
  <c r="M192" i="3" s="1"/>
  <c r="M193" i="3" a="1"/>
  <c r="M193" i="3" s="1"/>
  <c r="M194" i="3" a="1"/>
  <c r="M194" i="3" s="1"/>
  <c r="M195" i="3" a="1"/>
  <c r="M195" i="3" s="1"/>
  <c r="M196" i="3" a="1"/>
  <c r="M196" i="3" s="1"/>
  <c r="M197" i="3" a="1"/>
  <c r="M197" i="3" s="1"/>
  <c r="M198" i="3" a="1"/>
  <c r="M198" i="3" s="1"/>
  <c r="M199" i="3" a="1"/>
  <c r="M199" i="3" s="1"/>
  <c r="M200" i="3" a="1"/>
  <c r="M200" i="3" s="1"/>
  <c r="M201" i="3" a="1"/>
  <c r="M201" i="3" s="1"/>
  <c r="M202" i="3" a="1"/>
  <c r="M202" i="3" s="1"/>
  <c r="M203" i="3" a="1"/>
  <c r="M203" i="3" s="1"/>
  <c r="M204" i="3" a="1"/>
  <c r="M204" i="3" s="1"/>
  <c r="M205" i="3" a="1"/>
  <c r="M205" i="3" s="1"/>
  <c r="M206" i="3" a="1"/>
  <c r="M206" i="3" s="1"/>
  <c r="M207" i="3" a="1"/>
  <c r="M207" i="3" s="1"/>
  <c r="M208" i="3" a="1"/>
  <c r="M208" i="3" s="1"/>
  <c r="M209" i="3" a="1"/>
  <c r="M209" i="3" s="1"/>
  <c r="M210" i="3" a="1"/>
  <c r="M210" i="3" s="1"/>
  <c r="M211" i="3" a="1"/>
  <c r="M211" i="3" s="1"/>
  <c r="M212" i="3" a="1"/>
  <c r="M212" i="3" s="1"/>
  <c r="M213" i="3" a="1"/>
  <c r="M213" i="3" s="1"/>
  <c r="M214" i="3" a="1"/>
  <c r="M214" i="3" s="1"/>
  <c r="M215" i="3" a="1"/>
  <c r="M215" i="3" s="1"/>
  <c r="M216" i="3" a="1"/>
  <c r="M216" i="3" s="1"/>
  <c r="M217" i="3" a="1"/>
  <c r="M217" i="3" s="1"/>
  <c r="M218" i="3" a="1"/>
  <c r="M218" i="3" s="1"/>
  <c r="M219" i="3" a="1"/>
  <c r="M219" i="3" s="1"/>
  <c r="M220" i="3" a="1"/>
  <c r="M220" i="3" s="1"/>
  <c r="M221" i="3" a="1"/>
  <c r="M221" i="3" s="1"/>
  <c r="M222" i="3" a="1"/>
  <c r="M222" i="3" s="1"/>
  <c r="M223" i="3" a="1"/>
  <c r="M223" i="3" s="1"/>
  <c r="M224" i="3" a="1"/>
  <c r="M224" i="3" s="1"/>
  <c r="M225" i="3" a="1"/>
  <c r="M225" i="3" s="1"/>
  <c r="M226" i="3" a="1"/>
  <c r="M226" i="3" s="1"/>
  <c r="M227" i="3" a="1"/>
  <c r="M227" i="3" s="1"/>
  <c r="M228" i="3" a="1"/>
  <c r="M228" i="3" s="1"/>
  <c r="M229" i="3" a="1"/>
  <c r="M229" i="3" s="1"/>
  <c r="M230" i="3" a="1"/>
  <c r="M230" i="3" s="1"/>
  <c r="M231" i="3" a="1"/>
  <c r="M231" i="3" s="1"/>
  <c r="M232" i="3" a="1"/>
  <c r="M232" i="3" s="1"/>
  <c r="M233" i="3" a="1"/>
  <c r="M233" i="3" s="1"/>
  <c r="M234" i="3" a="1"/>
  <c r="M234" i="3" s="1"/>
  <c r="M235" i="3" a="1"/>
  <c r="M235" i="3" s="1"/>
  <c r="M236" i="3" a="1"/>
  <c r="M236" i="3" s="1"/>
  <c r="M237" i="3" a="1"/>
  <c r="M237" i="3" s="1"/>
  <c r="M238" i="3" a="1"/>
  <c r="M238" i="3" s="1"/>
  <c r="M239" i="3" a="1"/>
  <c r="M239" i="3" s="1"/>
  <c r="M240" i="3" a="1"/>
  <c r="M240" i="3" s="1"/>
  <c r="M241" i="3" a="1"/>
  <c r="M241" i="3" s="1"/>
  <c r="M242" i="3" a="1"/>
  <c r="M242" i="3" s="1"/>
  <c r="M243" i="3" a="1"/>
  <c r="M243" i="3" s="1"/>
  <c r="M244" i="3" a="1"/>
  <c r="M244" i="3" s="1"/>
  <c r="M245" i="3" a="1"/>
  <c r="M245" i="3" s="1"/>
  <c r="M246" i="3" a="1"/>
  <c r="M246" i="3" s="1"/>
  <c r="M247" i="3" a="1"/>
  <c r="M247" i="3" s="1"/>
  <c r="M248" i="3" a="1"/>
  <c r="M248" i="3" s="1"/>
  <c r="M249" i="3" a="1"/>
  <c r="M249" i="3" s="1"/>
  <c r="M250" i="3" a="1"/>
  <c r="M250" i="3" s="1"/>
  <c r="M251" i="3" a="1"/>
  <c r="M251" i="3" s="1"/>
  <c r="M252" i="3" a="1"/>
  <c r="M252" i="3" s="1"/>
  <c r="M253" i="3" a="1"/>
  <c r="M253" i="3" s="1"/>
  <c r="M254" i="3" a="1"/>
  <c r="M254" i="3" s="1"/>
  <c r="M255" i="3" a="1"/>
  <c r="M255" i="3" s="1"/>
  <c r="M256" i="3" a="1"/>
  <c r="M256" i="3" s="1"/>
  <c r="M257" i="3" a="1"/>
  <c r="M257" i="3" s="1"/>
  <c r="M258" i="3" a="1"/>
  <c r="M258" i="3" s="1"/>
  <c r="M259" i="3" a="1"/>
  <c r="M259" i="3" s="1"/>
  <c r="M260" i="3" a="1"/>
  <c r="M260" i="3" s="1"/>
  <c r="M261" i="3" a="1"/>
  <c r="M261" i="3" s="1"/>
  <c r="M262" i="3" a="1"/>
  <c r="M262" i="3" s="1"/>
  <c r="M263" i="3" a="1"/>
  <c r="M263" i="3" s="1"/>
  <c r="M264" i="3" a="1"/>
  <c r="M264" i="3" s="1"/>
  <c r="M265" i="3" a="1"/>
  <c r="M265" i="3" s="1"/>
  <c r="M266" i="3" a="1"/>
  <c r="M266" i="3" s="1"/>
  <c r="M267" i="3" a="1"/>
  <c r="M267" i="3" s="1"/>
  <c r="M268" i="3" a="1"/>
  <c r="M268" i="3" s="1"/>
  <c r="M269" i="3" a="1"/>
  <c r="M269" i="3" s="1"/>
  <c r="M270" i="3" a="1"/>
  <c r="M270" i="3" s="1"/>
  <c r="M271" i="3" a="1"/>
  <c r="M271" i="3" s="1"/>
  <c r="M272" i="3" a="1"/>
  <c r="M272" i="3" s="1"/>
  <c r="M273" i="3" a="1"/>
  <c r="M273" i="3" s="1"/>
  <c r="M274" i="3" a="1"/>
  <c r="M274" i="3" s="1"/>
  <c r="M275" i="3" a="1"/>
  <c r="M275" i="3" s="1"/>
  <c r="M276" i="3" a="1"/>
  <c r="M276" i="3" s="1"/>
  <c r="M277" i="3" a="1"/>
  <c r="M277" i="3" s="1"/>
  <c r="M278" i="3" a="1"/>
  <c r="M278" i="3" s="1"/>
  <c r="M279" i="3" a="1"/>
  <c r="M279" i="3" s="1"/>
  <c r="M280" i="3" a="1"/>
  <c r="M280" i="3" s="1"/>
  <c r="M281" i="3" a="1"/>
  <c r="M281" i="3" s="1"/>
  <c r="M282" i="3" a="1"/>
  <c r="M282" i="3" s="1"/>
  <c r="M283" i="3" a="1"/>
  <c r="M283" i="3" s="1"/>
  <c r="M284" i="3" a="1"/>
  <c r="M284" i="3" s="1"/>
  <c r="M285" i="3" a="1"/>
  <c r="M285" i="3" s="1"/>
  <c r="M286" i="3" a="1"/>
  <c r="M286" i="3" s="1"/>
  <c r="M287" i="3" a="1"/>
  <c r="M287" i="3" s="1"/>
  <c r="M288" i="3" a="1"/>
  <c r="M288" i="3" s="1"/>
  <c r="M289" i="3" a="1"/>
  <c r="M289" i="3" s="1"/>
  <c r="M290" i="3" a="1"/>
  <c r="M290" i="3" s="1"/>
  <c r="M291" i="3" a="1"/>
  <c r="M291" i="3" s="1"/>
  <c r="M292" i="3" a="1"/>
  <c r="M292" i="3" s="1"/>
  <c r="M293" i="3" a="1"/>
  <c r="M293" i="3" s="1"/>
  <c r="M294" i="3" a="1"/>
  <c r="M294" i="3" s="1"/>
  <c r="M295" i="3" a="1"/>
  <c r="M295" i="3" s="1"/>
  <c r="M296" i="3" a="1"/>
  <c r="M296" i="3" s="1"/>
  <c r="M297" i="3" a="1"/>
  <c r="M297" i="3" s="1"/>
  <c r="M298" i="3" a="1"/>
  <c r="M298" i="3" s="1"/>
  <c r="M299" i="3" a="1"/>
  <c r="M299" i="3" s="1"/>
  <c r="M300" i="3" a="1"/>
  <c r="M300" i="3" s="1"/>
  <c r="M301" i="3" a="1"/>
  <c r="M301" i="3" s="1"/>
  <c r="M302" i="3" a="1"/>
  <c r="M302" i="3" s="1"/>
  <c r="M303" i="3" a="1"/>
  <c r="M303" i="3" s="1"/>
  <c r="M304" i="3" a="1"/>
  <c r="M304" i="3" s="1"/>
  <c r="M305" i="3" a="1"/>
  <c r="M305" i="3" s="1"/>
  <c r="M306" i="3" a="1"/>
  <c r="M306" i="3" s="1"/>
  <c r="M307" i="3" a="1"/>
  <c r="M307" i="3" s="1"/>
  <c r="M308" i="3" a="1"/>
  <c r="M308" i="3" s="1"/>
  <c r="M309" i="3" a="1"/>
  <c r="M309" i="3" s="1"/>
  <c r="M310" i="3" a="1"/>
  <c r="M310" i="3" s="1"/>
  <c r="M311" i="3" a="1"/>
  <c r="M311" i="3" s="1"/>
  <c r="M312" i="3" a="1"/>
  <c r="M312" i="3" s="1"/>
  <c r="M313" i="3" a="1"/>
  <c r="M313" i="3" s="1"/>
  <c r="M314" i="3" a="1"/>
  <c r="M314" i="3" s="1"/>
  <c r="M315" i="3" a="1"/>
  <c r="M315" i="3" s="1"/>
  <c r="M316" i="3" a="1"/>
  <c r="M316" i="3" s="1"/>
  <c r="M317" i="3" a="1"/>
  <c r="M317" i="3" s="1"/>
  <c r="M318" i="3" a="1"/>
  <c r="M318" i="3" s="1"/>
  <c r="M319" i="3" a="1"/>
  <c r="M319" i="3" s="1"/>
  <c r="M320" i="3" a="1"/>
  <c r="M320" i="3" s="1"/>
  <c r="M321" i="3" a="1"/>
  <c r="M321" i="3" s="1"/>
  <c r="M322" i="3" a="1"/>
  <c r="M322" i="3" s="1"/>
  <c r="M323" i="3" a="1"/>
  <c r="M323" i="3" s="1"/>
  <c r="M324" i="3" a="1"/>
  <c r="M324" i="3" s="1"/>
  <c r="M325" i="3" a="1"/>
  <c r="M325" i="3" s="1"/>
  <c r="M326" i="3" a="1"/>
  <c r="M326" i="3" s="1"/>
  <c r="M327" i="3" a="1"/>
  <c r="M327" i="3" s="1"/>
  <c r="M328" i="3" a="1"/>
  <c r="M328" i="3" s="1"/>
  <c r="M329" i="3" a="1"/>
  <c r="M329" i="3" s="1"/>
  <c r="M330" i="3" a="1"/>
  <c r="M330" i="3" s="1"/>
  <c r="M331" i="3" a="1"/>
  <c r="M331" i="3" s="1"/>
  <c r="M332" i="3" a="1"/>
  <c r="M332" i="3" s="1"/>
  <c r="M333" i="3" a="1"/>
  <c r="M333" i="3" s="1"/>
  <c r="M334" i="3" a="1"/>
  <c r="M334" i="3" s="1"/>
  <c r="M335" i="3" a="1"/>
  <c r="M335" i="3" s="1"/>
  <c r="M336" i="3" a="1"/>
  <c r="M336" i="3" s="1"/>
  <c r="M337" i="3" a="1"/>
  <c r="M337" i="3" s="1"/>
  <c r="M338" i="3" a="1"/>
  <c r="M338" i="3" s="1"/>
  <c r="M339" i="3" a="1"/>
  <c r="M339" i="3" s="1"/>
  <c r="M340" i="3" a="1"/>
  <c r="M340" i="3" s="1"/>
  <c r="M341" i="3" a="1"/>
  <c r="M341" i="3" s="1"/>
  <c r="M342" i="3" a="1"/>
  <c r="M342" i="3" s="1"/>
  <c r="M343" i="3" a="1"/>
  <c r="M343" i="3" s="1"/>
  <c r="M344" i="3" a="1"/>
  <c r="M344" i="3" s="1"/>
  <c r="M345" i="3" a="1"/>
  <c r="M345" i="3" s="1"/>
  <c r="M346" i="3" a="1"/>
  <c r="M346" i="3" s="1"/>
  <c r="M347" i="3" a="1"/>
  <c r="M347" i="3" s="1"/>
  <c r="M348" i="3" a="1"/>
  <c r="M348" i="3" s="1"/>
  <c r="M349" i="3" a="1"/>
  <c r="M349" i="3" s="1"/>
  <c r="M350" i="3" a="1"/>
  <c r="M350" i="3" s="1"/>
  <c r="M351" i="3" a="1"/>
  <c r="M351" i="3" s="1"/>
  <c r="M352" i="3" a="1"/>
  <c r="M352" i="3" s="1"/>
  <c r="M353" i="3" a="1"/>
  <c r="M353" i="3" s="1"/>
  <c r="M354" i="3" a="1"/>
  <c r="M354" i="3" s="1"/>
  <c r="M355" i="3" a="1"/>
  <c r="M355" i="3" s="1"/>
  <c r="M356" i="3" a="1"/>
  <c r="M356" i="3" s="1"/>
  <c r="M357" i="3" a="1"/>
  <c r="M357" i="3" s="1"/>
  <c r="M358" i="3" a="1"/>
  <c r="M358" i="3" s="1"/>
  <c r="M359" i="3" a="1"/>
  <c r="M359" i="3" s="1"/>
  <c r="M360" i="3" a="1"/>
  <c r="M360" i="3" s="1"/>
  <c r="M361" i="3" a="1"/>
  <c r="M361" i="3" s="1"/>
  <c r="M362" i="3" a="1"/>
  <c r="M362" i="3" s="1"/>
  <c r="M363" i="3" a="1"/>
  <c r="M363" i="3" s="1"/>
  <c r="M364" i="3" a="1"/>
  <c r="M364" i="3" s="1"/>
  <c r="M365" i="3" a="1"/>
  <c r="M365" i="3" s="1"/>
  <c r="M366" i="3" a="1"/>
  <c r="M366" i="3" s="1"/>
  <c r="M367" i="3" a="1"/>
  <c r="M367" i="3" s="1"/>
  <c r="M368" i="3" a="1"/>
  <c r="M368" i="3" s="1"/>
  <c r="M369" i="3" a="1"/>
  <c r="M369" i="3" s="1"/>
  <c r="M370" i="3" a="1"/>
  <c r="M370" i="3" s="1"/>
  <c r="M371" i="3" a="1"/>
  <c r="M371" i="3" s="1"/>
  <c r="M372" i="3" a="1"/>
  <c r="M372" i="3" s="1"/>
  <c r="M373" i="3" a="1"/>
  <c r="M373" i="3" s="1"/>
  <c r="M374" i="3" a="1"/>
  <c r="M374" i="3" s="1"/>
  <c r="M375" i="3" a="1"/>
  <c r="M375" i="3" s="1"/>
  <c r="M376" i="3" a="1"/>
  <c r="M376" i="3" s="1"/>
  <c r="M377" i="3" a="1"/>
  <c r="M377" i="3" s="1"/>
  <c r="M378" i="3" a="1"/>
  <c r="M378" i="3" s="1"/>
  <c r="M379" i="3" a="1"/>
  <c r="M379" i="3" s="1"/>
  <c r="M380" i="3" a="1"/>
  <c r="M380" i="3" s="1"/>
  <c r="M381" i="3" a="1"/>
  <c r="M381" i="3" s="1"/>
  <c r="M382" i="3" a="1"/>
  <c r="M382" i="3" s="1"/>
  <c r="M383" i="3" a="1"/>
  <c r="M383" i="3" s="1"/>
  <c r="M384" i="3" a="1"/>
  <c r="M384" i="3" s="1"/>
  <c r="M385" i="3" a="1"/>
  <c r="M385" i="3" s="1"/>
  <c r="M386" i="3" a="1"/>
  <c r="M386" i="3" s="1"/>
  <c r="M387" i="3" a="1"/>
  <c r="M387" i="3" s="1"/>
  <c r="M388" i="3" a="1"/>
  <c r="M388" i="3" s="1"/>
  <c r="M389" i="3" a="1"/>
  <c r="M389" i="3" s="1"/>
  <c r="M390" i="3" a="1"/>
  <c r="M390" i="3" s="1"/>
  <c r="M391" i="3" a="1"/>
  <c r="M391" i="3" s="1"/>
  <c r="M392" i="3" a="1"/>
  <c r="M392" i="3" s="1"/>
  <c r="M393" i="3" a="1"/>
  <c r="M393" i="3" s="1"/>
  <c r="M394" i="3" a="1"/>
  <c r="M394" i="3" s="1"/>
  <c r="M395" i="3" a="1"/>
  <c r="M395" i="3" s="1"/>
  <c r="M396" i="3" a="1"/>
  <c r="M396" i="3" s="1"/>
  <c r="M397" i="3" a="1"/>
  <c r="M397" i="3" s="1"/>
  <c r="M398" i="3" a="1"/>
  <c r="M398" i="3" s="1"/>
  <c r="M399" i="3" a="1"/>
  <c r="M399" i="3" s="1"/>
  <c r="M400" i="3" a="1"/>
  <c r="M400" i="3" s="1"/>
  <c r="M401" i="3" a="1"/>
  <c r="M401" i="3" s="1"/>
  <c r="M402" i="3" a="1"/>
  <c r="M402" i="3" s="1"/>
  <c r="M403" i="3" a="1"/>
  <c r="M403" i="3" s="1"/>
  <c r="M404" i="3" a="1"/>
  <c r="M404" i="3" s="1"/>
  <c r="M405" i="3" a="1"/>
  <c r="M405" i="3" s="1"/>
  <c r="M406" i="3" a="1"/>
  <c r="M406" i="3" s="1"/>
  <c r="M407" i="3" a="1"/>
  <c r="M407" i="3" s="1"/>
  <c r="M408" i="3" a="1"/>
  <c r="M408" i="3" s="1"/>
  <c r="M409" i="3" a="1"/>
  <c r="M409" i="3" s="1"/>
  <c r="M410" i="3" a="1"/>
  <c r="M410" i="3" s="1"/>
  <c r="M411" i="3" a="1"/>
  <c r="M411" i="3" s="1"/>
  <c r="M412" i="3" a="1"/>
  <c r="M412" i="3" s="1"/>
  <c r="M413" i="3" a="1"/>
  <c r="M413" i="3" s="1"/>
  <c r="M414" i="3" a="1"/>
  <c r="M414" i="3" s="1"/>
  <c r="M415" i="3" a="1"/>
  <c r="M415" i="3" s="1"/>
  <c r="M416" i="3" a="1"/>
  <c r="M416" i="3" s="1"/>
  <c r="M417" i="3" a="1"/>
  <c r="M417" i="3" s="1"/>
  <c r="M418" i="3" a="1"/>
  <c r="M418" i="3" s="1"/>
  <c r="M419" i="3" a="1"/>
  <c r="M419" i="3" s="1"/>
  <c r="M420" i="3" a="1"/>
  <c r="M420" i="3" s="1"/>
  <c r="M421" i="3" a="1"/>
  <c r="M421" i="3" s="1"/>
  <c r="M422" i="3" a="1"/>
  <c r="M422" i="3" s="1"/>
  <c r="M423" i="3" a="1"/>
  <c r="M423" i="3" s="1"/>
  <c r="M424" i="3" a="1"/>
  <c r="M424" i="3" s="1"/>
  <c r="M425" i="3" a="1"/>
  <c r="M425" i="3" s="1"/>
  <c r="M426" i="3" a="1"/>
  <c r="M426" i="3" s="1"/>
  <c r="M427" i="3" a="1"/>
  <c r="M427" i="3" s="1"/>
  <c r="M428" i="3" a="1"/>
  <c r="M428" i="3" s="1"/>
  <c r="M429" i="3" a="1"/>
  <c r="M429" i="3" s="1"/>
  <c r="M430" i="3" a="1"/>
  <c r="M430" i="3" s="1"/>
  <c r="M431" i="3" a="1"/>
  <c r="M431" i="3" s="1"/>
  <c r="M432" i="3" a="1"/>
  <c r="M432" i="3" s="1"/>
  <c r="M433" i="3" a="1"/>
  <c r="M433" i="3" s="1"/>
  <c r="M434" i="3" a="1"/>
  <c r="M434" i="3" s="1"/>
  <c r="M435" i="3" a="1"/>
  <c r="M435" i="3" s="1"/>
  <c r="M436" i="3" a="1"/>
  <c r="M436" i="3" s="1"/>
  <c r="M437" i="3" a="1"/>
  <c r="M437" i="3" s="1"/>
  <c r="M438" i="3" a="1"/>
  <c r="M438" i="3" s="1"/>
  <c r="M439" i="3" a="1"/>
  <c r="M439" i="3" s="1"/>
  <c r="M440" i="3" a="1"/>
  <c r="M440" i="3" s="1"/>
  <c r="M441" i="3" a="1"/>
  <c r="M441" i="3" s="1"/>
  <c r="M442" i="3" a="1"/>
  <c r="M442" i="3" s="1"/>
  <c r="M443" i="3" a="1"/>
  <c r="M443" i="3" s="1"/>
  <c r="M444" i="3" a="1"/>
  <c r="M444" i="3" s="1"/>
  <c r="M445" i="3" a="1"/>
  <c r="M445" i="3" s="1"/>
  <c r="M446" i="3" a="1"/>
  <c r="M446" i="3" s="1"/>
  <c r="M447" i="3" a="1"/>
  <c r="M447" i="3" s="1"/>
  <c r="M448" i="3" a="1"/>
  <c r="M448" i="3" s="1"/>
  <c r="M449" i="3" a="1"/>
  <c r="M449" i="3" s="1"/>
  <c r="M450" i="3" a="1"/>
  <c r="M450" i="3" s="1"/>
  <c r="M451" i="3" a="1"/>
  <c r="M451" i="3" s="1"/>
  <c r="M452" i="3" a="1"/>
  <c r="M452" i="3" s="1"/>
  <c r="M453" i="3" a="1"/>
  <c r="M453" i="3" s="1"/>
  <c r="M454" i="3" a="1"/>
  <c r="M454" i="3" s="1"/>
  <c r="M455" i="3" a="1"/>
  <c r="M455" i="3" s="1"/>
  <c r="M456" i="3" a="1"/>
  <c r="M456" i="3" s="1"/>
  <c r="M457" i="3" a="1"/>
  <c r="M457" i="3" s="1"/>
  <c r="M458" i="3" a="1"/>
  <c r="M458" i="3" s="1"/>
  <c r="M459" i="3" a="1"/>
  <c r="M459" i="3" s="1"/>
  <c r="M460" i="3" a="1"/>
  <c r="M460" i="3" s="1"/>
  <c r="M461" i="3" a="1"/>
  <c r="M461" i="3" s="1"/>
  <c r="M462" i="3" a="1"/>
  <c r="M462" i="3" s="1"/>
  <c r="M463" i="3" a="1"/>
  <c r="M463" i="3" s="1"/>
  <c r="M464" i="3" a="1"/>
  <c r="M464" i="3" s="1"/>
  <c r="M465" i="3" a="1"/>
  <c r="M465" i="3" s="1"/>
  <c r="M466" i="3" a="1"/>
  <c r="M466" i="3" s="1"/>
  <c r="M467" i="3" a="1"/>
  <c r="M467" i="3" s="1"/>
  <c r="M468" i="3" a="1"/>
  <c r="M468" i="3" s="1"/>
  <c r="M469" i="3" a="1"/>
  <c r="M469" i="3" s="1"/>
  <c r="M470" i="3" a="1"/>
  <c r="M470" i="3" s="1"/>
  <c r="M471" i="3" a="1"/>
  <c r="M471" i="3" s="1"/>
  <c r="M472" i="3" a="1"/>
  <c r="M472" i="3" s="1"/>
  <c r="M473" i="3" a="1"/>
  <c r="M473" i="3" s="1"/>
  <c r="M474" i="3" a="1"/>
  <c r="M474" i="3" s="1"/>
  <c r="M475" i="3" a="1"/>
  <c r="M475" i="3" s="1"/>
  <c r="M476" i="3" a="1"/>
  <c r="M476" i="3" s="1"/>
  <c r="M477" i="3" a="1"/>
  <c r="M477" i="3" s="1"/>
  <c r="M478" i="3" a="1"/>
  <c r="M478" i="3" s="1"/>
  <c r="M479" i="3" a="1"/>
  <c r="M479" i="3" s="1"/>
  <c r="M480" i="3" a="1"/>
  <c r="M480" i="3" s="1"/>
  <c r="M481" i="3" a="1"/>
  <c r="M481" i="3" s="1"/>
  <c r="M482" i="3" a="1"/>
  <c r="M482" i="3" s="1"/>
  <c r="M483" i="3" a="1"/>
  <c r="M483" i="3" s="1"/>
  <c r="M484" i="3" a="1"/>
  <c r="M484" i="3" s="1"/>
  <c r="M485" i="3" a="1"/>
  <c r="M485" i="3" s="1"/>
  <c r="M486" i="3" a="1"/>
  <c r="M486" i="3" s="1"/>
  <c r="M487" i="3" a="1"/>
  <c r="M487" i="3" s="1"/>
  <c r="M488" i="3" a="1"/>
  <c r="M488" i="3" s="1"/>
  <c r="M489" i="3" a="1"/>
  <c r="M489" i="3" s="1"/>
  <c r="M490" i="3" a="1"/>
  <c r="M490" i="3" s="1"/>
  <c r="M491" i="3" a="1"/>
  <c r="M491" i="3" s="1"/>
  <c r="M492" i="3" a="1"/>
  <c r="M492" i="3" s="1"/>
  <c r="M493" i="3" a="1"/>
  <c r="M493" i="3" s="1"/>
  <c r="M494" i="3" a="1"/>
  <c r="M494" i="3" s="1"/>
  <c r="M495" i="3" a="1"/>
  <c r="M495" i="3" s="1"/>
  <c r="M496" i="3" a="1"/>
  <c r="M496" i="3" s="1"/>
  <c r="M497" i="3" a="1"/>
  <c r="M497" i="3" s="1"/>
  <c r="M498" i="3" a="1"/>
  <c r="M498" i="3" s="1"/>
  <c r="M499" i="3" a="1"/>
  <c r="M499" i="3" s="1"/>
  <c r="M500" i="3" a="1"/>
  <c r="M500" i="3" s="1"/>
  <c r="M501" i="3" a="1"/>
  <c r="M501" i="3" s="1"/>
  <c r="M502" i="3" a="1"/>
  <c r="M502" i="3" s="1"/>
  <c r="M503" i="3" a="1"/>
  <c r="M503" i="3" s="1"/>
  <c r="M504" i="3" a="1"/>
  <c r="M504" i="3" s="1"/>
  <c r="M505" i="3" a="1"/>
  <c r="M505" i="3" s="1"/>
  <c r="M506" i="3" a="1"/>
  <c r="M506" i="3" s="1"/>
  <c r="M507" i="3" a="1"/>
  <c r="M507" i="3" s="1"/>
  <c r="M508" i="3" a="1"/>
  <c r="M508" i="3" s="1"/>
  <c r="M509" i="3" a="1"/>
  <c r="M509" i="3" s="1"/>
  <c r="M510" i="3" a="1"/>
  <c r="M510" i="3" s="1"/>
  <c r="M511" i="3" a="1"/>
  <c r="M511" i="3" s="1"/>
  <c r="M512" i="3" a="1"/>
  <c r="M512" i="3" s="1"/>
  <c r="M513" i="3" a="1"/>
  <c r="M513" i="3" s="1"/>
  <c r="M514" i="3" a="1"/>
  <c r="M514" i="3" s="1"/>
  <c r="M515" i="3" a="1"/>
  <c r="M515" i="3" s="1"/>
  <c r="M516" i="3" a="1"/>
  <c r="M516" i="3" s="1"/>
  <c r="M517" i="3" a="1"/>
  <c r="M517" i="3" s="1"/>
  <c r="M518" i="3" a="1"/>
  <c r="M518" i="3" s="1"/>
  <c r="M519" i="3" a="1"/>
  <c r="M519" i="3" s="1"/>
  <c r="M520" i="3" a="1"/>
  <c r="M520" i="3" s="1"/>
  <c r="M521" i="3" a="1"/>
  <c r="M521" i="3" s="1"/>
  <c r="M522" i="3" a="1"/>
  <c r="M522" i="3" s="1"/>
  <c r="M523" i="3" a="1"/>
  <c r="M523" i="3" s="1"/>
  <c r="M524" i="3" a="1"/>
  <c r="M524" i="3" s="1"/>
  <c r="M525" i="3" a="1"/>
  <c r="M525" i="3" s="1"/>
  <c r="M526" i="3" a="1"/>
  <c r="M526" i="3" s="1"/>
  <c r="M527" i="3" a="1"/>
  <c r="M527" i="3" s="1"/>
  <c r="M528" i="3" a="1"/>
  <c r="M528" i="3" s="1"/>
  <c r="M529" i="3" a="1"/>
  <c r="M529" i="3" s="1"/>
  <c r="M530" i="3" a="1"/>
  <c r="M530" i="3" s="1"/>
  <c r="M531" i="3" a="1"/>
  <c r="M531" i="3" s="1"/>
  <c r="M532" i="3" a="1"/>
  <c r="M532" i="3" s="1"/>
  <c r="M533" i="3" a="1"/>
  <c r="M533" i="3" s="1"/>
  <c r="M534" i="3" a="1"/>
  <c r="M534" i="3" s="1"/>
  <c r="M535" i="3" a="1"/>
  <c r="M535" i="3" s="1"/>
  <c r="M536" i="3" a="1"/>
  <c r="M536" i="3" s="1"/>
  <c r="M537" i="3" a="1"/>
  <c r="M537" i="3" s="1"/>
  <c r="M538" i="3" a="1"/>
  <c r="M538" i="3" s="1"/>
  <c r="M539" i="3" a="1"/>
  <c r="M539" i="3" s="1"/>
  <c r="M540" i="3" a="1"/>
  <c r="M540" i="3" s="1"/>
  <c r="M541" i="3" a="1"/>
  <c r="M541" i="3" s="1"/>
  <c r="M542" i="3" a="1"/>
  <c r="M542" i="3" s="1"/>
  <c r="M543" i="3" a="1"/>
  <c r="M543" i="3" s="1"/>
  <c r="M544" i="3" a="1"/>
  <c r="M544" i="3" s="1"/>
  <c r="M545" i="3" a="1"/>
  <c r="M545" i="3" s="1"/>
  <c r="M546" i="3" a="1"/>
  <c r="M546" i="3" s="1"/>
  <c r="M547" i="3" a="1"/>
  <c r="M547" i="3" s="1"/>
  <c r="M548" i="3" a="1"/>
  <c r="M548" i="3" s="1"/>
  <c r="M549" i="3" a="1"/>
  <c r="M549" i="3" s="1"/>
  <c r="M550" i="3" a="1"/>
  <c r="M550" i="3" s="1"/>
  <c r="M551" i="3" a="1"/>
  <c r="M551" i="3" s="1"/>
  <c r="M552" i="3" a="1"/>
  <c r="M552" i="3" s="1"/>
  <c r="M553" i="3" a="1"/>
  <c r="M553" i="3" s="1"/>
  <c r="M554" i="3" a="1"/>
  <c r="M554" i="3" s="1"/>
  <c r="M555" i="3" a="1"/>
  <c r="M555" i="3" s="1"/>
  <c r="M557" i="3" a="1"/>
  <c r="M557" i="3" s="1"/>
  <c r="M558" i="3" a="1"/>
  <c r="M558" i="3" s="1"/>
  <c r="M559" i="3" a="1"/>
  <c r="M559" i="3" s="1"/>
  <c r="M560" i="3" a="1"/>
  <c r="M560" i="3" s="1"/>
  <c r="M561" i="3" a="1"/>
  <c r="M561" i="3" s="1"/>
  <c r="M562" i="3" a="1"/>
  <c r="M562" i="3" s="1"/>
  <c r="M563" i="3" a="1"/>
  <c r="M563" i="3" s="1"/>
  <c r="M564" i="3" a="1"/>
  <c r="M564" i="3" s="1"/>
  <c r="M565" i="3" a="1"/>
  <c r="M565" i="3" s="1"/>
  <c r="M566" i="3" a="1"/>
  <c r="M566" i="3" s="1"/>
  <c r="M567" i="3" a="1"/>
  <c r="M567" i="3" s="1"/>
  <c r="M568" i="3" a="1"/>
  <c r="M568" i="3" s="1"/>
  <c r="M569" i="3" a="1"/>
  <c r="M569" i="3" s="1"/>
  <c r="M570" i="3" a="1"/>
  <c r="M570" i="3" s="1"/>
  <c r="M571" i="3" a="1"/>
  <c r="M571" i="3" s="1"/>
  <c r="M572" i="3" a="1"/>
  <c r="M572" i="3" s="1"/>
  <c r="M573" i="3" a="1"/>
  <c r="M573" i="3" s="1"/>
  <c r="M574" i="3" a="1"/>
  <c r="M574" i="3" s="1"/>
  <c r="M575" i="3" a="1"/>
  <c r="M575" i="3" s="1"/>
  <c r="M576" i="3" a="1"/>
  <c r="M576" i="3" s="1"/>
  <c r="M577" i="3" a="1"/>
  <c r="M577" i="3" s="1"/>
  <c r="M578" i="3" a="1"/>
  <c r="M578" i="3" s="1"/>
  <c r="M579" i="3" a="1"/>
  <c r="M579" i="3" s="1"/>
  <c r="M2" i="3" a="1"/>
  <c r="M2" i="3" s="1"/>
  <c r="L3" i="3" a="1"/>
  <c r="L3" i="3" s="1"/>
  <c r="L4" i="3" a="1"/>
  <c r="L4" i="3" s="1"/>
  <c r="L5" i="3" a="1"/>
  <c r="L5" i="3" s="1"/>
  <c r="L6" i="3" a="1"/>
  <c r="L6" i="3" s="1"/>
  <c r="L7" i="3" a="1"/>
  <c r="L7" i="3" s="1"/>
  <c r="L8" i="3" a="1"/>
  <c r="L8" i="3" s="1"/>
  <c r="L9" i="3" a="1"/>
  <c r="L9" i="3" s="1"/>
  <c r="L10" i="3" a="1"/>
  <c r="L10" i="3" s="1"/>
  <c r="L11" i="3" a="1"/>
  <c r="L11" i="3" s="1"/>
  <c r="L12" i="3" a="1"/>
  <c r="L12" i="3" s="1"/>
  <c r="L13" i="3" a="1"/>
  <c r="L13" i="3" s="1"/>
  <c r="L14" i="3" a="1"/>
  <c r="L14" i="3" s="1"/>
  <c r="L15" i="3" a="1"/>
  <c r="L15" i="3" s="1"/>
  <c r="L16" i="3" a="1"/>
  <c r="L16" i="3" s="1"/>
  <c r="L17" i="3" a="1"/>
  <c r="L17" i="3" s="1"/>
  <c r="L18" i="3" a="1"/>
  <c r="L18" i="3" s="1"/>
  <c r="L19" i="3" a="1"/>
  <c r="L19" i="3" s="1"/>
  <c r="L20" i="3" a="1"/>
  <c r="L20" i="3" s="1"/>
  <c r="L21" i="3" a="1"/>
  <c r="L21" i="3" s="1"/>
  <c r="L22" i="3" a="1"/>
  <c r="L22" i="3" s="1"/>
  <c r="L23" i="3" a="1"/>
  <c r="L23" i="3" s="1"/>
  <c r="L24" i="3" a="1"/>
  <c r="L24" i="3" s="1"/>
  <c r="L25" i="3" a="1"/>
  <c r="L25" i="3" s="1"/>
  <c r="L26" i="3" a="1"/>
  <c r="L26" i="3" s="1"/>
  <c r="L27" i="3" a="1"/>
  <c r="L27" i="3" s="1"/>
  <c r="L28" i="3" a="1"/>
  <c r="L28" i="3" s="1"/>
  <c r="L29" i="3" a="1"/>
  <c r="L29" i="3" s="1"/>
  <c r="L30" i="3" a="1"/>
  <c r="L30" i="3" s="1"/>
  <c r="L31" i="3" a="1"/>
  <c r="L31" i="3" s="1"/>
  <c r="L32" i="3" a="1"/>
  <c r="L32" i="3" s="1"/>
  <c r="L33" i="3" a="1"/>
  <c r="L33" i="3" s="1"/>
  <c r="L34" i="3" a="1"/>
  <c r="L34" i="3" s="1"/>
  <c r="L35" i="3" a="1"/>
  <c r="L35" i="3" s="1"/>
  <c r="L36" i="3" a="1"/>
  <c r="L36" i="3" s="1"/>
  <c r="L37" i="3" a="1"/>
  <c r="L37" i="3" s="1"/>
  <c r="L38" i="3" a="1"/>
  <c r="L38" i="3" s="1"/>
  <c r="L39" i="3" a="1"/>
  <c r="L39" i="3" s="1"/>
  <c r="L40" i="3" a="1"/>
  <c r="L40" i="3" s="1"/>
  <c r="L41" i="3" a="1"/>
  <c r="L41" i="3" s="1"/>
  <c r="L42" i="3" a="1"/>
  <c r="L42" i="3" s="1"/>
  <c r="L43" i="3" a="1"/>
  <c r="L43" i="3" s="1"/>
  <c r="L44" i="3" a="1"/>
  <c r="L44" i="3" s="1"/>
  <c r="L45" i="3" a="1"/>
  <c r="L45" i="3" s="1"/>
  <c r="L46" i="3" a="1"/>
  <c r="L46" i="3" s="1"/>
  <c r="L47" i="3" a="1"/>
  <c r="L47" i="3" s="1"/>
  <c r="L48" i="3" a="1"/>
  <c r="L48" i="3" s="1"/>
  <c r="L49" i="3" a="1"/>
  <c r="L49" i="3" s="1"/>
  <c r="L50" i="3" a="1"/>
  <c r="L50" i="3" s="1"/>
  <c r="L51" i="3" a="1"/>
  <c r="L51" i="3" s="1"/>
  <c r="L52" i="3" a="1"/>
  <c r="L52" i="3" s="1"/>
  <c r="L53" i="3" a="1"/>
  <c r="L53" i="3" s="1"/>
  <c r="L54" i="3" a="1"/>
  <c r="L54" i="3" s="1"/>
  <c r="L55" i="3" a="1"/>
  <c r="L55" i="3" s="1"/>
  <c r="L56" i="3" a="1"/>
  <c r="L56" i="3" s="1"/>
  <c r="L57" i="3" a="1"/>
  <c r="L57" i="3" s="1"/>
  <c r="L58" i="3" a="1"/>
  <c r="L58" i="3" s="1"/>
  <c r="L59" i="3" a="1"/>
  <c r="L59" i="3" s="1"/>
  <c r="L60" i="3" a="1"/>
  <c r="L60" i="3" s="1"/>
  <c r="L61" i="3" a="1"/>
  <c r="L61" i="3" s="1"/>
  <c r="L62" i="3" a="1"/>
  <c r="L62" i="3" s="1"/>
  <c r="L63" i="3" a="1"/>
  <c r="L63" i="3" s="1"/>
  <c r="L64" i="3" a="1"/>
  <c r="L64" i="3" s="1"/>
  <c r="L65" i="3" a="1"/>
  <c r="L65" i="3" s="1"/>
  <c r="L66" i="3" a="1"/>
  <c r="L66" i="3" s="1"/>
  <c r="L67" i="3" a="1"/>
  <c r="L67" i="3" s="1"/>
  <c r="L68" i="3" a="1"/>
  <c r="L68" i="3" s="1"/>
  <c r="L69" i="3" a="1"/>
  <c r="L69" i="3" s="1"/>
  <c r="L70" i="3" a="1"/>
  <c r="L70" i="3" s="1"/>
  <c r="L71" i="3" a="1"/>
  <c r="L71" i="3" s="1"/>
  <c r="L72" i="3" a="1"/>
  <c r="L72" i="3" s="1"/>
  <c r="L73" i="3" a="1"/>
  <c r="L73" i="3" s="1"/>
  <c r="L74" i="3" a="1"/>
  <c r="L74" i="3" s="1"/>
  <c r="L75" i="3" a="1"/>
  <c r="L75" i="3" s="1"/>
  <c r="L76" i="3" a="1"/>
  <c r="L76" i="3" s="1"/>
  <c r="L77" i="3" a="1"/>
  <c r="L77" i="3" s="1"/>
  <c r="L78" i="3" a="1"/>
  <c r="L78" i="3" s="1"/>
  <c r="L79" i="3" a="1"/>
  <c r="L79" i="3" s="1"/>
  <c r="L80" i="3" a="1"/>
  <c r="L80" i="3" s="1"/>
  <c r="L81" i="3" a="1"/>
  <c r="L81" i="3" s="1"/>
  <c r="L82" i="3" a="1"/>
  <c r="L82" i="3" s="1"/>
  <c r="L83" i="3" a="1"/>
  <c r="L83" i="3" s="1"/>
  <c r="L84" i="3" a="1"/>
  <c r="L84" i="3" s="1"/>
  <c r="L85" i="3" a="1"/>
  <c r="L85" i="3" s="1"/>
  <c r="L86" i="3" a="1"/>
  <c r="L86" i="3" s="1"/>
  <c r="L87" i="3" a="1"/>
  <c r="L87" i="3" s="1"/>
  <c r="L88" i="3" a="1"/>
  <c r="L88" i="3" s="1"/>
  <c r="L89" i="3" a="1"/>
  <c r="L89" i="3" s="1"/>
  <c r="L90" i="3" a="1"/>
  <c r="L90" i="3" s="1"/>
  <c r="L91" i="3" a="1"/>
  <c r="L91" i="3" s="1"/>
  <c r="L92" i="3" a="1"/>
  <c r="L92" i="3" s="1"/>
  <c r="L93" i="3" a="1"/>
  <c r="L93" i="3" s="1"/>
  <c r="L94" i="3" a="1"/>
  <c r="L94" i="3" s="1"/>
  <c r="L95" i="3" a="1"/>
  <c r="L95" i="3" s="1"/>
  <c r="L96" i="3" a="1"/>
  <c r="L96" i="3" s="1"/>
  <c r="L97" i="3" a="1"/>
  <c r="L97" i="3" s="1"/>
  <c r="L98" i="3" a="1"/>
  <c r="L98" i="3" s="1"/>
  <c r="L99" i="3" a="1"/>
  <c r="L99" i="3" s="1"/>
  <c r="L100" i="3" a="1"/>
  <c r="L100" i="3" s="1"/>
  <c r="L101" i="3" a="1"/>
  <c r="L101" i="3" s="1"/>
  <c r="L102" i="3" a="1"/>
  <c r="L102" i="3" s="1"/>
  <c r="L103" i="3" a="1"/>
  <c r="L103" i="3" s="1"/>
  <c r="L104" i="3" a="1"/>
  <c r="L104" i="3" s="1"/>
  <c r="L105" i="3" a="1"/>
  <c r="L105" i="3" s="1"/>
  <c r="L106" i="3" a="1"/>
  <c r="L106" i="3" s="1"/>
  <c r="L107" i="3" a="1"/>
  <c r="L107" i="3" s="1"/>
  <c r="L108" i="3" a="1"/>
  <c r="L108" i="3" s="1"/>
  <c r="L109" i="3" a="1"/>
  <c r="L109" i="3" s="1"/>
  <c r="L110" i="3" a="1"/>
  <c r="L110" i="3" s="1"/>
  <c r="L111" i="3" a="1"/>
  <c r="L111" i="3" s="1"/>
  <c r="L112" i="3" a="1"/>
  <c r="L112" i="3" s="1"/>
  <c r="L113" i="3" a="1"/>
  <c r="L113" i="3" s="1"/>
  <c r="L114" i="3" a="1"/>
  <c r="L114" i="3" s="1"/>
  <c r="L115" i="3" a="1"/>
  <c r="L115" i="3" s="1"/>
  <c r="L116" i="3" a="1"/>
  <c r="L116" i="3" s="1"/>
  <c r="L117" i="3" a="1"/>
  <c r="L117" i="3" s="1"/>
  <c r="L118" i="3" a="1"/>
  <c r="L118" i="3" s="1"/>
  <c r="L119" i="3" a="1"/>
  <c r="L119" i="3" s="1"/>
  <c r="L120" i="3" a="1"/>
  <c r="L120" i="3" s="1"/>
  <c r="L121" i="3" a="1"/>
  <c r="L121" i="3" s="1"/>
  <c r="L122" i="3" a="1"/>
  <c r="L122" i="3" s="1"/>
  <c r="L123" i="3" a="1"/>
  <c r="L123" i="3" s="1"/>
  <c r="L124" i="3" a="1"/>
  <c r="L124" i="3" s="1"/>
  <c r="L125" i="3" a="1"/>
  <c r="L125" i="3" s="1"/>
  <c r="L126" i="3" a="1"/>
  <c r="L126" i="3" s="1"/>
  <c r="L127" i="3" a="1"/>
  <c r="L127" i="3" s="1"/>
  <c r="L128" i="3" a="1"/>
  <c r="L128" i="3" s="1"/>
  <c r="L129" i="3" a="1"/>
  <c r="L129" i="3" s="1"/>
  <c r="L130" i="3" a="1"/>
  <c r="L130" i="3" s="1"/>
  <c r="L131" i="3" a="1"/>
  <c r="L131" i="3" s="1"/>
  <c r="L132" i="3" a="1"/>
  <c r="L132" i="3" s="1"/>
  <c r="L133" i="3" a="1"/>
  <c r="L133" i="3" s="1"/>
  <c r="L134" i="3" a="1"/>
  <c r="L134" i="3" s="1"/>
  <c r="L135" i="3" a="1"/>
  <c r="L135" i="3" s="1"/>
  <c r="L136" i="3" a="1"/>
  <c r="L136" i="3" s="1"/>
  <c r="L137" i="3" a="1"/>
  <c r="L137" i="3" s="1"/>
  <c r="L138" i="3" a="1"/>
  <c r="L138" i="3" s="1"/>
  <c r="L139" i="3" a="1"/>
  <c r="L139" i="3" s="1"/>
  <c r="L140" i="3" a="1"/>
  <c r="L140" i="3" s="1"/>
  <c r="L141" i="3" a="1"/>
  <c r="L141" i="3" s="1"/>
  <c r="L142" i="3" a="1"/>
  <c r="L142" i="3" s="1"/>
  <c r="L143" i="3" a="1"/>
  <c r="L143" i="3" s="1"/>
  <c r="L144" i="3" a="1"/>
  <c r="L144" i="3" s="1"/>
  <c r="L145" i="3" a="1"/>
  <c r="L145" i="3" s="1"/>
  <c r="L146" i="3" a="1"/>
  <c r="L146" i="3" s="1"/>
  <c r="L147" i="3" a="1"/>
  <c r="L147" i="3" s="1"/>
  <c r="L148" i="3" a="1"/>
  <c r="L148" i="3" s="1"/>
  <c r="L149" i="3" a="1"/>
  <c r="L149" i="3" s="1"/>
  <c r="L150" i="3" a="1"/>
  <c r="L150" i="3" s="1"/>
  <c r="L151" i="3" a="1"/>
  <c r="L151" i="3" s="1"/>
  <c r="L152" i="3" a="1"/>
  <c r="L152" i="3" s="1"/>
  <c r="L153" i="3" a="1"/>
  <c r="L153" i="3" s="1"/>
  <c r="L154" i="3" a="1"/>
  <c r="L154" i="3" s="1"/>
  <c r="L155" i="3" a="1"/>
  <c r="L155" i="3" s="1"/>
  <c r="L156" i="3" a="1"/>
  <c r="L156" i="3" s="1"/>
  <c r="L157" i="3" a="1"/>
  <c r="L157" i="3" s="1"/>
  <c r="L158" i="3" a="1"/>
  <c r="L158" i="3" s="1"/>
  <c r="L159" i="3" a="1"/>
  <c r="L159" i="3" s="1"/>
  <c r="L160" i="3" a="1"/>
  <c r="L160" i="3" s="1"/>
  <c r="L161" i="3" a="1"/>
  <c r="L161" i="3" s="1"/>
  <c r="L162" i="3" a="1"/>
  <c r="L162" i="3" s="1"/>
  <c r="L163" i="3" a="1"/>
  <c r="L163" i="3" s="1"/>
  <c r="L164" i="3" a="1"/>
  <c r="L164" i="3" s="1"/>
  <c r="L165" i="3" a="1"/>
  <c r="L165" i="3" s="1"/>
  <c r="L166" i="3" a="1"/>
  <c r="L166" i="3" s="1"/>
  <c r="L167" i="3" a="1"/>
  <c r="L167" i="3" s="1"/>
  <c r="L168" i="3" a="1"/>
  <c r="L168" i="3" s="1"/>
  <c r="L169" i="3" a="1"/>
  <c r="L169" i="3" s="1"/>
  <c r="L170" i="3" a="1"/>
  <c r="L170" i="3" s="1"/>
  <c r="L171" i="3" a="1"/>
  <c r="L171" i="3" s="1"/>
  <c r="L172" i="3" a="1"/>
  <c r="L172" i="3" s="1"/>
  <c r="L173" i="3" a="1"/>
  <c r="L173" i="3" s="1"/>
  <c r="L174" i="3" a="1"/>
  <c r="L174" i="3" s="1"/>
  <c r="L175" i="3" a="1"/>
  <c r="L175" i="3" s="1"/>
  <c r="L176" i="3" a="1"/>
  <c r="L176" i="3" s="1"/>
  <c r="L177" i="3" a="1"/>
  <c r="L177" i="3" s="1"/>
  <c r="L178" i="3" a="1"/>
  <c r="L178" i="3" s="1"/>
  <c r="L179" i="3" a="1"/>
  <c r="L179" i="3" s="1"/>
  <c r="L180" i="3" a="1"/>
  <c r="L180" i="3" s="1"/>
  <c r="L181" i="3" a="1"/>
  <c r="L181" i="3" s="1"/>
  <c r="L182" i="3" a="1"/>
  <c r="L182" i="3" s="1"/>
  <c r="L183" i="3" a="1"/>
  <c r="L183" i="3" s="1"/>
  <c r="L184" i="3" a="1"/>
  <c r="L184" i="3" s="1"/>
  <c r="L185" i="3" a="1"/>
  <c r="L185" i="3" s="1"/>
  <c r="L186" i="3" a="1"/>
  <c r="L186" i="3" s="1"/>
  <c r="L187" i="3" a="1"/>
  <c r="L187" i="3" s="1"/>
  <c r="L188" i="3" a="1"/>
  <c r="L188" i="3" s="1"/>
  <c r="L189" i="3" a="1"/>
  <c r="L189" i="3" s="1"/>
  <c r="L190" i="3" a="1"/>
  <c r="L190" i="3" s="1"/>
  <c r="L191" i="3" a="1"/>
  <c r="L191" i="3" s="1"/>
  <c r="L192" i="3" a="1"/>
  <c r="L192" i="3" s="1"/>
  <c r="L193" i="3" a="1"/>
  <c r="L193" i="3" s="1"/>
  <c r="L194" i="3" a="1"/>
  <c r="L194" i="3" s="1"/>
  <c r="L195" i="3" a="1"/>
  <c r="L195" i="3" s="1"/>
  <c r="L196" i="3" a="1"/>
  <c r="L196" i="3" s="1"/>
  <c r="L197" i="3" a="1"/>
  <c r="L197" i="3" s="1"/>
  <c r="L198" i="3" a="1"/>
  <c r="L198" i="3" s="1"/>
  <c r="L199" i="3" a="1"/>
  <c r="L199" i="3" s="1"/>
  <c r="L200" i="3" a="1"/>
  <c r="L200" i="3" s="1"/>
  <c r="L201" i="3" a="1"/>
  <c r="L201" i="3" s="1"/>
  <c r="L202" i="3" a="1"/>
  <c r="L202" i="3" s="1"/>
  <c r="L203" i="3" a="1"/>
  <c r="L203" i="3" s="1"/>
  <c r="L204" i="3" a="1"/>
  <c r="L204" i="3" s="1"/>
  <c r="L205" i="3" a="1"/>
  <c r="L205" i="3" s="1"/>
  <c r="L206" i="3" a="1"/>
  <c r="L206" i="3" s="1"/>
  <c r="L207" i="3" a="1"/>
  <c r="L207" i="3" s="1"/>
  <c r="L208" i="3" a="1"/>
  <c r="L208" i="3" s="1"/>
  <c r="L209" i="3" a="1"/>
  <c r="L209" i="3" s="1"/>
  <c r="L210" i="3" a="1"/>
  <c r="L210" i="3" s="1"/>
  <c r="L211" i="3" a="1"/>
  <c r="L211" i="3" s="1"/>
  <c r="L212" i="3" a="1"/>
  <c r="L212" i="3" s="1"/>
  <c r="L213" i="3" a="1"/>
  <c r="L213" i="3" s="1"/>
  <c r="L214" i="3" a="1"/>
  <c r="L214" i="3" s="1"/>
  <c r="L215" i="3" a="1"/>
  <c r="L215" i="3" s="1"/>
  <c r="L216" i="3" a="1"/>
  <c r="L216" i="3" s="1"/>
  <c r="L217" i="3" a="1"/>
  <c r="L217" i="3" s="1"/>
  <c r="L218" i="3" a="1"/>
  <c r="L218" i="3" s="1"/>
  <c r="L219" i="3" a="1"/>
  <c r="L219" i="3" s="1"/>
  <c r="L220" i="3" a="1"/>
  <c r="L220" i="3" s="1"/>
  <c r="L221" i="3" a="1"/>
  <c r="L221" i="3" s="1"/>
  <c r="L222" i="3" a="1"/>
  <c r="L222" i="3" s="1"/>
  <c r="L223" i="3" a="1"/>
  <c r="L223" i="3" s="1"/>
  <c r="L224" i="3" a="1"/>
  <c r="L224" i="3" s="1"/>
  <c r="L225" i="3" a="1"/>
  <c r="L225" i="3" s="1"/>
  <c r="L226" i="3" a="1"/>
  <c r="L226" i="3" s="1"/>
  <c r="L227" i="3" a="1"/>
  <c r="L227" i="3" s="1"/>
  <c r="L228" i="3" a="1"/>
  <c r="L228" i="3" s="1"/>
  <c r="L229" i="3" a="1"/>
  <c r="L229" i="3" s="1"/>
  <c r="L230" i="3" a="1"/>
  <c r="L230" i="3" s="1"/>
  <c r="L231" i="3" a="1"/>
  <c r="L231" i="3" s="1"/>
  <c r="L232" i="3" a="1"/>
  <c r="L232" i="3" s="1"/>
  <c r="L233" i="3" a="1"/>
  <c r="L233" i="3" s="1"/>
  <c r="L234" i="3" a="1"/>
  <c r="L234" i="3" s="1"/>
  <c r="L235" i="3" a="1"/>
  <c r="L235" i="3" s="1"/>
  <c r="L236" i="3" a="1"/>
  <c r="L236" i="3" s="1"/>
  <c r="L237" i="3" a="1"/>
  <c r="L237" i="3" s="1"/>
  <c r="L238" i="3" a="1"/>
  <c r="L238" i="3" s="1"/>
  <c r="L239" i="3" a="1"/>
  <c r="L239" i="3" s="1"/>
  <c r="L240" i="3" a="1"/>
  <c r="L240" i="3" s="1"/>
  <c r="L241" i="3" a="1"/>
  <c r="L241" i="3" s="1"/>
  <c r="L242" i="3" a="1"/>
  <c r="L242" i="3" s="1"/>
  <c r="L243" i="3" a="1"/>
  <c r="L243" i="3" s="1"/>
  <c r="L244" i="3" a="1"/>
  <c r="L244" i="3" s="1"/>
  <c r="L245" i="3" a="1"/>
  <c r="L245" i="3" s="1"/>
  <c r="L246" i="3" a="1"/>
  <c r="L246" i="3" s="1"/>
  <c r="L247" i="3" a="1"/>
  <c r="L247" i="3" s="1"/>
  <c r="L248" i="3" a="1"/>
  <c r="L248" i="3" s="1"/>
  <c r="L249" i="3" a="1"/>
  <c r="L249" i="3" s="1"/>
  <c r="L250" i="3" a="1"/>
  <c r="L250" i="3" s="1"/>
  <c r="L251" i="3" a="1"/>
  <c r="L251" i="3" s="1"/>
  <c r="L252" i="3" a="1"/>
  <c r="L252" i="3" s="1"/>
  <c r="L253" i="3" a="1"/>
  <c r="L253" i="3" s="1"/>
  <c r="L254" i="3" a="1"/>
  <c r="L254" i="3" s="1"/>
  <c r="L255" i="3" a="1"/>
  <c r="L255" i="3" s="1"/>
  <c r="L256" i="3" a="1"/>
  <c r="L256" i="3" s="1"/>
  <c r="L257" i="3" a="1"/>
  <c r="L257" i="3" s="1"/>
  <c r="L258" i="3" a="1"/>
  <c r="L258" i="3" s="1"/>
  <c r="L259" i="3" a="1"/>
  <c r="L259" i="3" s="1"/>
  <c r="L260" i="3" a="1"/>
  <c r="L260" i="3" s="1"/>
  <c r="L261" i="3" a="1"/>
  <c r="L261" i="3" s="1"/>
  <c r="L262" i="3" a="1"/>
  <c r="L262" i="3" s="1"/>
  <c r="L263" i="3" a="1"/>
  <c r="L263" i="3" s="1"/>
  <c r="L264" i="3" a="1"/>
  <c r="L264" i="3" s="1"/>
  <c r="L265" i="3" a="1"/>
  <c r="L265" i="3" s="1"/>
  <c r="L266" i="3" a="1"/>
  <c r="L266" i="3" s="1"/>
  <c r="L267" i="3" a="1"/>
  <c r="L267" i="3" s="1"/>
  <c r="L268" i="3" a="1"/>
  <c r="L268" i="3" s="1"/>
  <c r="L269" i="3" a="1"/>
  <c r="L269" i="3" s="1"/>
  <c r="L270" i="3" a="1"/>
  <c r="L270" i="3" s="1"/>
  <c r="L271" i="3" a="1"/>
  <c r="L271" i="3" s="1"/>
  <c r="L272" i="3" a="1"/>
  <c r="L272" i="3" s="1"/>
  <c r="L273" i="3" a="1"/>
  <c r="L273" i="3" s="1"/>
  <c r="L274" i="3" a="1"/>
  <c r="L274" i="3" s="1"/>
  <c r="L275" i="3" a="1"/>
  <c r="L275" i="3" s="1"/>
  <c r="L276" i="3" a="1"/>
  <c r="L276" i="3" s="1"/>
  <c r="L277" i="3" a="1"/>
  <c r="L277" i="3" s="1"/>
  <c r="L278" i="3" a="1"/>
  <c r="L278" i="3" s="1"/>
  <c r="L279" i="3" a="1"/>
  <c r="L279" i="3" s="1"/>
  <c r="L280" i="3" a="1"/>
  <c r="L280" i="3" s="1"/>
  <c r="L281" i="3" a="1"/>
  <c r="L281" i="3" s="1"/>
  <c r="L282" i="3" a="1"/>
  <c r="L282" i="3" s="1"/>
  <c r="L283" i="3" a="1"/>
  <c r="L283" i="3" s="1"/>
  <c r="L284" i="3" a="1"/>
  <c r="L284" i="3" s="1"/>
  <c r="L285" i="3" a="1"/>
  <c r="L285" i="3" s="1"/>
  <c r="L286" i="3" a="1"/>
  <c r="L286" i="3" s="1"/>
  <c r="L287" i="3" a="1"/>
  <c r="L287" i="3" s="1"/>
  <c r="L288" i="3" a="1"/>
  <c r="L288" i="3" s="1"/>
  <c r="L289" i="3" a="1"/>
  <c r="L289" i="3" s="1"/>
  <c r="L290" i="3" a="1"/>
  <c r="L290" i="3" s="1"/>
  <c r="L291" i="3" a="1"/>
  <c r="L291" i="3" s="1"/>
  <c r="L292" i="3" a="1"/>
  <c r="L292" i="3" s="1"/>
  <c r="L293" i="3" a="1"/>
  <c r="L293" i="3" s="1"/>
  <c r="L294" i="3" a="1"/>
  <c r="L294" i="3" s="1"/>
  <c r="L295" i="3" a="1"/>
  <c r="L295" i="3" s="1"/>
  <c r="L296" i="3" a="1"/>
  <c r="L296" i="3" s="1"/>
  <c r="L297" i="3" a="1"/>
  <c r="L297" i="3" s="1"/>
  <c r="L298" i="3" a="1"/>
  <c r="L298" i="3" s="1"/>
  <c r="L299" i="3" a="1"/>
  <c r="L299" i="3" s="1"/>
  <c r="L300" i="3" a="1"/>
  <c r="L300" i="3" s="1"/>
  <c r="L301" i="3" a="1"/>
  <c r="L301" i="3" s="1"/>
  <c r="L302" i="3" a="1"/>
  <c r="L302" i="3" s="1"/>
  <c r="L303" i="3" a="1"/>
  <c r="L303" i="3" s="1"/>
  <c r="L304" i="3" a="1"/>
  <c r="L304" i="3" s="1"/>
  <c r="L305" i="3" a="1"/>
  <c r="L305" i="3" s="1"/>
  <c r="L306" i="3" a="1"/>
  <c r="L306" i="3" s="1"/>
  <c r="L307" i="3" a="1"/>
  <c r="L307" i="3" s="1"/>
  <c r="L308" i="3" a="1"/>
  <c r="L308" i="3" s="1"/>
  <c r="L309" i="3" a="1"/>
  <c r="L309" i="3" s="1"/>
  <c r="L310" i="3" a="1"/>
  <c r="L310" i="3" s="1"/>
  <c r="L311" i="3" a="1"/>
  <c r="L311" i="3" s="1"/>
  <c r="L312" i="3" a="1"/>
  <c r="L312" i="3" s="1"/>
  <c r="L313" i="3" a="1"/>
  <c r="L313" i="3" s="1"/>
  <c r="L314" i="3" a="1"/>
  <c r="L314" i="3" s="1"/>
  <c r="L315" i="3" a="1"/>
  <c r="L315" i="3" s="1"/>
  <c r="L316" i="3" a="1"/>
  <c r="L316" i="3" s="1"/>
  <c r="L317" i="3" a="1"/>
  <c r="L317" i="3" s="1"/>
  <c r="L318" i="3" a="1"/>
  <c r="L318" i="3" s="1"/>
  <c r="L319" i="3" a="1"/>
  <c r="L319" i="3" s="1"/>
  <c r="L320" i="3" a="1"/>
  <c r="L320" i="3" s="1"/>
  <c r="L321" i="3" a="1"/>
  <c r="L321" i="3" s="1"/>
  <c r="L322" i="3" a="1"/>
  <c r="L322" i="3" s="1"/>
  <c r="L323" i="3" a="1"/>
  <c r="L323" i="3" s="1"/>
  <c r="L324" i="3" a="1"/>
  <c r="L324" i="3" s="1"/>
  <c r="L325" i="3" a="1"/>
  <c r="L325" i="3" s="1"/>
  <c r="L326" i="3" a="1"/>
  <c r="L326" i="3" s="1"/>
  <c r="L327" i="3" a="1"/>
  <c r="L327" i="3" s="1"/>
  <c r="L328" i="3" a="1"/>
  <c r="L328" i="3" s="1"/>
  <c r="L329" i="3" a="1"/>
  <c r="L329" i="3" s="1"/>
  <c r="L330" i="3" a="1"/>
  <c r="L330" i="3" s="1"/>
  <c r="L331" i="3" a="1"/>
  <c r="L331" i="3" s="1"/>
  <c r="L332" i="3" a="1"/>
  <c r="L332" i="3" s="1"/>
  <c r="L333" i="3" a="1"/>
  <c r="L333" i="3" s="1"/>
  <c r="L334" i="3" a="1"/>
  <c r="L334" i="3" s="1"/>
  <c r="L335" i="3" a="1"/>
  <c r="L335" i="3" s="1"/>
  <c r="L336" i="3" a="1"/>
  <c r="L336" i="3" s="1"/>
  <c r="L337" i="3" a="1"/>
  <c r="L337" i="3" s="1"/>
  <c r="L338" i="3" a="1"/>
  <c r="L338" i="3" s="1"/>
  <c r="L339" i="3" a="1"/>
  <c r="L339" i="3" s="1"/>
  <c r="L340" i="3" a="1"/>
  <c r="L340" i="3" s="1"/>
  <c r="L341" i="3" a="1"/>
  <c r="L341" i="3" s="1"/>
  <c r="L342" i="3" a="1"/>
  <c r="L342" i="3" s="1"/>
  <c r="L343" i="3" a="1"/>
  <c r="L343" i="3" s="1"/>
  <c r="L344" i="3" a="1"/>
  <c r="L344" i="3" s="1"/>
  <c r="L345" i="3" a="1"/>
  <c r="L345" i="3" s="1"/>
  <c r="L346" i="3" a="1"/>
  <c r="L346" i="3" s="1"/>
  <c r="L347" i="3" a="1"/>
  <c r="L347" i="3" s="1"/>
  <c r="L348" i="3" a="1"/>
  <c r="L348" i="3" s="1"/>
  <c r="L349" i="3" a="1"/>
  <c r="L349" i="3" s="1"/>
  <c r="L350" i="3" a="1"/>
  <c r="L350" i="3" s="1"/>
  <c r="L351" i="3" a="1"/>
  <c r="L351" i="3" s="1"/>
  <c r="L352" i="3" a="1"/>
  <c r="L352" i="3" s="1"/>
  <c r="L353" i="3" a="1"/>
  <c r="L353" i="3" s="1"/>
  <c r="L354" i="3" a="1"/>
  <c r="L354" i="3" s="1"/>
  <c r="L355" i="3" a="1"/>
  <c r="L355" i="3" s="1"/>
  <c r="L356" i="3" a="1"/>
  <c r="L356" i="3" s="1"/>
  <c r="L357" i="3" a="1"/>
  <c r="L357" i="3" s="1"/>
  <c r="L358" i="3" a="1"/>
  <c r="L358" i="3" s="1"/>
  <c r="L359" i="3" a="1"/>
  <c r="L359" i="3" s="1"/>
  <c r="L360" i="3" a="1"/>
  <c r="L360" i="3" s="1"/>
  <c r="L361" i="3" a="1"/>
  <c r="L361" i="3" s="1"/>
  <c r="L362" i="3" a="1"/>
  <c r="L362" i="3" s="1"/>
  <c r="L363" i="3" a="1"/>
  <c r="L363" i="3" s="1"/>
  <c r="L364" i="3" a="1"/>
  <c r="L364" i="3" s="1"/>
  <c r="L365" i="3" a="1"/>
  <c r="L365" i="3" s="1"/>
  <c r="L366" i="3" a="1"/>
  <c r="L366" i="3" s="1"/>
  <c r="L367" i="3" a="1"/>
  <c r="L367" i="3" s="1"/>
  <c r="L368" i="3" a="1"/>
  <c r="L368" i="3" s="1"/>
  <c r="L369" i="3" a="1"/>
  <c r="L369" i="3" s="1"/>
  <c r="L370" i="3" a="1"/>
  <c r="L370" i="3" s="1"/>
  <c r="L371" i="3" a="1"/>
  <c r="L371" i="3" s="1"/>
  <c r="L372" i="3" a="1"/>
  <c r="L372" i="3" s="1"/>
  <c r="L373" i="3" a="1"/>
  <c r="L373" i="3" s="1"/>
  <c r="L374" i="3" a="1"/>
  <c r="L374" i="3" s="1"/>
  <c r="L375" i="3" a="1"/>
  <c r="L375" i="3" s="1"/>
  <c r="L376" i="3" a="1"/>
  <c r="L376" i="3" s="1"/>
  <c r="L377" i="3" a="1"/>
  <c r="L377" i="3" s="1"/>
  <c r="L378" i="3" a="1"/>
  <c r="L378" i="3" s="1"/>
  <c r="L379" i="3" a="1"/>
  <c r="L379" i="3" s="1"/>
  <c r="L380" i="3" a="1"/>
  <c r="L380" i="3" s="1"/>
  <c r="L381" i="3" a="1"/>
  <c r="L381" i="3" s="1"/>
  <c r="L382" i="3" a="1"/>
  <c r="L382" i="3" s="1"/>
  <c r="L383" i="3" a="1"/>
  <c r="L383" i="3" s="1"/>
  <c r="L384" i="3" a="1"/>
  <c r="L384" i="3" s="1"/>
  <c r="L385" i="3" a="1"/>
  <c r="L385" i="3" s="1"/>
  <c r="L386" i="3" a="1"/>
  <c r="L386" i="3" s="1"/>
  <c r="L387" i="3" a="1"/>
  <c r="L387" i="3" s="1"/>
  <c r="L388" i="3" a="1"/>
  <c r="L388" i="3" s="1"/>
  <c r="L389" i="3" a="1"/>
  <c r="L389" i="3" s="1"/>
  <c r="L390" i="3" a="1"/>
  <c r="L390" i="3" s="1"/>
  <c r="L391" i="3" a="1"/>
  <c r="L391" i="3" s="1"/>
  <c r="L392" i="3" a="1"/>
  <c r="L392" i="3" s="1"/>
  <c r="L393" i="3" a="1"/>
  <c r="L393" i="3" s="1"/>
  <c r="L394" i="3" a="1"/>
  <c r="L394" i="3" s="1"/>
  <c r="L395" i="3" a="1"/>
  <c r="L395" i="3" s="1"/>
  <c r="L396" i="3" a="1"/>
  <c r="L396" i="3" s="1"/>
  <c r="L397" i="3" a="1"/>
  <c r="L397" i="3" s="1"/>
  <c r="L398" i="3" a="1"/>
  <c r="L398" i="3" s="1"/>
  <c r="L399" i="3" a="1"/>
  <c r="L399" i="3" s="1"/>
  <c r="L400" i="3" a="1"/>
  <c r="L400" i="3" s="1"/>
  <c r="L401" i="3" a="1"/>
  <c r="L401" i="3" s="1"/>
  <c r="L402" i="3" a="1"/>
  <c r="L402" i="3" s="1"/>
  <c r="L403" i="3" a="1"/>
  <c r="L403" i="3" s="1"/>
  <c r="L404" i="3" a="1"/>
  <c r="L404" i="3" s="1"/>
  <c r="L405" i="3" a="1"/>
  <c r="L405" i="3" s="1"/>
  <c r="L406" i="3" a="1"/>
  <c r="L406" i="3" s="1"/>
  <c r="L407" i="3" a="1"/>
  <c r="L407" i="3" s="1"/>
  <c r="L408" i="3" a="1"/>
  <c r="L408" i="3" s="1"/>
  <c r="L409" i="3" a="1"/>
  <c r="L409" i="3" s="1"/>
  <c r="L410" i="3" a="1"/>
  <c r="L410" i="3" s="1"/>
  <c r="L411" i="3" a="1"/>
  <c r="L411" i="3" s="1"/>
  <c r="L412" i="3" a="1"/>
  <c r="L412" i="3" s="1"/>
  <c r="L413" i="3" a="1"/>
  <c r="L413" i="3" s="1"/>
  <c r="L414" i="3" a="1"/>
  <c r="L414" i="3" s="1"/>
  <c r="L415" i="3" a="1"/>
  <c r="L415" i="3" s="1"/>
  <c r="L416" i="3" a="1"/>
  <c r="L416" i="3" s="1"/>
  <c r="L417" i="3" a="1"/>
  <c r="L417" i="3" s="1"/>
  <c r="L418" i="3" a="1"/>
  <c r="L418" i="3" s="1"/>
  <c r="L419" i="3" a="1"/>
  <c r="L419" i="3" s="1"/>
  <c r="L420" i="3" a="1"/>
  <c r="L420" i="3" s="1"/>
  <c r="L421" i="3" a="1"/>
  <c r="L421" i="3" s="1"/>
  <c r="L422" i="3" a="1"/>
  <c r="L422" i="3" s="1"/>
  <c r="L423" i="3" a="1"/>
  <c r="L423" i="3" s="1"/>
  <c r="L424" i="3" a="1"/>
  <c r="L424" i="3" s="1"/>
  <c r="L425" i="3" a="1"/>
  <c r="L425" i="3" s="1"/>
  <c r="L426" i="3" a="1"/>
  <c r="L426" i="3" s="1"/>
  <c r="L427" i="3" a="1"/>
  <c r="L427" i="3" s="1"/>
  <c r="L428" i="3" a="1"/>
  <c r="L428" i="3" s="1"/>
  <c r="L429" i="3" a="1"/>
  <c r="L429" i="3" s="1"/>
  <c r="L430" i="3" a="1"/>
  <c r="L430" i="3" s="1"/>
  <c r="L431" i="3" a="1"/>
  <c r="L431" i="3" s="1"/>
  <c r="L432" i="3" a="1"/>
  <c r="L432" i="3" s="1"/>
  <c r="L433" i="3" a="1"/>
  <c r="L433" i="3" s="1"/>
  <c r="L434" i="3" a="1"/>
  <c r="L434" i="3" s="1"/>
  <c r="L435" i="3" a="1"/>
  <c r="L435" i="3" s="1"/>
  <c r="L436" i="3" a="1"/>
  <c r="L436" i="3" s="1"/>
  <c r="L437" i="3" a="1"/>
  <c r="L437" i="3" s="1"/>
  <c r="L438" i="3" a="1"/>
  <c r="L438" i="3" s="1"/>
  <c r="L439" i="3" a="1"/>
  <c r="L439" i="3" s="1"/>
  <c r="L440" i="3" a="1"/>
  <c r="L440" i="3" s="1"/>
  <c r="L441" i="3" a="1"/>
  <c r="L441" i="3" s="1"/>
  <c r="L442" i="3" a="1"/>
  <c r="L442" i="3" s="1"/>
  <c r="L443" i="3" a="1"/>
  <c r="L443" i="3" s="1"/>
  <c r="L444" i="3" a="1"/>
  <c r="L444" i="3" s="1"/>
  <c r="L445" i="3" a="1"/>
  <c r="L445" i="3" s="1"/>
  <c r="L446" i="3" a="1"/>
  <c r="L446" i="3" s="1"/>
  <c r="L447" i="3" a="1"/>
  <c r="L447" i="3" s="1"/>
  <c r="L448" i="3" a="1"/>
  <c r="L448" i="3" s="1"/>
  <c r="L449" i="3" a="1"/>
  <c r="L449" i="3" s="1"/>
  <c r="L450" i="3" a="1"/>
  <c r="L450" i="3" s="1"/>
  <c r="L451" i="3" a="1"/>
  <c r="L451" i="3" s="1"/>
  <c r="L452" i="3" a="1"/>
  <c r="L452" i="3" s="1"/>
  <c r="L453" i="3" a="1"/>
  <c r="L453" i="3" s="1"/>
  <c r="L454" i="3" a="1"/>
  <c r="L454" i="3" s="1"/>
  <c r="L455" i="3" a="1"/>
  <c r="L455" i="3" s="1"/>
  <c r="L456" i="3" a="1"/>
  <c r="L456" i="3" s="1"/>
  <c r="L457" i="3" a="1"/>
  <c r="L457" i="3" s="1"/>
  <c r="L458" i="3" a="1"/>
  <c r="L458" i="3" s="1"/>
  <c r="L459" i="3" a="1"/>
  <c r="L459" i="3" s="1"/>
  <c r="L460" i="3" a="1"/>
  <c r="L460" i="3" s="1"/>
  <c r="L461" i="3" a="1"/>
  <c r="L461" i="3" s="1"/>
  <c r="L462" i="3" a="1"/>
  <c r="L462" i="3" s="1"/>
  <c r="L463" i="3" a="1"/>
  <c r="L463" i="3" s="1"/>
  <c r="L464" i="3" a="1"/>
  <c r="L464" i="3" s="1"/>
  <c r="L465" i="3" a="1"/>
  <c r="L465" i="3" s="1"/>
  <c r="L466" i="3" a="1"/>
  <c r="L466" i="3" s="1"/>
  <c r="L467" i="3" a="1"/>
  <c r="L467" i="3" s="1"/>
  <c r="L468" i="3" a="1"/>
  <c r="L468" i="3" s="1"/>
  <c r="L469" i="3" a="1"/>
  <c r="L469" i="3" s="1"/>
  <c r="L470" i="3" a="1"/>
  <c r="L470" i="3" s="1"/>
  <c r="L471" i="3" a="1"/>
  <c r="L471" i="3" s="1"/>
  <c r="L472" i="3" a="1"/>
  <c r="L472" i="3" s="1"/>
  <c r="L473" i="3" a="1"/>
  <c r="L473" i="3" s="1"/>
  <c r="L474" i="3" a="1"/>
  <c r="L474" i="3" s="1"/>
  <c r="L475" i="3" a="1"/>
  <c r="L475" i="3" s="1"/>
  <c r="L476" i="3" a="1"/>
  <c r="L476" i="3" s="1"/>
  <c r="L477" i="3" a="1"/>
  <c r="L477" i="3" s="1"/>
  <c r="L478" i="3" a="1"/>
  <c r="L478" i="3" s="1"/>
  <c r="L479" i="3" a="1"/>
  <c r="L479" i="3" s="1"/>
  <c r="L480" i="3" a="1"/>
  <c r="L480" i="3" s="1"/>
  <c r="L481" i="3" a="1"/>
  <c r="L481" i="3" s="1"/>
  <c r="L482" i="3" a="1"/>
  <c r="L482" i="3" s="1"/>
  <c r="L483" i="3" a="1"/>
  <c r="L483" i="3" s="1"/>
  <c r="L484" i="3" a="1"/>
  <c r="L484" i="3" s="1"/>
  <c r="L485" i="3" a="1"/>
  <c r="L485" i="3" s="1"/>
  <c r="L486" i="3" a="1"/>
  <c r="L486" i="3" s="1"/>
  <c r="L487" i="3" a="1"/>
  <c r="L487" i="3" s="1"/>
  <c r="L488" i="3" a="1"/>
  <c r="L488" i="3" s="1"/>
  <c r="L489" i="3" a="1"/>
  <c r="L489" i="3" s="1"/>
  <c r="L490" i="3" a="1"/>
  <c r="L490" i="3" s="1"/>
  <c r="L491" i="3" a="1"/>
  <c r="L491" i="3" s="1"/>
  <c r="L492" i="3" a="1"/>
  <c r="L492" i="3" s="1"/>
  <c r="L493" i="3" a="1"/>
  <c r="L493" i="3" s="1"/>
  <c r="L494" i="3" a="1"/>
  <c r="L494" i="3" s="1"/>
  <c r="L495" i="3" a="1"/>
  <c r="L495" i="3" s="1"/>
  <c r="L496" i="3" a="1"/>
  <c r="L496" i="3" s="1"/>
  <c r="L497" i="3" a="1"/>
  <c r="L497" i="3" s="1"/>
  <c r="L498" i="3" a="1"/>
  <c r="L498" i="3" s="1"/>
  <c r="L499" i="3" a="1"/>
  <c r="L499" i="3" s="1"/>
  <c r="L500" i="3" a="1"/>
  <c r="L500" i="3" s="1"/>
  <c r="L501" i="3" a="1"/>
  <c r="L501" i="3" s="1"/>
  <c r="L502" i="3" a="1"/>
  <c r="L502" i="3" s="1"/>
  <c r="L503" i="3" a="1"/>
  <c r="L503" i="3" s="1"/>
  <c r="L504" i="3" a="1"/>
  <c r="L504" i="3" s="1"/>
  <c r="L505" i="3" a="1"/>
  <c r="L505" i="3" s="1"/>
  <c r="L506" i="3" a="1"/>
  <c r="L506" i="3" s="1"/>
  <c r="L507" i="3" a="1"/>
  <c r="L507" i="3" s="1"/>
  <c r="L508" i="3" a="1"/>
  <c r="L508" i="3" s="1"/>
  <c r="L509" i="3" a="1"/>
  <c r="L509" i="3" s="1"/>
  <c r="L510" i="3" a="1"/>
  <c r="L510" i="3" s="1"/>
  <c r="L511" i="3" a="1"/>
  <c r="L511" i="3" s="1"/>
  <c r="L512" i="3" a="1"/>
  <c r="L512" i="3" s="1"/>
  <c r="L513" i="3" a="1"/>
  <c r="L513" i="3" s="1"/>
  <c r="L514" i="3" a="1"/>
  <c r="L514" i="3" s="1"/>
  <c r="L515" i="3" a="1"/>
  <c r="L515" i="3" s="1"/>
  <c r="L516" i="3" a="1"/>
  <c r="L516" i="3" s="1"/>
  <c r="L517" i="3" a="1"/>
  <c r="L517" i="3" s="1"/>
  <c r="L518" i="3" a="1"/>
  <c r="L518" i="3" s="1"/>
  <c r="L519" i="3" a="1"/>
  <c r="L519" i="3" s="1"/>
  <c r="L520" i="3" a="1"/>
  <c r="L520" i="3" s="1"/>
  <c r="L521" i="3" a="1"/>
  <c r="L521" i="3" s="1"/>
  <c r="L522" i="3" a="1"/>
  <c r="L522" i="3" s="1"/>
  <c r="L523" i="3" a="1"/>
  <c r="L523" i="3" s="1"/>
  <c r="L524" i="3" a="1"/>
  <c r="L524" i="3" s="1"/>
  <c r="L525" i="3" a="1"/>
  <c r="L525" i="3" s="1"/>
  <c r="L526" i="3" a="1"/>
  <c r="L526" i="3" s="1"/>
  <c r="L527" i="3" a="1"/>
  <c r="L527" i="3" s="1"/>
  <c r="L528" i="3" a="1"/>
  <c r="L528" i="3" s="1"/>
  <c r="L529" i="3" a="1"/>
  <c r="L529" i="3" s="1"/>
  <c r="L530" i="3" a="1"/>
  <c r="L530" i="3" s="1"/>
  <c r="L531" i="3" a="1"/>
  <c r="L531" i="3" s="1"/>
  <c r="L532" i="3" a="1"/>
  <c r="L532" i="3" s="1"/>
  <c r="L533" i="3" a="1"/>
  <c r="L533" i="3" s="1"/>
  <c r="L534" i="3" a="1"/>
  <c r="L534" i="3" s="1"/>
  <c r="L535" i="3" a="1"/>
  <c r="L535" i="3" s="1"/>
  <c r="L536" i="3" a="1"/>
  <c r="L536" i="3" s="1"/>
  <c r="L537" i="3" a="1"/>
  <c r="L537" i="3" s="1"/>
  <c r="L538" i="3" a="1"/>
  <c r="L538" i="3" s="1"/>
  <c r="L539" i="3" a="1"/>
  <c r="L539" i="3" s="1"/>
  <c r="L540" i="3" a="1"/>
  <c r="L540" i="3" s="1"/>
  <c r="L541" i="3" a="1"/>
  <c r="L541" i="3" s="1"/>
  <c r="L542" i="3" a="1"/>
  <c r="L542" i="3" s="1"/>
  <c r="L543" i="3" a="1"/>
  <c r="L543" i="3" s="1"/>
  <c r="L544" i="3" a="1"/>
  <c r="L544" i="3" s="1"/>
  <c r="L545" i="3" a="1"/>
  <c r="L545" i="3" s="1"/>
  <c r="L546" i="3" a="1"/>
  <c r="L546" i="3" s="1"/>
  <c r="L547" i="3" a="1"/>
  <c r="L547" i="3" s="1"/>
  <c r="L548" i="3" a="1"/>
  <c r="L548" i="3" s="1"/>
  <c r="L549" i="3" a="1"/>
  <c r="L549" i="3" s="1"/>
  <c r="L550" i="3" a="1"/>
  <c r="L550" i="3" s="1"/>
  <c r="L551" i="3" a="1"/>
  <c r="L551" i="3" s="1"/>
  <c r="L552" i="3" a="1"/>
  <c r="L552" i="3" s="1"/>
  <c r="L553" i="3" a="1"/>
  <c r="L553" i="3" s="1"/>
  <c r="L554" i="3" a="1"/>
  <c r="L554" i="3" s="1"/>
  <c r="L555" i="3" a="1"/>
  <c r="L555" i="3" s="1"/>
  <c r="L556" i="3" a="1"/>
  <c r="L556" i="3" s="1"/>
  <c r="L557" i="3" a="1"/>
  <c r="L557" i="3" s="1"/>
  <c r="L558" i="3" a="1"/>
  <c r="L558" i="3" s="1"/>
  <c r="L559" i="3" a="1"/>
  <c r="L559" i="3" s="1"/>
  <c r="L560" i="3" a="1"/>
  <c r="L560" i="3" s="1"/>
  <c r="L561" i="3" a="1"/>
  <c r="L561" i="3" s="1"/>
  <c r="L562" i="3" a="1"/>
  <c r="L562" i="3" s="1"/>
  <c r="L563" i="3" a="1"/>
  <c r="L563" i="3" s="1"/>
  <c r="L564" i="3" a="1"/>
  <c r="L564" i="3" s="1"/>
  <c r="L565" i="3" a="1"/>
  <c r="L565" i="3" s="1"/>
  <c r="L566" i="3" a="1"/>
  <c r="L566" i="3" s="1"/>
  <c r="L567" i="3" a="1"/>
  <c r="L567" i="3" s="1"/>
  <c r="L568" i="3" a="1"/>
  <c r="L568" i="3" s="1"/>
  <c r="L569" i="3" a="1"/>
  <c r="L569" i="3" s="1"/>
  <c r="L570" i="3" a="1"/>
  <c r="L570" i="3" s="1"/>
  <c r="L571" i="3" a="1"/>
  <c r="L571" i="3" s="1"/>
  <c r="L572" i="3" a="1"/>
  <c r="L572" i="3" s="1"/>
  <c r="L573" i="3" a="1"/>
  <c r="L573" i="3" s="1"/>
  <c r="L574" i="3" a="1"/>
  <c r="L574" i="3" s="1"/>
  <c r="L575" i="3" a="1"/>
  <c r="L575" i="3" s="1"/>
  <c r="L576" i="3" a="1"/>
  <c r="L576" i="3" s="1"/>
  <c r="L577" i="3" a="1"/>
  <c r="L577" i="3" s="1"/>
  <c r="L578" i="3" a="1"/>
  <c r="L578" i="3" s="1"/>
  <c r="L579" i="3" a="1"/>
  <c r="L579" i="3" s="1"/>
  <c r="L2" i="3" a="1"/>
  <c r="L2" i="3" s="1"/>
  <c r="K3" i="3" a="1"/>
  <c r="K3" i="3" s="1"/>
  <c r="K4" i="3" a="1"/>
  <c r="K4" i="3" s="1"/>
  <c r="K5" i="3" a="1"/>
  <c r="K5" i="3" s="1"/>
  <c r="K6" i="3" a="1"/>
  <c r="K6" i="3" s="1"/>
  <c r="K7" i="3" a="1"/>
  <c r="K7" i="3" s="1"/>
  <c r="K8" i="3" a="1"/>
  <c r="K8" i="3" s="1"/>
  <c r="K9" i="3" a="1"/>
  <c r="K9" i="3" s="1"/>
  <c r="K10" i="3" a="1"/>
  <c r="K10" i="3" s="1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19" i="3" a="1"/>
  <c r="K19" i="3" s="1"/>
  <c r="K20" i="3" a="1"/>
  <c r="K20" i="3" s="1"/>
  <c r="K21" i="3" a="1"/>
  <c r="K21" i="3" s="1"/>
  <c r="K22" i="3" a="1"/>
  <c r="K22" i="3" s="1"/>
  <c r="K23" i="3" a="1"/>
  <c r="K23" i="3" s="1"/>
  <c r="K24" i="3" a="1"/>
  <c r="K24" i="3" s="1"/>
  <c r="K25" i="3" a="1"/>
  <c r="K25" i="3" s="1"/>
  <c r="K26" i="3" a="1"/>
  <c r="K26" i="3" s="1"/>
  <c r="K27" i="3" a="1"/>
  <c r="K27" i="3" s="1"/>
  <c r="K28" i="3" a="1"/>
  <c r="K28" i="3" s="1"/>
  <c r="K29" i="3" a="1"/>
  <c r="K29" i="3" s="1"/>
  <c r="K30" i="3" a="1"/>
  <c r="K30" i="3" s="1"/>
  <c r="K31" i="3" a="1"/>
  <c r="K31" i="3" s="1"/>
  <c r="K32" i="3" a="1"/>
  <c r="K32" i="3" s="1"/>
  <c r="K33" i="3" a="1"/>
  <c r="K33" i="3" s="1"/>
  <c r="K34" i="3" a="1"/>
  <c r="K34" i="3" s="1"/>
  <c r="K35" i="3" a="1"/>
  <c r="K35" i="3" s="1"/>
  <c r="K36" i="3" a="1"/>
  <c r="K36" i="3" s="1"/>
  <c r="K37" i="3" a="1"/>
  <c r="K37" i="3" s="1"/>
  <c r="K38" i="3" a="1"/>
  <c r="K38" i="3" s="1"/>
  <c r="K39" i="3" a="1"/>
  <c r="K39" i="3" s="1"/>
  <c r="K40" i="3" a="1"/>
  <c r="K40" i="3" s="1"/>
  <c r="K41" i="3" a="1"/>
  <c r="K41" i="3" s="1"/>
  <c r="K42" i="3" a="1"/>
  <c r="K42" i="3" s="1"/>
  <c r="K43" i="3" a="1"/>
  <c r="K43" i="3" s="1"/>
  <c r="K44" i="3" a="1"/>
  <c r="K44" i="3" s="1"/>
  <c r="K45" i="3" a="1"/>
  <c r="K45" i="3" s="1"/>
  <c r="K46" i="3" a="1"/>
  <c r="K46" i="3" s="1"/>
  <c r="K47" i="3" a="1"/>
  <c r="K47" i="3" s="1"/>
  <c r="K48" i="3" a="1"/>
  <c r="K48" i="3" s="1"/>
  <c r="K49" i="3" a="1"/>
  <c r="K49" i="3" s="1"/>
  <c r="K50" i="3" a="1"/>
  <c r="K50" i="3" s="1"/>
  <c r="K51" i="3" a="1"/>
  <c r="K51" i="3" s="1"/>
  <c r="K52" i="3" a="1"/>
  <c r="K52" i="3" s="1"/>
  <c r="K53" i="3" a="1"/>
  <c r="K53" i="3" s="1"/>
  <c r="K54" i="3" a="1"/>
  <c r="K54" i="3" s="1"/>
  <c r="K55" i="3" a="1"/>
  <c r="K55" i="3" s="1"/>
  <c r="K56" i="3" a="1"/>
  <c r="K56" i="3" s="1"/>
  <c r="K57" i="3" a="1"/>
  <c r="K57" i="3" s="1"/>
  <c r="K58" i="3" a="1"/>
  <c r="K58" i="3" s="1"/>
  <c r="K59" i="3" a="1"/>
  <c r="K59" i="3" s="1"/>
  <c r="K60" i="3" a="1"/>
  <c r="K60" i="3" s="1"/>
  <c r="K61" i="3" a="1"/>
  <c r="K61" i="3" s="1"/>
  <c r="K62" i="3" a="1"/>
  <c r="K62" i="3" s="1"/>
  <c r="K63" i="3" a="1"/>
  <c r="K63" i="3" s="1"/>
  <c r="K64" i="3" a="1"/>
  <c r="K64" i="3" s="1"/>
  <c r="K65" i="3" a="1"/>
  <c r="K65" i="3" s="1"/>
  <c r="K66" i="3" a="1"/>
  <c r="K66" i="3" s="1"/>
  <c r="K67" i="3" a="1"/>
  <c r="K67" i="3" s="1"/>
  <c r="K68" i="3" a="1"/>
  <c r="K68" i="3" s="1"/>
  <c r="K69" i="3" a="1"/>
  <c r="K69" i="3" s="1"/>
  <c r="K70" i="3" a="1"/>
  <c r="K70" i="3" s="1"/>
  <c r="K71" i="3" a="1"/>
  <c r="K71" i="3" s="1"/>
  <c r="K72" i="3" a="1"/>
  <c r="K72" i="3" s="1"/>
  <c r="K73" i="3" a="1"/>
  <c r="K73" i="3" s="1"/>
  <c r="K74" i="3" a="1"/>
  <c r="K74" i="3" s="1"/>
  <c r="K75" i="3" a="1"/>
  <c r="K75" i="3" s="1"/>
  <c r="K76" i="3" a="1"/>
  <c r="K76" i="3" s="1"/>
  <c r="K77" i="3" a="1"/>
  <c r="K77" i="3" s="1"/>
  <c r="K78" i="3" a="1"/>
  <c r="K78" i="3" s="1"/>
  <c r="K79" i="3" a="1"/>
  <c r="K79" i="3" s="1"/>
  <c r="K80" i="3" a="1"/>
  <c r="K80" i="3" s="1"/>
  <c r="K81" i="3" a="1"/>
  <c r="K81" i="3" s="1"/>
  <c r="K82" i="3" a="1"/>
  <c r="K82" i="3" s="1"/>
  <c r="K83" i="3" a="1"/>
  <c r="K83" i="3" s="1"/>
  <c r="K84" i="3" a="1"/>
  <c r="K84" i="3" s="1"/>
  <c r="K85" i="3" a="1"/>
  <c r="K85" i="3" s="1"/>
  <c r="K86" i="3" a="1"/>
  <c r="K86" i="3" s="1"/>
  <c r="K87" i="3" a="1"/>
  <c r="K87" i="3" s="1"/>
  <c r="K88" i="3" a="1"/>
  <c r="K88" i="3" s="1"/>
  <c r="K89" i="3" a="1"/>
  <c r="K89" i="3" s="1"/>
  <c r="K90" i="3" a="1"/>
  <c r="K90" i="3" s="1"/>
  <c r="K91" i="3" a="1"/>
  <c r="K91" i="3" s="1"/>
  <c r="K92" i="3" a="1"/>
  <c r="K92" i="3" s="1"/>
  <c r="K93" i="3" a="1"/>
  <c r="K93" i="3" s="1"/>
  <c r="K94" i="3" a="1"/>
  <c r="K94" i="3" s="1"/>
  <c r="K95" i="3" a="1"/>
  <c r="K95" i="3" s="1"/>
  <c r="K96" i="3" a="1"/>
  <c r="K96" i="3" s="1"/>
  <c r="K97" i="3" a="1"/>
  <c r="K97" i="3" s="1"/>
  <c r="K98" i="3" a="1"/>
  <c r="K98" i="3" s="1"/>
  <c r="K99" i="3" a="1"/>
  <c r="K99" i="3" s="1"/>
  <c r="K100" i="3" a="1"/>
  <c r="K100" i="3" s="1"/>
  <c r="K101" i="3" a="1"/>
  <c r="K101" i="3" s="1"/>
  <c r="K102" i="3" a="1"/>
  <c r="K102" i="3" s="1"/>
  <c r="K103" i="3" a="1"/>
  <c r="K103" i="3" s="1"/>
  <c r="K104" i="3" a="1"/>
  <c r="K104" i="3" s="1"/>
  <c r="K105" i="3" a="1"/>
  <c r="K105" i="3" s="1"/>
  <c r="K106" i="3" a="1"/>
  <c r="K106" i="3" s="1"/>
  <c r="K107" i="3" a="1"/>
  <c r="K107" i="3" s="1"/>
  <c r="K108" i="3" a="1"/>
  <c r="K108" i="3" s="1"/>
  <c r="K109" i="3" a="1"/>
  <c r="K109" i="3" s="1"/>
  <c r="K110" i="3" a="1"/>
  <c r="K110" i="3" s="1"/>
  <c r="K111" i="3" a="1"/>
  <c r="K111" i="3" s="1"/>
  <c r="K112" i="3" a="1"/>
  <c r="K112" i="3" s="1"/>
  <c r="K113" i="3" a="1"/>
  <c r="K113" i="3" s="1"/>
  <c r="K114" i="3" a="1"/>
  <c r="K114" i="3" s="1"/>
  <c r="K115" i="3" a="1"/>
  <c r="K115" i="3" s="1"/>
  <c r="K116" i="3" a="1"/>
  <c r="K116" i="3" s="1"/>
  <c r="K117" i="3" a="1"/>
  <c r="K117" i="3" s="1"/>
  <c r="K118" i="3" a="1"/>
  <c r="K118" i="3" s="1"/>
  <c r="K119" i="3" a="1"/>
  <c r="K119" i="3" s="1"/>
  <c r="K120" i="3" a="1"/>
  <c r="K120" i="3" s="1"/>
  <c r="K121" i="3" a="1"/>
  <c r="K121" i="3" s="1"/>
  <c r="K122" i="3" a="1"/>
  <c r="K122" i="3" s="1"/>
  <c r="K123" i="3" a="1"/>
  <c r="K123" i="3" s="1"/>
  <c r="K124" i="3" a="1"/>
  <c r="K124" i="3" s="1"/>
  <c r="K125" i="3" a="1"/>
  <c r="K125" i="3" s="1"/>
  <c r="K126" i="3" a="1"/>
  <c r="K126" i="3" s="1"/>
  <c r="K127" i="3" a="1"/>
  <c r="K127" i="3" s="1"/>
  <c r="K128" i="3" a="1"/>
  <c r="K128" i="3" s="1"/>
  <c r="K129" i="3" a="1"/>
  <c r="K129" i="3" s="1"/>
  <c r="K130" i="3" a="1"/>
  <c r="K130" i="3" s="1"/>
  <c r="K131" i="3" a="1"/>
  <c r="K131" i="3" s="1"/>
  <c r="K132" i="3" a="1"/>
  <c r="K132" i="3" s="1"/>
  <c r="K133" i="3" a="1"/>
  <c r="K133" i="3" s="1"/>
  <c r="K134" i="3" a="1"/>
  <c r="K134" i="3" s="1"/>
  <c r="K135" i="3" a="1"/>
  <c r="K135" i="3" s="1"/>
  <c r="K136" i="3" a="1"/>
  <c r="K136" i="3" s="1"/>
  <c r="K137" i="3" a="1"/>
  <c r="K137" i="3" s="1"/>
  <c r="K138" i="3" a="1"/>
  <c r="K138" i="3" s="1"/>
  <c r="K139" i="3" a="1"/>
  <c r="K139" i="3" s="1"/>
  <c r="K140" i="3" a="1"/>
  <c r="K140" i="3" s="1"/>
  <c r="K141" i="3" a="1"/>
  <c r="K141" i="3" s="1"/>
  <c r="K142" i="3" a="1"/>
  <c r="K142" i="3" s="1"/>
  <c r="K143" i="3" a="1"/>
  <c r="K143" i="3" s="1"/>
  <c r="K144" i="3" a="1"/>
  <c r="K144" i="3" s="1"/>
  <c r="K145" i="3" a="1"/>
  <c r="K145" i="3" s="1"/>
  <c r="K146" i="3" a="1"/>
  <c r="K146" i="3" s="1"/>
  <c r="K147" i="3" a="1"/>
  <c r="K147" i="3" s="1"/>
  <c r="K148" i="3" a="1"/>
  <c r="K148" i="3" s="1"/>
  <c r="K149" i="3" a="1"/>
  <c r="K149" i="3" s="1"/>
  <c r="K150" i="3" a="1"/>
  <c r="K150" i="3" s="1"/>
  <c r="K151" i="3" a="1"/>
  <c r="K151" i="3" s="1"/>
  <c r="K152" i="3" a="1"/>
  <c r="K152" i="3" s="1"/>
  <c r="K153" i="3" a="1"/>
  <c r="K153" i="3" s="1"/>
  <c r="K154" i="3" a="1"/>
  <c r="K154" i="3" s="1"/>
  <c r="K155" i="3" a="1"/>
  <c r="K155" i="3" s="1"/>
  <c r="K156" i="3" a="1"/>
  <c r="K156" i="3" s="1"/>
  <c r="K157" i="3" a="1"/>
  <c r="K157" i="3" s="1"/>
  <c r="K158" i="3" a="1"/>
  <c r="K158" i="3" s="1"/>
  <c r="K159" i="3" a="1"/>
  <c r="K159" i="3" s="1"/>
  <c r="K160" i="3" a="1"/>
  <c r="K160" i="3" s="1"/>
  <c r="K161" i="3" a="1"/>
  <c r="K161" i="3" s="1"/>
  <c r="K162" i="3" a="1"/>
  <c r="K162" i="3" s="1"/>
  <c r="K163" i="3" a="1"/>
  <c r="K163" i="3" s="1"/>
  <c r="K164" i="3" a="1"/>
  <c r="K164" i="3" s="1"/>
  <c r="K165" i="3" a="1"/>
  <c r="K165" i="3" s="1"/>
  <c r="K166" i="3" a="1"/>
  <c r="K166" i="3" s="1"/>
  <c r="K167" i="3" a="1"/>
  <c r="K167" i="3" s="1"/>
  <c r="K168" i="3" a="1"/>
  <c r="K168" i="3" s="1"/>
  <c r="K169" i="3" a="1"/>
  <c r="K169" i="3" s="1"/>
  <c r="K170" i="3" a="1"/>
  <c r="K170" i="3" s="1"/>
  <c r="K171" i="3" a="1"/>
  <c r="K171" i="3" s="1"/>
  <c r="K172" i="3" a="1"/>
  <c r="K172" i="3" s="1"/>
  <c r="K173" i="3" a="1"/>
  <c r="K173" i="3" s="1"/>
  <c r="K174" i="3" a="1"/>
  <c r="K174" i="3" s="1"/>
  <c r="K175" i="3" a="1"/>
  <c r="K175" i="3" s="1"/>
  <c r="K176" i="3" a="1"/>
  <c r="K176" i="3" s="1"/>
  <c r="K177" i="3" a="1"/>
  <c r="K177" i="3" s="1"/>
  <c r="K178" i="3" a="1"/>
  <c r="K178" i="3" s="1"/>
  <c r="K179" i="3" a="1"/>
  <c r="K179" i="3" s="1"/>
  <c r="K180" i="3" a="1"/>
  <c r="K180" i="3" s="1"/>
  <c r="K181" i="3" a="1"/>
  <c r="K181" i="3" s="1"/>
  <c r="K182" i="3" a="1"/>
  <c r="K182" i="3" s="1"/>
  <c r="K183" i="3" a="1"/>
  <c r="K183" i="3" s="1"/>
  <c r="K184" i="3" a="1"/>
  <c r="K184" i="3" s="1"/>
  <c r="K185" i="3" a="1"/>
  <c r="K185" i="3" s="1"/>
  <c r="K186" i="3" a="1"/>
  <c r="K186" i="3" s="1"/>
  <c r="K187" i="3" a="1"/>
  <c r="K187" i="3" s="1"/>
  <c r="K188" i="3" a="1"/>
  <c r="K188" i="3" s="1"/>
  <c r="K189" i="3" a="1"/>
  <c r="K189" i="3" s="1"/>
  <c r="K190" i="3" a="1"/>
  <c r="K190" i="3" s="1"/>
  <c r="K191" i="3" a="1"/>
  <c r="K191" i="3" s="1"/>
  <c r="K192" i="3" a="1"/>
  <c r="K192" i="3" s="1"/>
  <c r="K193" i="3" a="1"/>
  <c r="K193" i="3" s="1"/>
  <c r="K194" i="3" a="1"/>
  <c r="K194" i="3" s="1"/>
  <c r="K195" i="3" a="1"/>
  <c r="K195" i="3" s="1"/>
  <c r="K196" i="3" a="1"/>
  <c r="K196" i="3" s="1"/>
  <c r="K197" i="3" a="1"/>
  <c r="K197" i="3" s="1"/>
  <c r="K198" i="3" a="1"/>
  <c r="K198" i="3" s="1"/>
  <c r="K199" i="3" a="1"/>
  <c r="K199" i="3" s="1"/>
  <c r="K200" i="3" a="1"/>
  <c r="K200" i="3" s="1"/>
  <c r="K201" i="3" a="1"/>
  <c r="K201" i="3" s="1"/>
  <c r="K202" i="3" a="1"/>
  <c r="K202" i="3" s="1"/>
  <c r="K203" i="3" a="1"/>
  <c r="K203" i="3" s="1"/>
  <c r="K204" i="3" a="1"/>
  <c r="K204" i="3" s="1"/>
  <c r="K205" i="3" a="1"/>
  <c r="K205" i="3" s="1"/>
  <c r="K206" i="3" a="1"/>
  <c r="K206" i="3" s="1"/>
  <c r="K207" i="3" a="1"/>
  <c r="K207" i="3" s="1"/>
  <c r="K208" i="3" a="1"/>
  <c r="K208" i="3" s="1"/>
  <c r="K209" i="3" a="1"/>
  <c r="K209" i="3" s="1"/>
  <c r="K210" i="3" a="1"/>
  <c r="K210" i="3" s="1"/>
  <c r="K211" i="3" a="1"/>
  <c r="K211" i="3" s="1"/>
  <c r="K212" i="3" a="1"/>
  <c r="K212" i="3" s="1"/>
  <c r="K213" i="3" a="1"/>
  <c r="K213" i="3" s="1"/>
  <c r="K214" i="3" a="1"/>
  <c r="K214" i="3" s="1"/>
  <c r="K215" i="3" a="1"/>
  <c r="K215" i="3" s="1"/>
  <c r="K216" i="3" a="1"/>
  <c r="K216" i="3" s="1"/>
  <c r="K217" i="3" a="1"/>
  <c r="K217" i="3" s="1"/>
  <c r="K218" i="3" a="1"/>
  <c r="K218" i="3" s="1"/>
  <c r="K219" i="3" a="1"/>
  <c r="K219" i="3" s="1"/>
  <c r="K220" i="3" a="1"/>
  <c r="K220" i="3" s="1"/>
  <c r="K221" i="3" a="1"/>
  <c r="K221" i="3" s="1"/>
  <c r="K222" i="3" a="1"/>
  <c r="K222" i="3" s="1"/>
  <c r="K223" i="3" a="1"/>
  <c r="K223" i="3" s="1"/>
  <c r="K224" i="3" a="1"/>
  <c r="K224" i="3" s="1"/>
  <c r="K225" i="3" a="1"/>
  <c r="K225" i="3" s="1"/>
  <c r="K226" i="3" a="1"/>
  <c r="K226" i="3" s="1"/>
  <c r="K227" i="3" a="1"/>
  <c r="K227" i="3" s="1"/>
  <c r="K228" i="3" a="1"/>
  <c r="K228" i="3" s="1"/>
  <c r="K229" i="3" a="1"/>
  <c r="K229" i="3" s="1"/>
  <c r="K230" i="3" a="1"/>
  <c r="K230" i="3" s="1"/>
  <c r="K231" i="3" a="1"/>
  <c r="K231" i="3" s="1"/>
  <c r="K232" i="3" a="1"/>
  <c r="K232" i="3" s="1"/>
  <c r="K233" i="3" a="1"/>
  <c r="K233" i="3" s="1"/>
  <c r="K234" i="3" a="1"/>
  <c r="K234" i="3" s="1"/>
  <c r="K235" i="3" a="1"/>
  <c r="K235" i="3" s="1"/>
  <c r="K236" i="3" a="1"/>
  <c r="K236" i="3" s="1"/>
  <c r="K237" i="3" a="1"/>
  <c r="K237" i="3" s="1"/>
  <c r="K238" i="3" a="1"/>
  <c r="K238" i="3" s="1"/>
  <c r="K239" i="3" a="1"/>
  <c r="K239" i="3" s="1"/>
  <c r="K240" i="3" a="1"/>
  <c r="K240" i="3" s="1"/>
  <c r="K241" i="3" a="1"/>
  <c r="K241" i="3" s="1"/>
  <c r="K242" i="3" a="1"/>
  <c r="K242" i="3" s="1"/>
  <c r="K243" i="3" a="1"/>
  <c r="K243" i="3" s="1"/>
  <c r="K244" i="3" a="1"/>
  <c r="K244" i="3" s="1"/>
  <c r="K245" i="3" a="1"/>
  <c r="K245" i="3" s="1"/>
  <c r="K246" i="3" a="1"/>
  <c r="K246" i="3" s="1"/>
  <c r="K247" i="3" a="1"/>
  <c r="K247" i="3" s="1"/>
  <c r="K248" i="3" a="1"/>
  <c r="K248" i="3" s="1"/>
  <c r="K249" i="3" a="1"/>
  <c r="K249" i="3" s="1"/>
  <c r="K250" i="3" a="1"/>
  <c r="K250" i="3" s="1"/>
  <c r="K251" i="3" a="1"/>
  <c r="K251" i="3" s="1"/>
  <c r="K252" i="3" a="1"/>
  <c r="K252" i="3" s="1"/>
  <c r="K253" i="3" a="1"/>
  <c r="K253" i="3" s="1"/>
  <c r="K254" i="3" a="1"/>
  <c r="K254" i="3" s="1"/>
  <c r="K255" i="3" a="1"/>
  <c r="K255" i="3" s="1"/>
  <c r="K256" i="3" a="1"/>
  <c r="K256" i="3" s="1"/>
  <c r="K257" i="3" a="1"/>
  <c r="K257" i="3" s="1"/>
  <c r="K258" i="3" a="1"/>
  <c r="K258" i="3" s="1"/>
  <c r="K259" i="3" a="1"/>
  <c r="K259" i="3" s="1"/>
  <c r="K260" i="3" a="1"/>
  <c r="K260" i="3" s="1"/>
  <c r="K261" i="3" a="1"/>
  <c r="K261" i="3" s="1"/>
  <c r="K262" i="3" a="1"/>
  <c r="K262" i="3" s="1"/>
  <c r="K263" i="3" a="1"/>
  <c r="K263" i="3" s="1"/>
  <c r="K264" i="3" a="1"/>
  <c r="K264" i="3" s="1"/>
  <c r="K265" i="3" a="1"/>
  <c r="K265" i="3" s="1"/>
  <c r="K266" i="3" a="1"/>
  <c r="K266" i="3" s="1"/>
  <c r="K267" i="3" a="1"/>
  <c r="K267" i="3" s="1"/>
  <c r="K268" i="3" a="1"/>
  <c r="K268" i="3" s="1"/>
  <c r="K269" i="3" a="1"/>
  <c r="K269" i="3" s="1"/>
  <c r="K270" i="3" a="1"/>
  <c r="K270" i="3" s="1"/>
  <c r="K271" i="3" a="1"/>
  <c r="K271" i="3" s="1"/>
  <c r="K272" i="3" a="1"/>
  <c r="K272" i="3" s="1"/>
  <c r="K273" i="3" a="1"/>
  <c r="K273" i="3" s="1"/>
  <c r="K274" i="3" a="1"/>
  <c r="K274" i="3" s="1"/>
  <c r="K275" i="3" a="1"/>
  <c r="K275" i="3" s="1"/>
  <c r="K276" i="3" a="1"/>
  <c r="K276" i="3" s="1"/>
  <c r="K277" i="3" a="1"/>
  <c r="K277" i="3" s="1"/>
  <c r="K278" i="3" a="1"/>
  <c r="K278" i="3" s="1"/>
  <c r="K279" i="3" a="1"/>
  <c r="K279" i="3" s="1"/>
  <c r="K280" i="3" a="1"/>
  <c r="K280" i="3" s="1"/>
  <c r="K281" i="3" a="1"/>
  <c r="K281" i="3" s="1"/>
  <c r="K282" i="3" a="1"/>
  <c r="K282" i="3" s="1"/>
  <c r="K283" i="3" a="1"/>
  <c r="K283" i="3" s="1"/>
  <c r="K284" i="3" a="1"/>
  <c r="K284" i="3" s="1"/>
  <c r="K285" i="3" a="1"/>
  <c r="K285" i="3" s="1"/>
  <c r="K286" i="3" a="1"/>
  <c r="K286" i="3" s="1"/>
  <c r="K287" i="3" a="1"/>
  <c r="K287" i="3" s="1"/>
  <c r="K288" i="3" a="1"/>
  <c r="K288" i="3" s="1"/>
  <c r="K289" i="3" a="1"/>
  <c r="K289" i="3" s="1"/>
  <c r="K290" i="3" a="1"/>
  <c r="K290" i="3" s="1"/>
  <c r="K291" i="3" a="1"/>
  <c r="K291" i="3" s="1"/>
  <c r="K292" i="3" a="1"/>
  <c r="K292" i="3" s="1"/>
  <c r="K293" i="3" a="1"/>
  <c r="K293" i="3" s="1"/>
  <c r="K294" i="3" a="1"/>
  <c r="K294" i="3" s="1"/>
  <c r="K295" i="3" a="1"/>
  <c r="K295" i="3" s="1"/>
  <c r="K296" i="3" a="1"/>
  <c r="K296" i="3" s="1"/>
  <c r="K297" i="3" a="1"/>
  <c r="K297" i="3" s="1"/>
  <c r="K298" i="3" a="1"/>
  <c r="K298" i="3" s="1"/>
  <c r="K299" i="3" a="1"/>
  <c r="K299" i="3" s="1"/>
  <c r="K300" i="3" a="1"/>
  <c r="K300" i="3" s="1"/>
  <c r="K301" i="3" a="1"/>
  <c r="K301" i="3" s="1"/>
  <c r="K302" i="3" a="1"/>
  <c r="K302" i="3" s="1"/>
  <c r="K303" i="3" a="1"/>
  <c r="K303" i="3" s="1"/>
  <c r="K304" i="3" a="1"/>
  <c r="K304" i="3" s="1"/>
  <c r="K305" i="3" a="1"/>
  <c r="K305" i="3" s="1"/>
  <c r="K306" i="3" a="1"/>
  <c r="K306" i="3" s="1"/>
  <c r="K307" i="3" a="1"/>
  <c r="K307" i="3" s="1"/>
  <c r="K308" i="3" a="1"/>
  <c r="K308" i="3" s="1"/>
  <c r="K309" i="3" a="1"/>
  <c r="K309" i="3" s="1"/>
  <c r="K310" i="3" a="1"/>
  <c r="K310" i="3" s="1"/>
  <c r="K311" i="3" a="1"/>
  <c r="K311" i="3" s="1"/>
  <c r="K312" i="3" a="1"/>
  <c r="K312" i="3" s="1"/>
  <c r="K313" i="3" a="1"/>
  <c r="K313" i="3" s="1"/>
  <c r="K314" i="3" a="1"/>
  <c r="K314" i="3" s="1"/>
  <c r="K315" i="3" a="1"/>
  <c r="K315" i="3" s="1"/>
  <c r="K316" i="3" a="1"/>
  <c r="K316" i="3" s="1"/>
  <c r="K317" i="3" a="1"/>
  <c r="K317" i="3" s="1"/>
  <c r="K318" i="3" a="1"/>
  <c r="K318" i="3" s="1"/>
  <c r="K319" i="3" a="1"/>
  <c r="K319" i="3" s="1"/>
  <c r="K320" i="3" a="1"/>
  <c r="K320" i="3" s="1"/>
  <c r="K321" i="3" a="1"/>
  <c r="K321" i="3" s="1"/>
  <c r="K322" i="3" a="1"/>
  <c r="K322" i="3" s="1"/>
  <c r="K323" i="3" a="1"/>
  <c r="K323" i="3" s="1"/>
  <c r="K324" i="3" a="1"/>
  <c r="K324" i="3" s="1"/>
  <c r="K325" i="3" a="1"/>
  <c r="K325" i="3" s="1"/>
  <c r="K326" i="3" a="1"/>
  <c r="K326" i="3" s="1"/>
  <c r="K327" i="3" a="1"/>
  <c r="K327" i="3" s="1"/>
  <c r="K328" i="3" a="1"/>
  <c r="K328" i="3" s="1"/>
  <c r="K329" i="3" a="1"/>
  <c r="K329" i="3" s="1"/>
  <c r="K330" i="3" a="1"/>
  <c r="K330" i="3" s="1"/>
  <c r="K331" i="3" a="1"/>
  <c r="K331" i="3" s="1"/>
  <c r="K332" i="3" a="1"/>
  <c r="K332" i="3" s="1"/>
  <c r="K333" i="3" a="1"/>
  <c r="K333" i="3" s="1"/>
  <c r="K334" i="3" a="1"/>
  <c r="K334" i="3" s="1"/>
  <c r="K335" i="3" a="1"/>
  <c r="K335" i="3" s="1"/>
  <c r="K336" i="3" a="1"/>
  <c r="K336" i="3" s="1"/>
  <c r="K337" i="3" a="1"/>
  <c r="K337" i="3" s="1"/>
  <c r="K338" i="3" a="1"/>
  <c r="K338" i="3" s="1"/>
  <c r="K339" i="3" a="1"/>
  <c r="K339" i="3" s="1"/>
  <c r="K340" i="3" a="1"/>
  <c r="K340" i="3" s="1"/>
  <c r="K341" i="3" a="1"/>
  <c r="K341" i="3" s="1"/>
  <c r="K342" i="3" a="1"/>
  <c r="K342" i="3" s="1"/>
  <c r="K343" i="3" a="1"/>
  <c r="K343" i="3" s="1"/>
  <c r="K344" i="3" a="1"/>
  <c r="K344" i="3" s="1"/>
  <c r="K345" i="3" a="1"/>
  <c r="K345" i="3" s="1"/>
  <c r="K346" i="3" a="1"/>
  <c r="K346" i="3" s="1"/>
  <c r="K347" i="3" a="1"/>
  <c r="K347" i="3" s="1"/>
  <c r="K348" i="3" a="1"/>
  <c r="K348" i="3" s="1"/>
  <c r="K349" i="3" a="1"/>
  <c r="K349" i="3" s="1"/>
  <c r="K350" i="3" a="1"/>
  <c r="K350" i="3" s="1"/>
  <c r="K351" i="3" a="1"/>
  <c r="K351" i="3" s="1"/>
  <c r="K352" i="3" a="1"/>
  <c r="K352" i="3" s="1"/>
  <c r="K353" i="3" a="1"/>
  <c r="K353" i="3" s="1"/>
  <c r="K354" i="3" a="1"/>
  <c r="K354" i="3" s="1"/>
  <c r="K355" i="3" a="1"/>
  <c r="K355" i="3" s="1"/>
  <c r="K356" i="3" a="1"/>
  <c r="K356" i="3" s="1"/>
  <c r="K357" i="3" a="1"/>
  <c r="K357" i="3" s="1"/>
  <c r="K358" i="3" a="1"/>
  <c r="K358" i="3" s="1"/>
  <c r="K359" i="3" a="1"/>
  <c r="K359" i="3" s="1"/>
  <c r="K360" i="3" a="1"/>
  <c r="K360" i="3" s="1"/>
  <c r="K361" i="3" a="1"/>
  <c r="K361" i="3" s="1"/>
  <c r="K362" i="3" a="1"/>
  <c r="K362" i="3" s="1"/>
  <c r="K363" i="3" a="1"/>
  <c r="K363" i="3" s="1"/>
  <c r="K364" i="3" a="1"/>
  <c r="K364" i="3" s="1"/>
  <c r="K365" i="3" a="1"/>
  <c r="K365" i="3" s="1"/>
  <c r="K366" i="3" a="1"/>
  <c r="K366" i="3" s="1"/>
  <c r="K367" i="3" a="1"/>
  <c r="K367" i="3" s="1"/>
  <c r="K368" i="3" a="1"/>
  <c r="K368" i="3" s="1"/>
  <c r="K369" i="3" a="1"/>
  <c r="K369" i="3" s="1"/>
  <c r="K370" i="3" a="1"/>
  <c r="K370" i="3" s="1"/>
  <c r="K371" i="3" a="1"/>
  <c r="K371" i="3" s="1"/>
  <c r="K372" i="3" a="1"/>
  <c r="K372" i="3" s="1"/>
  <c r="K373" i="3" a="1"/>
  <c r="K373" i="3" s="1"/>
  <c r="K374" i="3" a="1"/>
  <c r="K374" i="3" s="1"/>
  <c r="K375" i="3" a="1"/>
  <c r="K375" i="3" s="1"/>
  <c r="K376" i="3" a="1"/>
  <c r="K376" i="3" s="1"/>
  <c r="K377" i="3" a="1"/>
  <c r="K377" i="3" s="1"/>
  <c r="K378" i="3" a="1"/>
  <c r="K378" i="3" s="1"/>
  <c r="K379" i="3" a="1"/>
  <c r="K379" i="3" s="1"/>
  <c r="K380" i="3" a="1"/>
  <c r="K380" i="3" s="1"/>
  <c r="K381" i="3" a="1"/>
  <c r="K381" i="3" s="1"/>
  <c r="K382" i="3" a="1"/>
  <c r="K382" i="3" s="1"/>
  <c r="K383" i="3" a="1"/>
  <c r="K383" i="3" s="1"/>
  <c r="K384" i="3" a="1"/>
  <c r="K384" i="3" s="1"/>
  <c r="K385" i="3" a="1"/>
  <c r="K385" i="3" s="1"/>
  <c r="K386" i="3" a="1"/>
  <c r="K386" i="3" s="1"/>
  <c r="K387" i="3" a="1"/>
  <c r="K387" i="3" s="1"/>
  <c r="K388" i="3" a="1"/>
  <c r="K388" i="3" s="1"/>
  <c r="K389" i="3" a="1"/>
  <c r="K389" i="3" s="1"/>
  <c r="K390" i="3" a="1"/>
  <c r="K390" i="3" s="1"/>
  <c r="K391" i="3" a="1"/>
  <c r="K391" i="3" s="1"/>
  <c r="K392" i="3" a="1"/>
  <c r="K392" i="3" s="1"/>
  <c r="K393" i="3" a="1"/>
  <c r="K393" i="3" s="1"/>
  <c r="K394" i="3" a="1"/>
  <c r="K394" i="3" s="1"/>
  <c r="K395" i="3" a="1"/>
  <c r="K395" i="3" s="1"/>
  <c r="K396" i="3" a="1"/>
  <c r="K396" i="3" s="1"/>
  <c r="K397" i="3" a="1"/>
  <c r="K397" i="3" s="1"/>
  <c r="K398" i="3" a="1"/>
  <c r="K398" i="3" s="1"/>
  <c r="K399" i="3" a="1"/>
  <c r="K399" i="3" s="1"/>
  <c r="K400" i="3" a="1"/>
  <c r="K400" i="3" s="1"/>
  <c r="K401" i="3" a="1"/>
  <c r="K401" i="3" s="1"/>
  <c r="K402" i="3" a="1"/>
  <c r="K402" i="3" s="1"/>
  <c r="K403" i="3" a="1"/>
  <c r="K403" i="3" s="1"/>
  <c r="K404" i="3" a="1"/>
  <c r="K404" i="3" s="1"/>
  <c r="K405" i="3" a="1"/>
  <c r="K405" i="3" s="1"/>
  <c r="K406" i="3" a="1"/>
  <c r="K406" i="3" s="1"/>
  <c r="K407" i="3" a="1"/>
  <c r="K407" i="3" s="1"/>
  <c r="K408" i="3" a="1"/>
  <c r="K408" i="3" s="1"/>
  <c r="K409" i="3" a="1"/>
  <c r="K409" i="3" s="1"/>
  <c r="K410" i="3" a="1"/>
  <c r="K410" i="3" s="1"/>
  <c r="K411" i="3" a="1"/>
  <c r="K411" i="3" s="1"/>
  <c r="K412" i="3" a="1"/>
  <c r="K412" i="3" s="1"/>
  <c r="K413" i="3" a="1"/>
  <c r="K413" i="3" s="1"/>
  <c r="K414" i="3" a="1"/>
  <c r="K414" i="3" s="1"/>
  <c r="K415" i="3" a="1"/>
  <c r="K415" i="3" s="1"/>
  <c r="K416" i="3" a="1"/>
  <c r="K416" i="3" s="1"/>
  <c r="K417" i="3" a="1"/>
  <c r="K417" i="3" s="1"/>
  <c r="K418" i="3" a="1"/>
  <c r="K418" i="3" s="1"/>
  <c r="K419" i="3" a="1"/>
  <c r="K419" i="3" s="1"/>
  <c r="K420" i="3" a="1"/>
  <c r="K420" i="3" s="1"/>
  <c r="K421" i="3" a="1"/>
  <c r="K421" i="3" s="1"/>
  <c r="K422" i="3" a="1"/>
  <c r="K422" i="3" s="1"/>
  <c r="K423" i="3" a="1"/>
  <c r="K423" i="3" s="1"/>
  <c r="K424" i="3" a="1"/>
  <c r="K424" i="3" s="1"/>
  <c r="K425" i="3" a="1"/>
  <c r="K425" i="3" s="1"/>
  <c r="K426" i="3" a="1"/>
  <c r="K426" i="3" s="1"/>
  <c r="K427" i="3" a="1"/>
  <c r="K427" i="3" s="1"/>
  <c r="K428" i="3" a="1"/>
  <c r="K428" i="3" s="1"/>
  <c r="K429" i="3" a="1"/>
  <c r="K429" i="3" s="1"/>
  <c r="K430" i="3" a="1"/>
  <c r="K430" i="3" s="1"/>
  <c r="K431" i="3" a="1"/>
  <c r="K431" i="3" s="1"/>
  <c r="K432" i="3" a="1"/>
  <c r="K432" i="3" s="1"/>
  <c r="K433" i="3" a="1"/>
  <c r="K433" i="3" s="1"/>
  <c r="K434" i="3" a="1"/>
  <c r="K434" i="3" s="1"/>
  <c r="K435" i="3" a="1"/>
  <c r="K435" i="3" s="1"/>
  <c r="K436" i="3" a="1"/>
  <c r="K436" i="3" s="1"/>
  <c r="K437" i="3" a="1"/>
  <c r="K437" i="3" s="1"/>
  <c r="K438" i="3" a="1"/>
  <c r="K438" i="3" s="1"/>
  <c r="K439" i="3" a="1"/>
  <c r="K439" i="3" s="1"/>
  <c r="K440" i="3" a="1"/>
  <c r="K440" i="3" s="1"/>
  <c r="K441" i="3" a="1"/>
  <c r="K441" i="3" s="1"/>
  <c r="K442" i="3" a="1"/>
  <c r="K442" i="3" s="1"/>
  <c r="K443" i="3" a="1"/>
  <c r="K443" i="3" s="1"/>
  <c r="K444" i="3" a="1"/>
  <c r="K444" i="3" s="1"/>
  <c r="K445" i="3" a="1"/>
  <c r="K445" i="3" s="1"/>
  <c r="K446" i="3" a="1"/>
  <c r="K446" i="3" s="1"/>
  <c r="K447" i="3" a="1"/>
  <c r="K447" i="3" s="1"/>
  <c r="K448" i="3" a="1"/>
  <c r="K448" i="3" s="1"/>
  <c r="K449" i="3" a="1"/>
  <c r="K449" i="3" s="1"/>
  <c r="K450" i="3" a="1"/>
  <c r="K450" i="3" s="1"/>
  <c r="K451" i="3" a="1"/>
  <c r="K451" i="3" s="1"/>
  <c r="K452" i="3" a="1"/>
  <c r="K452" i="3" s="1"/>
  <c r="K453" i="3" a="1"/>
  <c r="K453" i="3" s="1"/>
  <c r="K454" i="3" a="1"/>
  <c r="K454" i="3" s="1"/>
  <c r="K455" i="3" a="1"/>
  <c r="K455" i="3" s="1"/>
  <c r="K456" i="3" a="1"/>
  <c r="K456" i="3" s="1"/>
  <c r="K457" i="3" a="1"/>
  <c r="K457" i="3" s="1"/>
  <c r="K458" i="3" a="1"/>
  <c r="K458" i="3" s="1"/>
  <c r="K459" i="3" a="1"/>
  <c r="K459" i="3" s="1"/>
  <c r="K460" i="3" a="1"/>
  <c r="K460" i="3" s="1"/>
  <c r="K461" i="3" a="1"/>
  <c r="K461" i="3" s="1"/>
  <c r="K462" i="3" a="1"/>
  <c r="K462" i="3" s="1"/>
  <c r="K463" i="3" a="1"/>
  <c r="K463" i="3" s="1"/>
  <c r="K464" i="3" a="1"/>
  <c r="K464" i="3" s="1"/>
  <c r="K465" i="3" a="1"/>
  <c r="K465" i="3" s="1"/>
  <c r="K466" i="3" a="1"/>
  <c r="K466" i="3" s="1"/>
  <c r="K467" i="3" a="1"/>
  <c r="K467" i="3" s="1"/>
  <c r="K468" i="3" a="1"/>
  <c r="K468" i="3" s="1"/>
  <c r="K469" i="3" a="1"/>
  <c r="K469" i="3" s="1"/>
  <c r="K470" i="3" a="1"/>
  <c r="K470" i="3" s="1"/>
  <c r="K471" i="3" a="1"/>
  <c r="K471" i="3" s="1"/>
  <c r="K472" i="3" a="1"/>
  <c r="K472" i="3" s="1"/>
  <c r="K473" i="3" a="1"/>
  <c r="K473" i="3" s="1"/>
  <c r="K474" i="3" a="1"/>
  <c r="K474" i="3" s="1"/>
  <c r="K475" i="3" a="1"/>
  <c r="K475" i="3" s="1"/>
  <c r="K476" i="3" a="1"/>
  <c r="K476" i="3" s="1"/>
  <c r="K477" i="3" a="1"/>
  <c r="K477" i="3" s="1"/>
  <c r="K478" i="3" a="1"/>
  <c r="K478" i="3" s="1"/>
  <c r="K479" i="3" a="1"/>
  <c r="K479" i="3" s="1"/>
  <c r="K480" i="3" a="1"/>
  <c r="K480" i="3" s="1"/>
  <c r="K481" i="3" a="1"/>
  <c r="K481" i="3" s="1"/>
  <c r="K482" i="3" a="1"/>
  <c r="K482" i="3" s="1"/>
  <c r="K483" i="3" a="1"/>
  <c r="K483" i="3" s="1"/>
  <c r="K484" i="3" a="1"/>
  <c r="K484" i="3" s="1"/>
  <c r="K485" i="3" a="1"/>
  <c r="K485" i="3" s="1"/>
  <c r="K486" i="3" a="1"/>
  <c r="K486" i="3" s="1"/>
  <c r="K487" i="3" a="1"/>
  <c r="K487" i="3" s="1"/>
  <c r="K488" i="3" a="1"/>
  <c r="K488" i="3" s="1"/>
  <c r="K489" i="3" a="1"/>
  <c r="K489" i="3" s="1"/>
  <c r="K490" i="3" a="1"/>
  <c r="K490" i="3" s="1"/>
  <c r="K491" i="3" a="1"/>
  <c r="K491" i="3" s="1"/>
  <c r="K492" i="3" a="1"/>
  <c r="K492" i="3" s="1"/>
  <c r="K493" i="3" a="1"/>
  <c r="K493" i="3" s="1"/>
  <c r="K494" i="3" a="1"/>
  <c r="K494" i="3" s="1"/>
  <c r="K495" i="3" a="1"/>
  <c r="K495" i="3" s="1"/>
  <c r="K496" i="3" a="1"/>
  <c r="K496" i="3" s="1"/>
  <c r="K497" i="3" a="1"/>
  <c r="K497" i="3" s="1"/>
  <c r="K498" i="3" a="1"/>
  <c r="K498" i="3" s="1"/>
  <c r="K499" i="3" a="1"/>
  <c r="K499" i="3" s="1"/>
  <c r="K500" i="3" a="1"/>
  <c r="K500" i="3" s="1"/>
  <c r="K501" i="3" a="1"/>
  <c r="K501" i="3" s="1"/>
  <c r="K502" i="3" a="1"/>
  <c r="K502" i="3" s="1"/>
  <c r="K503" i="3" a="1"/>
  <c r="K503" i="3" s="1"/>
  <c r="K504" i="3" a="1"/>
  <c r="K504" i="3" s="1"/>
  <c r="K505" i="3" a="1"/>
  <c r="K505" i="3" s="1"/>
  <c r="K506" i="3" a="1"/>
  <c r="K506" i="3" s="1"/>
  <c r="K507" i="3" a="1"/>
  <c r="K507" i="3" s="1"/>
  <c r="K508" i="3" a="1"/>
  <c r="K508" i="3" s="1"/>
  <c r="K509" i="3" a="1"/>
  <c r="K509" i="3" s="1"/>
  <c r="K510" i="3" a="1"/>
  <c r="K510" i="3" s="1"/>
  <c r="K511" i="3" a="1"/>
  <c r="K511" i="3" s="1"/>
  <c r="K512" i="3" a="1"/>
  <c r="K512" i="3" s="1"/>
  <c r="K513" i="3" a="1"/>
  <c r="K513" i="3" s="1"/>
  <c r="K514" i="3" a="1"/>
  <c r="K514" i="3" s="1"/>
  <c r="K515" i="3" a="1"/>
  <c r="K515" i="3" s="1"/>
  <c r="K516" i="3" a="1"/>
  <c r="K516" i="3" s="1"/>
  <c r="K517" i="3" a="1"/>
  <c r="K517" i="3" s="1"/>
  <c r="K518" i="3" a="1"/>
  <c r="K518" i="3" s="1"/>
  <c r="K519" i="3" a="1"/>
  <c r="K519" i="3" s="1"/>
  <c r="K520" i="3" a="1"/>
  <c r="K520" i="3" s="1"/>
  <c r="K521" i="3" a="1"/>
  <c r="K521" i="3" s="1"/>
  <c r="K522" i="3" a="1"/>
  <c r="K522" i="3" s="1"/>
  <c r="K523" i="3" a="1"/>
  <c r="K523" i="3" s="1"/>
  <c r="K524" i="3" a="1"/>
  <c r="K524" i="3" s="1"/>
  <c r="K525" i="3" a="1"/>
  <c r="K525" i="3" s="1"/>
  <c r="K526" i="3" a="1"/>
  <c r="K526" i="3" s="1"/>
  <c r="K527" i="3" a="1"/>
  <c r="K527" i="3" s="1"/>
  <c r="K528" i="3" a="1"/>
  <c r="K528" i="3" s="1"/>
  <c r="K529" i="3" a="1"/>
  <c r="K529" i="3" s="1"/>
  <c r="K530" i="3" a="1"/>
  <c r="K530" i="3" s="1"/>
  <c r="K531" i="3" a="1"/>
  <c r="K531" i="3" s="1"/>
  <c r="K532" i="3" a="1"/>
  <c r="K532" i="3" s="1"/>
  <c r="K533" i="3" a="1"/>
  <c r="K533" i="3" s="1"/>
  <c r="K534" i="3" a="1"/>
  <c r="K534" i="3" s="1"/>
  <c r="K535" i="3" a="1"/>
  <c r="K535" i="3" s="1"/>
  <c r="K536" i="3" a="1"/>
  <c r="K536" i="3" s="1"/>
  <c r="K537" i="3" a="1"/>
  <c r="K537" i="3" s="1"/>
  <c r="K538" i="3" a="1"/>
  <c r="K538" i="3" s="1"/>
  <c r="K539" i="3" a="1"/>
  <c r="K539" i="3" s="1"/>
  <c r="K540" i="3" a="1"/>
  <c r="K540" i="3" s="1"/>
  <c r="K541" i="3" a="1"/>
  <c r="K541" i="3" s="1"/>
  <c r="K542" i="3" a="1"/>
  <c r="K542" i="3" s="1"/>
  <c r="K543" i="3" a="1"/>
  <c r="K543" i="3" s="1"/>
  <c r="K544" i="3" a="1"/>
  <c r="K544" i="3" s="1"/>
  <c r="K545" i="3" a="1"/>
  <c r="K545" i="3" s="1"/>
  <c r="K546" i="3" a="1"/>
  <c r="K546" i="3" s="1"/>
  <c r="K547" i="3" a="1"/>
  <c r="K547" i="3" s="1"/>
  <c r="K548" i="3" a="1"/>
  <c r="K548" i="3" s="1"/>
  <c r="K549" i="3" a="1"/>
  <c r="K549" i="3" s="1"/>
  <c r="K550" i="3" a="1"/>
  <c r="K550" i="3" s="1"/>
  <c r="K551" i="3" a="1"/>
  <c r="K551" i="3" s="1"/>
  <c r="K552" i="3" a="1"/>
  <c r="K552" i="3" s="1"/>
  <c r="K553" i="3" a="1"/>
  <c r="K553" i="3" s="1"/>
  <c r="K554" i="3" a="1"/>
  <c r="K554" i="3" s="1"/>
  <c r="K555" i="3" a="1"/>
  <c r="K555" i="3" s="1"/>
  <c r="K558" i="3" a="1"/>
  <c r="K558" i="3" s="1"/>
  <c r="K559" i="3" a="1"/>
  <c r="K559" i="3" s="1"/>
  <c r="K560" i="3" a="1"/>
  <c r="K560" i="3" s="1"/>
  <c r="K561" i="3" a="1"/>
  <c r="K561" i="3" s="1"/>
  <c r="K562" i="3" a="1"/>
  <c r="K562" i="3" s="1"/>
  <c r="K563" i="3" a="1"/>
  <c r="K563" i="3" s="1"/>
  <c r="K564" i="3" a="1"/>
  <c r="K564" i="3" s="1"/>
  <c r="K565" i="3" a="1"/>
  <c r="K565" i="3" s="1"/>
  <c r="K566" i="3" a="1"/>
  <c r="K566" i="3" s="1"/>
  <c r="K567" i="3" a="1"/>
  <c r="K567" i="3" s="1"/>
  <c r="K568" i="3" a="1"/>
  <c r="K568" i="3" s="1"/>
  <c r="K569" i="3" a="1"/>
  <c r="K569" i="3" s="1"/>
  <c r="K570" i="3" a="1"/>
  <c r="K570" i="3" s="1"/>
  <c r="K571" i="3" a="1"/>
  <c r="K571" i="3" s="1"/>
  <c r="K572" i="3" a="1"/>
  <c r="K572" i="3" s="1"/>
  <c r="K573" i="3" a="1"/>
  <c r="K573" i="3" s="1"/>
  <c r="K574" i="3" a="1"/>
  <c r="K574" i="3" s="1"/>
  <c r="K575" i="3" a="1"/>
  <c r="K575" i="3" s="1"/>
  <c r="K576" i="3" a="1"/>
  <c r="K576" i="3" s="1"/>
  <c r="K577" i="3" a="1"/>
  <c r="K577" i="3" s="1"/>
  <c r="K578" i="3" a="1"/>
  <c r="K578" i="3" s="1"/>
  <c r="K579" i="3" a="1"/>
  <c r="K579" i="3" s="1"/>
  <c r="K2" i="3" a="1"/>
  <c r="K2" i="3" s="1"/>
  <c r="S3" i="3" a="1"/>
  <c r="S3" i="3" s="1"/>
  <c r="S4" i="3" a="1"/>
  <c r="S4" i="3" s="1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S22" i="3" a="1"/>
  <c r="S22" i="3" s="1"/>
  <c r="S23" i="3" a="1"/>
  <c r="S23" i="3" s="1"/>
  <c r="S24" i="3" a="1"/>
  <c r="S24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34" i="3" a="1"/>
  <c r="S34" i="3" s="1"/>
  <c r="S35" i="3" a="1"/>
  <c r="S35" i="3" s="1"/>
  <c r="S36" i="3" a="1"/>
  <c r="S36" i="3" s="1"/>
  <c r="S37" i="3" a="1"/>
  <c r="S37" i="3" s="1"/>
  <c r="S38" i="3" a="1"/>
  <c r="S38" i="3" s="1"/>
  <c r="S39" i="3" a="1"/>
  <c r="S39" i="3" s="1"/>
  <c r="S40" i="3" a="1"/>
  <c r="S40" i="3" s="1"/>
  <c r="S41" i="3" a="1"/>
  <c r="S41" i="3" s="1"/>
  <c r="S42" i="3" a="1"/>
  <c r="S42" i="3" s="1"/>
  <c r="S43" i="3" a="1"/>
  <c r="S43" i="3" s="1"/>
  <c r="S44" i="3" a="1"/>
  <c r="S44" i="3" s="1"/>
  <c r="S45" i="3" a="1"/>
  <c r="S45" i="3" s="1"/>
  <c r="S46" i="3" a="1"/>
  <c r="S46" i="3" s="1"/>
  <c r="S47" i="3" a="1"/>
  <c r="S47" i="3" s="1"/>
  <c r="S48" i="3" a="1"/>
  <c r="S48" i="3" s="1"/>
  <c r="S49" i="3" a="1"/>
  <c r="S49" i="3" s="1"/>
  <c r="S50" i="3" a="1"/>
  <c r="S50" i="3" s="1"/>
  <c r="S51" i="3" a="1"/>
  <c r="S51" i="3" s="1"/>
  <c r="S52" i="3" a="1"/>
  <c r="S52" i="3" s="1"/>
  <c r="S53" i="3" a="1"/>
  <c r="S53" i="3" s="1"/>
  <c r="S54" i="3" a="1"/>
  <c r="S54" i="3" s="1"/>
  <c r="S55" i="3" a="1"/>
  <c r="S55" i="3" s="1"/>
  <c r="S56" i="3" a="1"/>
  <c r="S56" i="3" s="1"/>
  <c r="S57" i="3" a="1"/>
  <c r="S57" i="3" s="1"/>
  <c r="S58" i="3" a="1"/>
  <c r="S58" i="3" s="1"/>
  <c r="S59" i="3" a="1"/>
  <c r="S59" i="3" s="1"/>
  <c r="S60" i="3" a="1"/>
  <c r="S60" i="3" s="1"/>
  <c r="S61" i="3" a="1"/>
  <c r="S61" i="3" s="1"/>
  <c r="S62" i="3" a="1"/>
  <c r="S62" i="3" s="1"/>
  <c r="S63" i="3" a="1"/>
  <c r="S63" i="3" s="1"/>
  <c r="S64" i="3" a="1"/>
  <c r="S64" i="3" s="1"/>
  <c r="S65" i="3" a="1"/>
  <c r="S65" i="3" s="1"/>
  <c r="S66" i="3" a="1"/>
  <c r="S66" i="3" s="1"/>
  <c r="S67" i="3" a="1"/>
  <c r="S67" i="3" s="1"/>
  <c r="S68" i="3" a="1"/>
  <c r="S68" i="3" s="1"/>
  <c r="S69" i="3" a="1"/>
  <c r="S69" i="3" s="1"/>
  <c r="S70" i="3" a="1"/>
  <c r="S70" i="3" s="1"/>
  <c r="S71" i="3" a="1"/>
  <c r="S71" i="3" s="1"/>
  <c r="S72" i="3" a="1"/>
  <c r="S72" i="3" s="1"/>
  <c r="S73" i="3" a="1"/>
  <c r="S73" i="3" s="1"/>
  <c r="S74" i="3" a="1"/>
  <c r="S74" i="3" s="1"/>
  <c r="S75" i="3" a="1"/>
  <c r="S75" i="3" s="1"/>
  <c r="S76" i="3" a="1"/>
  <c r="S76" i="3" s="1"/>
  <c r="S77" i="3" a="1"/>
  <c r="S77" i="3" s="1"/>
  <c r="S78" i="3" a="1"/>
  <c r="S78" i="3" s="1"/>
  <c r="S79" i="3" a="1"/>
  <c r="S79" i="3" s="1"/>
  <c r="S80" i="3" a="1"/>
  <c r="S80" i="3" s="1"/>
  <c r="S81" i="3" a="1"/>
  <c r="S81" i="3" s="1"/>
  <c r="S82" i="3" a="1"/>
  <c r="S82" i="3" s="1"/>
  <c r="S83" i="3" a="1"/>
  <c r="S83" i="3" s="1"/>
  <c r="S84" i="3" a="1"/>
  <c r="S84" i="3" s="1"/>
  <c r="S85" i="3" a="1"/>
  <c r="S85" i="3" s="1"/>
  <c r="S86" i="3" a="1"/>
  <c r="S86" i="3" s="1"/>
  <c r="S87" i="3" a="1"/>
  <c r="S87" i="3" s="1"/>
  <c r="S88" i="3" a="1"/>
  <c r="S88" i="3" s="1"/>
  <c r="S89" i="3" a="1"/>
  <c r="S89" i="3" s="1"/>
  <c r="S90" i="3" a="1"/>
  <c r="S90" i="3" s="1"/>
  <c r="S91" i="3" a="1"/>
  <c r="S91" i="3" s="1"/>
  <c r="S92" i="3" a="1"/>
  <c r="S92" i="3" s="1"/>
  <c r="S93" i="3" a="1"/>
  <c r="S93" i="3" s="1"/>
  <c r="S94" i="3" a="1"/>
  <c r="S94" i="3" s="1"/>
  <c r="S95" i="3" a="1"/>
  <c r="S95" i="3" s="1"/>
  <c r="S96" i="3" a="1"/>
  <c r="S96" i="3" s="1"/>
  <c r="S97" i="3" a="1"/>
  <c r="S97" i="3" s="1"/>
  <c r="S98" i="3" a="1"/>
  <c r="S98" i="3" s="1"/>
  <c r="S99" i="3" a="1"/>
  <c r="S99" i="3" s="1"/>
  <c r="S100" i="3" a="1"/>
  <c r="S100" i="3" s="1"/>
  <c r="S101" i="3" a="1"/>
  <c r="S101" i="3" s="1"/>
  <c r="S102" i="3" a="1"/>
  <c r="S102" i="3" s="1"/>
  <c r="S103" i="3" a="1"/>
  <c r="S103" i="3" s="1"/>
  <c r="S104" i="3" a="1"/>
  <c r="S104" i="3" s="1"/>
  <c r="S105" i="3" a="1"/>
  <c r="S105" i="3" s="1"/>
  <c r="S106" i="3" a="1"/>
  <c r="S106" i="3" s="1"/>
  <c r="S107" i="3" a="1"/>
  <c r="S107" i="3" s="1"/>
  <c r="S108" i="3" a="1"/>
  <c r="S108" i="3" s="1"/>
  <c r="S109" i="3" a="1"/>
  <c r="S109" i="3" s="1"/>
  <c r="S110" i="3" a="1"/>
  <c r="S110" i="3" s="1"/>
  <c r="S111" i="3" a="1"/>
  <c r="S111" i="3" s="1"/>
  <c r="S112" i="3" a="1"/>
  <c r="S112" i="3" s="1"/>
  <c r="S113" i="3" a="1"/>
  <c r="S113" i="3" s="1"/>
  <c r="S114" i="3" a="1"/>
  <c r="S114" i="3" s="1"/>
  <c r="S115" i="3" a="1"/>
  <c r="S115" i="3" s="1"/>
  <c r="S116" i="3" a="1"/>
  <c r="S116" i="3" s="1"/>
  <c r="S117" i="3" a="1"/>
  <c r="S117" i="3" s="1"/>
  <c r="S118" i="3" a="1"/>
  <c r="S118" i="3" s="1"/>
  <c r="S119" i="3" a="1"/>
  <c r="S119" i="3" s="1"/>
  <c r="S120" i="3" a="1"/>
  <c r="S120" i="3" s="1"/>
  <c r="S121" i="3" a="1"/>
  <c r="S121" i="3" s="1"/>
  <c r="S122" i="3" a="1"/>
  <c r="S122" i="3" s="1"/>
  <c r="S123" i="3" a="1"/>
  <c r="S123" i="3" s="1"/>
  <c r="S124" i="3" a="1"/>
  <c r="S124" i="3" s="1"/>
  <c r="S125" i="3" a="1"/>
  <c r="S125" i="3" s="1"/>
  <c r="S126" i="3" a="1"/>
  <c r="S126" i="3" s="1"/>
  <c r="S127" i="3" a="1"/>
  <c r="S127" i="3" s="1"/>
  <c r="S128" i="3" a="1"/>
  <c r="S128" i="3" s="1"/>
  <c r="S129" i="3" a="1"/>
  <c r="S129" i="3" s="1"/>
  <c r="S130" i="3" a="1"/>
  <c r="S130" i="3" s="1"/>
  <c r="S131" i="3" a="1"/>
  <c r="S131" i="3" s="1"/>
  <c r="S132" i="3" a="1"/>
  <c r="S132" i="3" s="1"/>
  <c r="S133" i="3" a="1"/>
  <c r="S133" i="3" s="1"/>
  <c r="S134" i="3" a="1"/>
  <c r="S134" i="3" s="1"/>
  <c r="S135" i="3" a="1"/>
  <c r="S135" i="3" s="1"/>
  <c r="S136" i="3" a="1"/>
  <c r="S136" i="3" s="1"/>
  <c r="S137" i="3" a="1"/>
  <c r="S137" i="3" s="1"/>
  <c r="S138" i="3" a="1"/>
  <c r="S138" i="3" s="1"/>
  <c r="S139" i="3" a="1"/>
  <c r="S139" i="3" s="1"/>
  <c r="S140" i="3" a="1"/>
  <c r="S140" i="3" s="1"/>
  <c r="S141" i="3" a="1"/>
  <c r="S141" i="3" s="1"/>
  <c r="S142" i="3" a="1"/>
  <c r="S142" i="3" s="1"/>
  <c r="S143" i="3" a="1"/>
  <c r="S143" i="3" s="1"/>
  <c r="S144" i="3" a="1"/>
  <c r="S144" i="3" s="1"/>
  <c r="S145" i="3" a="1"/>
  <c r="S145" i="3" s="1"/>
  <c r="S146" i="3" a="1"/>
  <c r="S146" i="3" s="1"/>
  <c r="S147" i="3" a="1"/>
  <c r="S147" i="3" s="1"/>
  <c r="S148" i="3" a="1"/>
  <c r="S148" i="3" s="1"/>
  <c r="S149" i="3" a="1"/>
  <c r="S149" i="3" s="1"/>
  <c r="S150" i="3" a="1"/>
  <c r="S150" i="3" s="1"/>
  <c r="S151" i="3" a="1"/>
  <c r="S151" i="3" s="1"/>
  <c r="S152" i="3" a="1"/>
  <c r="S152" i="3" s="1"/>
  <c r="S153" i="3" a="1"/>
  <c r="S153" i="3" s="1"/>
  <c r="S154" i="3" a="1"/>
  <c r="S154" i="3" s="1"/>
  <c r="S155" i="3" a="1"/>
  <c r="S155" i="3" s="1"/>
  <c r="S156" i="3" a="1"/>
  <c r="S156" i="3" s="1"/>
  <c r="S157" i="3" a="1"/>
  <c r="S157" i="3" s="1"/>
  <c r="S158" i="3" a="1"/>
  <c r="S158" i="3" s="1"/>
  <c r="S159" i="3" a="1"/>
  <c r="S159" i="3" s="1"/>
  <c r="S160" i="3" a="1"/>
  <c r="S160" i="3" s="1"/>
  <c r="S161" i="3" a="1"/>
  <c r="S161" i="3" s="1"/>
  <c r="S162" i="3" a="1"/>
  <c r="S162" i="3" s="1"/>
  <c r="S163" i="3" a="1"/>
  <c r="S163" i="3" s="1"/>
  <c r="S164" i="3" a="1"/>
  <c r="S164" i="3" s="1"/>
  <c r="S165" i="3" a="1"/>
  <c r="S165" i="3" s="1"/>
  <c r="S166" i="3" a="1"/>
  <c r="S166" i="3" s="1"/>
  <c r="S167" i="3" a="1"/>
  <c r="S167" i="3" s="1"/>
  <c r="S168" i="3" a="1"/>
  <c r="S168" i="3" s="1"/>
  <c r="S169" i="3" a="1"/>
  <c r="S169" i="3" s="1"/>
  <c r="S170" i="3" a="1"/>
  <c r="S170" i="3" s="1"/>
  <c r="S171" i="3" a="1"/>
  <c r="S171" i="3" s="1"/>
  <c r="S172" i="3" a="1"/>
  <c r="S172" i="3" s="1"/>
  <c r="S173" i="3" a="1"/>
  <c r="S173" i="3" s="1"/>
  <c r="S174" i="3" a="1"/>
  <c r="S174" i="3" s="1"/>
  <c r="S175" i="3" a="1"/>
  <c r="S175" i="3" s="1"/>
  <c r="S176" i="3" a="1"/>
  <c r="S176" i="3" s="1"/>
  <c r="S177" i="3" a="1"/>
  <c r="S177" i="3" s="1"/>
  <c r="S178" i="3" a="1"/>
  <c r="S178" i="3" s="1"/>
  <c r="S179" i="3" a="1"/>
  <c r="S179" i="3" s="1"/>
  <c r="S180" i="3" a="1"/>
  <c r="S180" i="3" s="1"/>
  <c r="S181" i="3" a="1"/>
  <c r="S181" i="3" s="1"/>
  <c r="S182" i="3" a="1"/>
  <c r="S182" i="3" s="1"/>
  <c r="S183" i="3" a="1"/>
  <c r="S183" i="3" s="1"/>
  <c r="S184" i="3" a="1"/>
  <c r="S184" i="3" s="1"/>
  <c r="S185" i="3" a="1"/>
  <c r="S185" i="3" s="1"/>
  <c r="S186" i="3" a="1"/>
  <c r="S186" i="3" s="1"/>
  <c r="S187" i="3" a="1"/>
  <c r="S187" i="3" s="1"/>
  <c r="S188" i="3" a="1"/>
  <c r="S188" i="3" s="1"/>
  <c r="S189" i="3" a="1"/>
  <c r="S189" i="3" s="1"/>
  <c r="S190" i="3" a="1"/>
  <c r="S190" i="3" s="1"/>
  <c r="S191" i="3" a="1"/>
  <c r="S191" i="3" s="1"/>
  <c r="S192" i="3" a="1"/>
  <c r="S192" i="3" s="1"/>
  <c r="S193" i="3" a="1"/>
  <c r="S193" i="3" s="1"/>
  <c r="S194" i="3" a="1"/>
  <c r="S194" i="3" s="1"/>
  <c r="S195" i="3" a="1"/>
  <c r="S195" i="3" s="1"/>
  <c r="S196" i="3" a="1"/>
  <c r="S196" i="3" s="1"/>
  <c r="S197" i="3" a="1"/>
  <c r="S197" i="3" s="1"/>
  <c r="S198" i="3" a="1"/>
  <c r="S198" i="3" s="1"/>
  <c r="S199" i="3" a="1"/>
  <c r="S199" i="3" s="1"/>
  <c r="S200" i="3" a="1"/>
  <c r="S200" i="3" s="1"/>
  <c r="S201" i="3" a="1"/>
  <c r="S201" i="3" s="1"/>
  <c r="S202" i="3" a="1"/>
  <c r="S202" i="3" s="1"/>
  <c r="S203" i="3" a="1"/>
  <c r="S203" i="3" s="1"/>
  <c r="S204" i="3" a="1"/>
  <c r="S204" i="3" s="1"/>
  <c r="S205" i="3" a="1"/>
  <c r="S205" i="3" s="1"/>
  <c r="S206" i="3" a="1"/>
  <c r="S206" i="3" s="1"/>
  <c r="S207" i="3" a="1"/>
  <c r="S207" i="3" s="1"/>
  <c r="S208" i="3" a="1"/>
  <c r="S208" i="3" s="1"/>
  <c r="S209" i="3" a="1"/>
  <c r="S209" i="3" s="1"/>
  <c r="S210" i="3" a="1"/>
  <c r="S210" i="3" s="1"/>
  <c r="S211" i="3" a="1"/>
  <c r="S211" i="3" s="1"/>
  <c r="S212" i="3" a="1"/>
  <c r="S212" i="3" s="1"/>
  <c r="S213" i="3" a="1"/>
  <c r="S213" i="3" s="1"/>
  <c r="S214" i="3" a="1"/>
  <c r="S214" i="3" s="1"/>
  <c r="S215" i="3" a="1"/>
  <c r="S215" i="3" s="1"/>
  <c r="S216" i="3" a="1"/>
  <c r="S216" i="3" s="1"/>
  <c r="S217" i="3" a="1"/>
  <c r="S217" i="3" s="1"/>
  <c r="S218" i="3" a="1"/>
  <c r="S218" i="3" s="1"/>
  <c r="S219" i="3" a="1"/>
  <c r="S219" i="3" s="1"/>
  <c r="S220" i="3" a="1"/>
  <c r="S220" i="3" s="1"/>
  <c r="S221" i="3" a="1"/>
  <c r="S221" i="3" s="1"/>
  <c r="S222" i="3" a="1"/>
  <c r="S222" i="3" s="1"/>
  <c r="S223" i="3" a="1"/>
  <c r="S223" i="3" s="1"/>
  <c r="S224" i="3" a="1"/>
  <c r="S224" i="3" s="1"/>
  <c r="S225" i="3" a="1"/>
  <c r="S225" i="3" s="1"/>
  <c r="S226" i="3" a="1"/>
  <c r="S226" i="3" s="1"/>
  <c r="S227" i="3" a="1"/>
  <c r="S227" i="3" s="1"/>
  <c r="S228" i="3" a="1"/>
  <c r="S228" i="3" s="1"/>
  <c r="S229" i="3" a="1"/>
  <c r="S229" i="3" s="1"/>
  <c r="S230" i="3" a="1"/>
  <c r="S230" i="3" s="1"/>
  <c r="S231" i="3" a="1"/>
  <c r="S231" i="3" s="1"/>
  <c r="S232" i="3" a="1"/>
  <c r="S232" i="3" s="1"/>
  <c r="S233" i="3" a="1"/>
  <c r="S233" i="3" s="1"/>
  <c r="S234" i="3" a="1"/>
  <c r="S234" i="3" s="1"/>
  <c r="S235" i="3" a="1"/>
  <c r="S235" i="3" s="1"/>
  <c r="S236" i="3" a="1"/>
  <c r="S236" i="3" s="1"/>
  <c r="S237" i="3" a="1"/>
  <c r="S237" i="3" s="1"/>
  <c r="S238" i="3" a="1"/>
  <c r="S238" i="3" s="1"/>
  <c r="S239" i="3" a="1"/>
  <c r="S239" i="3" s="1"/>
  <c r="S240" i="3" a="1"/>
  <c r="S240" i="3" s="1"/>
  <c r="S241" i="3" a="1"/>
  <c r="S241" i="3" s="1"/>
  <c r="S242" i="3" a="1"/>
  <c r="S242" i="3" s="1"/>
  <c r="S243" i="3" a="1"/>
  <c r="S243" i="3" s="1"/>
  <c r="S244" i="3" a="1"/>
  <c r="S244" i="3" s="1"/>
  <c r="S245" i="3" a="1"/>
  <c r="S245" i="3" s="1"/>
  <c r="S246" i="3" a="1"/>
  <c r="S246" i="3" s="1"/>
  <c r="S247" i="3" a="1"/>
  <c r="S247" i="3" s="1"/>
  <c r="S248" i="3" a="1"/>
  <c r="S248" i="3" s="1"/>
  <c r="S249" i="3" a="1"/>
  <c r="S249" i="3" s="1"/>
  <c r="S250" i="3" a="1"/>
  <c r="S250" i="3" s="1"/>
  <c r="S251" i="3" a="1"/>
  <c r="S251" i="3" s="1"/>
  <c r="S252" i="3" a="1"/>
  <c r="S252" i="3" s="1"/>
  <c r="S253" i="3" a="1"/>
  <c r="S253" i="3" s="1"/>
  <c r="S254" i="3" a="1"/>
  <c r="S254" i="3" s="1"/>
  <c r="S255" i="3" a="1"/>
  <c r="S255" i="3" s="1"/>
  <c r="S256" i="3" a="1"/>
  <c r="S256" i="3" s="1"/>
  <c r="S257" i="3" a="1"/>
  <c r="S257" i="3" s="1"/>
  <c r="S258" i="3" a="1"/>
  <c r="S258" i="3" s="1"/>
  <c r="S259" i="3" a="1"/>
  <c r="S259" i="3" s="1"/>
  <c r="S260" i="3" a="1"/>
  <c r="S260" i="3" s="1"/>
  <c r="S261" i="3" a="1"/>
  <c r="S261" i="3" s="1"/>
  <c r="S262" i="3" a="1"/>
  <c r="S262" i="3" s="1"/>
  <c r="S263" i="3" a="1"/>
  <c r="S263" i="3" s="1"/>
  <c r="S264" i="3" a="1"/>
  <c r="S264" i="3" s="1"/>
  <c r="S265" i="3" a="1"/>
  <c r="S265" i="3" s="1"/>
  <c r="S266" i="3" a="1"/>
  <c r="S266" i="3" s="1"/>
  <c r="S267" i="3" a="1"/>
  <c r="S267" i="3" s="1"/>
  <c r="S268" i="3" a="1"/>
  <c r="S268" i="3" s="1"/>
  <c r="S269" i="3" a="1"/>
  <c r="S269" i="3" s="1"/>
  <c r="S270" i="3" a="1"/>
  <c r="S270" i="3" s="1"/>
  <c r="S271" i="3" a="1"/>
  <c r="S271" i="3" s="1"/>
  <c r="S272" i="3" a="1"/>
  <c r="S272" i="3" s="1"/>
  <c r="S273" i="3" a="1"/>
  <c r="S273" i="3" s="1"/>
  <c r="S274" i="3" a="1"/>
  <c r="S274" i="3" s="1"/>
  <c r="S275" i="3" a="1"/>
  <c r="S275" i="3" s="1"/>
  <c r="S276" i="3" a="1"/>
  <c r="S276" i="3" s="1"/>
  <c r="S277" i="3" a="1"/>
  <c r="S277" i="3" s="1"/>
  <c r="S278" i="3" a="1"/>
  <c r="S278" i="3" s="1"/>
  <c r="S279" i="3" a="1"/>
  <c r="S279" i="3" s="1"/>
  <c r="S280" i="3" a="1"/>
  <c r="S280" i="3" s="1"/>
  <c r="S281" i="3" a="1"/>
  <c r="S281" i="3" s="1"/>
  <c r="S282" i="3" a="1"/>
  <c r="S282" i="3" s="1"/>
  <c r="S283" i="3" a="1"/>
  <c r="S283" i="3" s="1"/>
  <c r="S284" i="3" a="1"/>
  <c r="S284" i="3" s="1"/>
  <c r="S285" i="3" a="1"/>
  <c r="S285" i="3" s="1"/>
  <c r="S286" i="3" a="1"/>
  <c r="S286" i="3" s="1"/>
  <c r="S287" i="3" a="1"/>
  <c r="S287" i="3" s="1"/>
  <c r="S288" i="3" a="1"/>
  <c r="S288" i="3" s="1"/>
  <c r="S289" i="3" a="1"/>
  <c r="S289" i="3" s="1"/>
  <c r="S290" i="3" a="1"/>
  <c r="S290" i="3" s="1"/>
  <c r="S291" i="3" a="1"/>
  <c r="S291" i="3" s="1"/>
  <c r="S292" i="3" a="1"/>
  <c r="S292" i="3" s="1"/>
  <c r="S293" i="3" a="1"/>
  <c r="S293" i="3" s="1"/>
  <c r="S294" i="3" a="1"/>
  <c r="S294" i="3" s="1"/>
  <c r="S295" i="3" a="1"/>
  <c r="S295" i="3" s="1"/>
  <c r="S296" i="3" a="1"/>
  <c r="S296" i="3" s="1"/>
  <c r="S297" i="3" a="1"/>
  <c r="S297" i="3" s="1"/>
  <c r="S298" i="3" a="1"/>
  <c r="S298" i="3" s="1"/>
  <c r="S299" i="3" a="1"/>
  <c r="S299" i="3" s="1"/>
  <c r="S300" i="3" a="1"/>
  <c r="S300" i="3" s="1"/>
  <c r="S301" i="3" a="1"/>
  <c r="S301" i="3" s="1"/>
  <c r="S302" i="3" a="1"/>
  <c r="S302" i="3" s="1"/>
  <c r="S303" i="3" a="1"/>
  <c r="S303" i="3" s="1"/>
  <c r="S304" i="3" a="1"/>
  <c r="S304" i="3" s="1"/>
  <c r="S305" i="3" a="1"/>
  <c r="S305" i="3" s="1"/>
  <c r="S306" i="3" a="1"/>
  <c r="S306" i="3" s="1"/>
  <c r="S307" i="3" a="1"/>
  <c r="S307" i="3" s="1"/>
  <c r="S308" i="3" a="1"/>
  <c r="S308" i="3" s="1"/>
  <c r="S309" i="3" a="1"/>
  <c r="S309" i="3" s="1"/>
  <c r="S310" i="3" a="1"/>
  <c r="S310" i="3" s="1"/>
  <c r="S311" i="3" a="1"/>
  <c r="S311" i="3" s="1"/>
  <c r="S312" i="3" a="1"/>
  <c r="S312" i="3" s="1"/>
  <c r="S313" i="3" a="1"/>
  <c r="S313" i="3" s="1"/>
  <c r="S314" i="3" a="1"/>
  <c r="S314" i="3" s="1"/>
  <c r="S315" i="3" a="1"/>
  <c r="S315" i="3" s="1"/>
  <c r="S316" i="3" a="1"/>
  <c r="S316" i="3" s="1"/>
  <c r="S317" i="3" a="1"/>
  <c r="S317" i="3" s="1"/>
  <c r="S318" i="3" a="1"/>
  <c r="S318" i="3" s="1"/>
  <c r="S319" i="3" a="1"/>
  <c r="S319" i="3" s="1"/>
  <c r="S320" i="3" a="1"/>
  <c r="S320" i="3" s="1"/>
  <c r="S321" i="3" a="1"/>
  <c r="S321" i="3" s="1"/>
  <c r="S322" i="3" a="1"/>
  <c r="S322" i="3" s="1"/>
  <c r="S323" i="3" a="1"/>
  <c r="S323" i="3" s="1"/>
  <c r="S324" i="3" a="1"/>
  <c r="S324" i="3" s="1"/>
  <c r="S325" i="3" a="1"/>
  <c r="S325" i="3" s="1"/>
  <c r="S326" i="3" a="1"/>
  <c r="S326" i="3" s="1"/>
  <c r="S327" i="3" a="1"/>
  <c r="S327" i="3" s="1"/>
  <c r="S328" i="3" a="1"/>
  <c r="S328" i="3" s="1"/>
  <c r="S329" i="3" a="1"/>
  <c r="S329" i="3" s="1"/>
  <c r="S330" i="3" a="1"/>
  <c r="S330" i="3" s="1"/>
  <c r="S331" i="3" a="1"/>
  <c r="S331" i="3" s="1"/>
  <c r="S332" i="3" a="1"/>
  <c r="S332" i="3" s="1"/>
  <c r="S333" i="3" a="1"/>
  <c r="S333" i="3" s="1"/>
  <c r="S334" i="3" a="1"/>
  <c r="S334" i="3" s="1"/>
  <c r="S335" i="3" a="1"/>
  <c r="S335" i="3" s="1"/>
  <c r="S336" i="3" a="1"/>
  <c r="S336" i="3" s="1"/>
  <c r="S337" i="3" a="1"/>
  <c r="S337" i="3" s="1"/>
  <c r="S338" i="3" a="1"/>
  <c r="S338" i="3" s="1"/>
  <c r="S339" i="3" a="1"/>
  <c r="S339" i="3" s="1"/>
  <c r="S340" i="3" a="1"/>
  <c r="S340" i="3" s="1"/>
  <c r="S341" i="3" a="1"/>
  <c r="S341" i="3" s="1"/>
  <c r="S342" i="3" a="1"/>
  <c r="S342" i="3" s="1"/>
  <c r="S343" i="3" a="1"/>
  <c r="S343" i="3" s="1"/>
  <c r="S344" i="3" a="1"/>
  <c r="S344" i="3" s="1"/>
  <c r="S345" i="3" a="1"/>
  <c r="S345" i="3" s="1"/>
  <c r="S346" i="3" a="1"/>
  <c r="S346" i="3" s="1"/>
  <c r="S347" i="3" a="1"/>
  <c r="S347" i="3" s="1"/>
  <c r="S348" i="3" a="1"/>
  <c r="S348" i="3" s="1"/>
  <c r="S349" i="3" a="1"/>
  <c r="S349" i="3" s="1"/>
  <c r="S350" i="3" a="1"/>
  <c r="S350" i="3" s="1"/>
  <c r="S351" i="3" a="1"/>
  <c r="S351" i="3" s="1"/>
  <c r="S352" i="3" a="1"/>
  <c r="S352" i="3" s="1"/>
  <c r="S353" i="3" a="1"/>
  <c r="S353" i="3" s="1"/>
  <c r="S354" i="3" a="1"/>
  <c r="S354" i="3" s="1"/>
  <c r="S355" i="3" a="1"/>
  <c r="S355" i="3" s="1"/>
  <c r="S356" i="3" a="1"/>
  <c r="S356" i="3" s="1"/>
  <c r="S357" i="3" a="1"/>
  <c r="S357" i="3" s="1"/>
  <c r="S358" i="3" a="1"/>
  <c r="S358" i="3" s="1"/>
  <c r="S359" i="3" a="1"/>
  <c r="S359" i="3" s="1"/>
  <c r="S360" i="3" a="1"/>
  <c r="S360" i="3" s="1"/>
  <c r="S361" i="3" a="1"/>
  <c r="S361" i="3" s="1"/>
  <c r="S362" i="3" a="1"/>
  <c r="S362" i="3" s="1"/>
  <c r="S363" i="3" a="1"/>
  <c r="S363" i="3" s="1"/>
  <c r="S364" i="3" a="1"/>
  <c r="S364" i="3" s="1"/>
  <c r="S365" i="3" a="1"/>
  <c r="S365" i="3" s="1"/>
  <c r="S366" i="3" a="1"/>
  <c r="S366" i="3" s="1"/>
  <c r="S367" i="3" a="1"/>
  <c r="S367" i="3" s="1"/>
  <c r="S368" i="3" a="1"/>
  <c r="S368" i="3" s="1"/>
  <c r="S369" i="3" a="1"/>
  <c r="S369" i="3" s="1"/>
  <c r="S370" i="3" a="1"/>
  <c r="S370" i="3" s="1"/>
  <c r="S371" i="3" a="1"/>
  <c r="S371" i="3" s="1"/>
  <c r="S372" i="3" a="1"/>
  <c r="S372" i="3" s="1"/>
  <c r="S373" i="3" a="1"/>
  <c r="S373" i="3" s="1"/>
  <c r="S374" i="3" a="1"/>
  <c r="S374" i="3" s="1"/>
  <c r="S375" i="3" a="1"/>
  <c r="S375" i="3" s="1"/>
  <c r="S376" i="3" a="1"/>
  <c r="S376" i="3" s="1"/>
  <c r="S377" i="3" a="1"/>
  <c r="S377" i="3" s="1"/>
  <c r="S378" i="3" a="1"/>
  <c r="S378" i="3" s="1"/>
  <c r="S379" i="3" a="1"/>
  <c r="S379" i="3" s="1"/>
  <c r="S380" i="3" a="1"/>
  <c r="S380" i="3" s="1"/>
  <c r="S381" i="3" a="1"/>
  <c r="S381" i="3" s="1"/>
  <c r="S382" i="3" a="1"/>
  <c r="S382" i="3" s="1"/>
  <c r="S383" i="3" a="1"/>
  <c r="S383" i="3" s="1"/>
  <c r="S384" i="3" a="1"/>
  <c r="S384" i="3" s="1"/>
  <c r="S385" i="3" a="1"/>
  <c r="S385" i="3" s="1"/>
  <c r="S386" i="3" a="1"/>
  <c r="S386" i="3" s="1"/>
  <c r="S387" i="3" a="1"/>
  <c r="S387" i="3" s="1"/>
  <c r="S388" i="3" a="1"/>
  <c r="S388" i="3" s="1"/>
  <c r="S389" i="3" a="1"/>
  <c r="S389" i="3" s="1"/>
  <c r="S390" i="3" a="1"/>
  <c r="S390" i="3" s="1"/>
  <c r="S391" i="3" a="1"/>
  <c r="S391" i="3" s="1"/>
  <c r="S392" i="3" a="1"/>
  <c r="S392" i="3" s="1"/>
  <c r="S393" i="3" a="1"/>
  <c r="S393" i="3" s="1"/>
  <c r="S394" i="3" a="1"/>
  <c r="S394" i="3" s="1"/>
  <c r="S395" i="3" a="1"/>
  <c r="S395" i="3" s="1"/>
  <c r="S396" i="3" a="1"/>
  <c r="S396" i="3" s="1"/>
  <c r="S397" i="3" a="1"/>
  <c r="S397" i="3" s="1"/>
  <c r="S398" i="3" a="1"/>
  <c r="S398" i="3" s="1"/>
  <c r="S399" i="3" a="1"/>
  <c r="S399" i="3" s="1"/>
  <c r="S400" i="3" a="1"/>
  <c r="S400" i="3" s="1"/>
  <c r="S401" i="3" a="1"/>
  <c r="S401" i="3" s="1"/>
  <c r="S402" i="3" a="1"/>
  <c r="S402" i="3" s="1"/>
  <c r="S403" i="3" a="1"/>
  <c r="S403" i="3" s="1"/>
  <c r="S404" i="3" a="1"/>
  <c r="S404" i="3" s="1"/>
  <c r="S405" i="3" a="1"/>
  <c r="S405" i="3" s="1"/>
  <c r="S406" i="3" a="1"/>
  <c r="S406" i="3" s="1"/>
  <c r="S407" i="3" a="1"/>
  <c r="S407" i="3" s="1"/>
  <c r="S408" i="3" a="1"/>
  <c r="S408" i="3" s="1"/>
  <c r="S409" i="3" a="1"/>
  <c r="S409" i="3" s="1"/>
  <c r="S410" i="3" a="1"/>
  <c r="S410" i="3" s="1"/>
  <c r="S411" i="3" a="1"/>
  <c r="S411" i="3" s="1"/>
  <c r="S412" i="3" a="1"/>
  <c r="S412" i="3" s="1"/>
  <c r="S413" i="3" a="1"/>
  <c r="S413" i="3" s="1"/>
  <c r="S414" i="3" a="1"/>
  <c r="S414" i="3" s="1"/>
  <c r="S415" i="3" a="1"/>
  <c r="S415" i="3" s="1"/>
  <c r="S416" i="3" a="1"/>
  <c r="S416" i="3" s="1"/>
  <c r="S417" i="3" a="1"/>
  <c r="S417" i="3" s="1"/>
  <c r="S418" i="3" a="1"/>
  <c r="S418" i="3" s="1"/>
  <c r="S419" i="3" a="1"/>
  <c r="S419" i="3" s="1"/>
  <c r="S420" i="3" a="1"/>
  <c r="S420" i="3" s="1"/>
  <c r="S421" i="3" a="1"/>
  <c r="S421" i="3" s="1"/>
  <c r="S422" i="3" a="1"/>
  <c r="S422" i="3" s="1"/>
  <c r="S423" i="3" a="1"/>
  <c r="S423" i="3" s="1"/>
  <c r="S424" i="3" a="1"/>
  <c r="S424" i="3" s="1"/>
  <c r="S425" i="3" a="1"/>
  <c r="S425" i="3" s="1"/>
  <c r="S426" i="3" a="1"/>
  <c r="S426" i="3" s="1"/>
  <c r="S427" i="3" a="1"/>
  <c r="S427" i="3" s="1"/>
  <c r="S428" i="3" a="1"/>
  <c r="S428" i="3" s="1"/>
  <c r="S429" i="3" a="1"/>
  <c r="S429" i="3" s="1"/>
  <c r="S430" i="3" a="1"/>
  <c r="S430" i="3" s="1"/>
  <c r="S431" i="3" a="1"/>
  <c r="S431" i="3" s="1"/>
  <c r="S432" i="3" a="1"/>
  <c r="S432" i="3" s="1"/>
  <c r="S433" i="3" a="1"/>
  <c r="S433" i="3" s="1"/>
  <c r="S434" i="3" a="1"/>
  <c r="S434" i="3" s="1"/>
  <c r="S435" i="3" a="1"/>
  <c r="S435" i="3" s="1"/>
  <c r="S436" i="3" a="1"/>
  <c r="S436" i="3" s="1"/>
  <c r="S437" i="3" a="1"/>
  <c r="S437" i="3" s="1"/>
  <c r="S438" i="3" a="1"/>
  <c r="S438" i="3" s="1"/>
  <c r="S439" i="3" a="1"/>
  <c r="S439" i="3" s="1"/>
  <c r="S440" i="3" a="1"/>
  <c r="S440" i="3" s="1"/>
  <c r="S441" i="3" a="1"/>
  <c r="S441" i="3" s="1"/>
  <c r="S442" i="3" a="1"/>
  <c r="S442" i="3" s="1"/>
  <c r="S443" i="3" a="1"/>
  <c r="S443" i="3" s="1"/>
  <c r="S444" i="3" a="1"/>
  <c r="S444" i="3" s="1"/>
  <c r="S445" i="3" a="1"/>
  <c r="S445" i="3" s="1"/>
  <c r="S446" i="3" a="1"/>
  <c r="S446" i="3" s="1"/>
  <c r="S447" i="3" a="1"/>
  <c r="S447" i="3" s="1"/>
  <c r="S448" i="3" a="1"/>
  <c r="S448" i="3" s="1"/>
  <c r="S449" i="3" a="1"/>
  <c r="S449" i="3" s="1"/>
  <c r="S450" i="3" a="1"/>
  <c r="S450" i="3" s="1"/>
  <c r="S451" i="3" a="1"/>
  <c r="S451" i="3" s="1"/>
  <c r="S452" i="3" a="1"/>
  <c r="S452" i="3" s="1"/>
  <c r="S453" i="3" a="1"/>
  <c r="S453" i="3" s="1"/>
  <c r="S454" i="3" a="1"/>
  <c r="S454" i="3" s="1"/>
  <c r="S455" i="3" a="1"/>
  <c r="S455" i="3" s="1"/>
  <c r="S456" i="3" a="1"/>
  <c r="S456" i="3" s="1"/>
  <c r="S457" i="3" a="1"/>
  <c r="S457" i="3" s="1"/>
  <c r="S458" i="3" a="1"/>
  <c r="S458" i="3" s="1"/>
  <c r="S459" i="3" a="1"/>
  <c r="S459" i="3" s="1"/>
  <c r="S460" i="3" a="1"/>
  <c r="S460" i="3" s="1"/>
  <c r="S461" i="3" a="1"/>
  <c r="S461" i="3" s="1"/>
  <c r="S462" i="3" a="1"/>
  <c r="S462" i="3" s="1"/>
  <c r="S463" i="3" a="1"/>
  <c r="S463" i="3" s="1"/>
  <c r="S464" i="3" a="1"/>
  <c r="S464" i="3" s="1"/>
  <c r="S465" i="3" a="1"/>
  <c r="S465" i="3" s="1"/>
  <c r="S466" i="3" a="1"/>
  <c r="S466" i="3" s="1"/>
  <c r="S467" i="3" a="1"/>
  <c r="S467" i="3" s="1"/>
  <c r="S468" i="3" a="1"/>
  <c r="S468" i="3" s="1"/>
  <c r="S469" i="3" a="1"/>
  <c r="S469" i="3" s="1"/>
  <c r="S470" i="3" a="1"/>
  <c r="S470" i="3" s="1"/>
  <c r="S471" i="3" a="1"/>
  <c r="S471" i="3" s="1"/>
  <c r="S472" i="3" a="1"/>
  <c r="S472" i="3" s="1"/>
  <c r="S473" i="3" a="1"/>
  <c r="S473" i="3" s="1"/>
  <c r="S474" i="3" a="1"/>
  <c r="S474" i="3" s="1"/>
  <c r="S475" i="3" a="1"/>
  <c r="S475" i="3" s="1"/>
  <c r="S476" i="3" a="1"/>
  <c r="S476" i="3" s="1"/>
  <c r="S477" i="3" a="1"/>
  <c r="S477" i="3" s="1"/>
  <c r="S478" i="3" a="1"/>
  <c r="S478" i="3" s="1"/>
  <c r="S479" i="3" a="1"/>
  <c r="S479" i="3" s="1"/>
  <c r="S480" i="3" a="1"/>
  <c r="S480" i="3" s="1"/>
  <c r="S481" i="3" a="1"/>
  <c r="S481" i="3" s="1"/>
  <c r="S482" i="3" a="1"/>
  <c r="S482" i="3" s="1"/>
  <c r="S483" i="3" a="1"/>
  <c r="S483" i="3" s="1"/>
  <c r="S484" i="3" a="1"/>
  <c r="S484" i="3" s="1"/>
  <c r="S485" i="3" a="1"/>
  <c r="S485" i="3" s="1"/>
  <c r="S486" i="3" a="1"/>
  <c r="S486" i="3" s="1"/>
  <c r="S487" i="3" a="1"/>
  <c r="S487" i="3" s="1"/>
  <c r="S488" i="3" a="1"/>
  <c r="S488" i="3" s="1"/>
  <c r="S489" i="3" a="1"/>
  <c r="S489" i="3" s="1"/>
  <c r="S490" i="3" a="1"/>
  <c r="S490" i="3" s="1"/>
  <c r="S491" i="3" a="1"/>
  <c r="S491" i="3" s="1"/>
  <c r="S492" i="3" a="1"/>
  <c r="S492" i="3" s="1"/>
  <c r="S493" i="3" a="1"/>
  <c r="S493" i="3" s="1"/>
  <c r="S494" i="3" a="1"/>
  <c r="S494" i="3" s="1"/>
  <c r="S495" i="3" a="1"/>
  <c r="S495" i="3" s="1"/>
  <c r="S496" i="3" a="1"/>
  <c r="S496" i="3" s="1"/>
  <c r="S497" i="3" a="1"/>
  <c r="S497" i="3" s="1"/>
  <c r="S498" i="3" a="1"/>
  <c r="S498" i="3" s="1"/>
  <c r="S499" i="3" a="1"/>
  <c r="S499" i="3" s="1"/>
  <c r="S500" i="3" a="1"/>
  <c r="S500" i="3" s="1"/>
  <c r="S501" i="3" a="1"/>
  <c r="S501" i="3" s="1"/>
  <c r="S502" i="3" a="1"/>
  <c r="S502" i="3" s="1"/>
  <c r="S503" i="3" a="1"/>
  <c r="S503" i="3" s="1"/>
  <c r="S504" i="3" a="1"/>
  <c r="S504" i="3" s="1"/>
  <c r="S505" i="3" a="1"/>
  <c r="S505" i="3" s="1"/>
  <c r="S506" i="3" a="1"/>
  <c r="S506" i="3" s="1"/>
  <c r="S507" i="3" a="1"/>
  <c r="S507" i="3" s="1"/>
  <c r="S508" i="3" a="1"/>
  <c r="S508" i="3" s="1"/>
  <c r="S509" i="3" a="1"/>
  <c r="S509" i="3" s="1"/>
  <c r="S510" i="3" a="1"/>
  <c r="S510" i="3" s="1"/>
  <c r="S511" i="3" a="1"/>
  <c r="S511" i="3" s="1"/>
  <c r="S512" i="3" a="1"/>
  <c r="S512" i="3" s="1"/>
  <c r="S513" i="3" a="1"/>
  <c r="S513" i="3" s="1"/>
  <c r="S514" i="3" a="1"/>
  <c r="S514" i="3" s="1"/>
  <c r="S515" i="3" a="1"/>
  <c r="S515" i="3" s="1"/>
  <c r="S516" i="3" a="1"/>
  <c r="S516" i="3" s="1"/>
  <c r="S517" i="3" a="1"/>
  <c r="S517" i="3" s="1"/>
  <c r="S518" i="3" a="1"/>
  <c r="S518" i="3" s="1"/>
  <c r="S519" i="3" a="1"/>
  <c r="S519" i="3" s="1"/>
  <c r="S520" i="3" a="1"/>
  <c r="S520" i="3" s="1"/>
  <c r="S521" i="3" a="1"/>
  <c r="S521" i="3" s="1"/>
  <c r="S522" i="3" a="1"/>
  <c r="S522" i="3" s="1"/>
  <c r="S523" i="3" a="1"/>
  <c r="S523" i="3" s="1"/>
  <c r="S524" i="3" a="1"/>
  <c r="S524" i="3" s="1"/>
  <c r="S525" i="3" a="1"/>
  <c r="S525" i="3" s="1"/>
  <c r="S526" i="3" a="1"/>
  <c r="S526" i="3" s="1"/>
  <c r="S527" i="3" a="1"/>
  <c r="S527" i="3" s="1"/>
  <c r="S528" i="3" a="1"/>
  <c r="S528" i="3" s="1"/>
  <c r="S529" i="3" a="1"/>
  <c r="S529" i="3" s="1"/>
  <c r="S530" i="3" a="1"/>
  <c r="S530" i="3" s="1"/>
  <c r="S531" i="3" a="1"/>
  <c r="S531" i="3" s="1"/>
  <c r="S532" i="3" a="1"/>
  <c r="S532" i="3" s="1"/>
  <c r="S533" i="3" a="1"/>
  <c r="S533" i="3" s="1"/>
  <c r="S534" i="3" a="1"/>
  <c r="S534" i="3" s="1"/>
  <c r="S535" i="3" a="1"/>
  <c r="S535" i="3" s="1"/>
  <c r="S536" i="3" a="1"/>
  <c r="S536" i="3" s="1"/>
  <c r="S537" i="3" a="1"/>
  <c r="S537" i="3" s="1"/>
  <c r="S538" i="3" a="1"/>
  <c r="S538" i="3" s="1"/>
  <c r="S539" i="3" a="1"/>
  <c r="S539" i="3" s="1"/>
  <c r="S540" i="3" a="1"/>
  <c r="S540" i="3" s="1"/>
  <c r="S541" i="3" a="1"/>
  <c r="S541" i="3" s="1"/>
  <c r="S542" i="3" a="1"/>
  <c r="S542" i="3" s="1"/>
  <c r="S543" i="3" a="1"/>
  <c r="S543" i="3" s="1"/>
  <c r="S544" i="3" a="1"/>
  <c r="S544" i="3" s="1"/>
  <c r="S545" i="3" a="1"/>
  <c r="S545" i="3" s="1"/>
  <c r="S546" i="3" a="1"/>
  <c r="S546" i="3" s="1"/>
  <c r="S547" i="3" a="1"/>
  <c r="S547" i="3" s="1"/>
  <c r="S548" i="3" a="1"/>
  <c r="S548" i="3" s="1"/>
  <c r="S549" i="3" a="1"/>
  <c r="S549" i="3" s="1"/>
  <c r="S550" i="3" a="1"/>
  <c r="S550" i="3" s="1"/>
  <c r="S551" i="3" a="1"/>
  <c r="S551" i="3" s="1"/>
  <c r="S552" i="3" a="1"/>
  <c r="S552" i="3" s="1"/>
  <c r="S553" i="3" a="1"/>
  <c r="S553" i="3" s="1"/>
  <c r="S554" i="3" a="1"/>
  <c r="S554" i="3" s="1"/>
  <c r="S555" i="3" a="1"/>
  <c r="S555" i="3" s="1"/>
  <c r="S556" i="3" a="1"/>
  <c r="S556" i="3" s="1"/>
  <c r="S557" i="3" a="1"/>
  <c r="S557" i="3" s="1"/>
  <c r="S558" i="3" a="1"/>
  <c r="S558" i="3" s="1"/>
  <c r="S559" i="3" a="1"/>
  <c r="S559" i="3" s="1"/>
  <c r="S560" i="3" a="1"/>
  <c r="S560" i="3" s="1"/>
  <c r="S561" i="3" a="1"/>
  <c r="S561" i="3" s="1"/>
  <c r="S562" i="3" a="1"/>
  <c r="S562" i="3" s="1"/>
  <c r="S563" i="3" a="1"/>
  <c r="S563" i="3" s="1"/>
  <c r="S564" i="3" a="1"/>
  <c r="S564" i="3" s="1"/>
  <c r="S565" i="3" a="1"/>
  <c r="S565" i="3" s="1"/>
  <c r="S566" i="3" a="1"/>
  <c r="S566" i="3" s="1"/>
  <c r="S567" i="3" a="1"/>
  <c r="S567" i="3" s="1"/>
  <c r="S568" i="3" a="1"/>
  <c r="S568" i="3" s="1"/>
  <c r="S569" i="3" a="1"/>
  <c r="S569" i="3" s="1"/>
  <c r="S570" i="3" a="1"/>
  <c r="S570" i="3" s="1"/>
  <c r="S571" i="3" a="1"/>
  <c r="S571" i="3" s="1"/>
  <c r="S572" i="3" a="1"/>
  <c r="S572" i="3" s="1"/>
  <c r="S573" i="3" a="1"/>
  <c r="S573" i="3" s="1"/>
  <c r="S574" i="3" a="1"/>
  <c r="S574" i="3" s="1"/>
  <c r="S575" i="3" a="1"/>
  <c r="S575" i="3" s="1"/>
  <c r="S576" i="3" a="1"/>
  <c r="S576" i="3" s="1"/>
  <c r="S577" i="3" a="1"/>
  <c r="S577" i="3" s="1"/>
  <c r="S578" i="3" a="1"/>
  <c r="S578" i="3" s="1"/>
  <c r="S579" i="3" a="1"/>
  <c r="S579" i="3" s="1"/>
  <c r="S2" i="3" a="1"/>
  <c r="S2" i="3" s="1"/>
  <c r="R3" i="3" a="1"/>
  <c r="R3" i="3" s="1"/>
  <c r="R4" i="3" a="1"/>
  <c r="R4" i="3" s="1"/>
  <c r="R5" i="3" a="1"/>
  <c r="R5" i="3" s="1"/>
  <c r="R6" i="3" a="1"/>
  <c r="R6" i="3" s="1"/>
  <c r="R7" i="3" a="1"/>
  <c r="R7" i="3" s="1"/>
  <c r="R8" i="3" a="1"/>
  <c r="R8" i="3" s="1"/>
  <c r="R9" i="3" a="1"/>
  <c r="R9" i="3" s="1"/>
  <c r="R10" i="3" a="1"/>
  <c r="R10" i="3" s="1"/>
  <c r="R11" i="3" a="1"/>
  <c r="R11" i="3" s="1"/>
  <c r="R12" i="3" a="1"/>
  <c r="R12" i="3" s="1"/>
  <c r="R13" i="3" a="1"/>
  <c r="R13" i="3" s="1"/>
  <c r="R14" i="3" a="1"/>
  <c r="R14" i="3" s="1"/>
  <c r="R15" i="3" a="1"/>
  <c r="R15" i="3" s="1"/>
  <c r="R16" i="3" a="1"/>
  <c r="R16" i="3" s="1"/>
  <c r="R17" i="3" a="1"/>
  <c r="R17" i="3" s="1"/>
  <c r="R18" i="3" a="1"/>
  <c r="R18" i="3" s="1"/>
  <c r="R19" i="3" a="1"/>
  <c r="R19" i="3" s="1"/>
  <c r="R20" i="3" a="1"/>
  <c r="R20" i="3" s="1"/>
  <c r="R21" i="3" a="1"/>
  <c r="R21" i="3" s="1"/>
  <c r="R22" i="3" a="1"/>
  <c r="R22" i="3" s="1"/>
  <c r="R23" i="3" a="1"/>
  <c r="R23" i="3" s="1"/>
  <c r="R24" i="3" a="1"/>
  <c r="R24" i="3" s="1"/>
  <c r="R25" i="3" a="1"/>
  <c r="R25" i="3" s="1"/>
  <c r="R26" i="3" a="1"/>
  <c r="R26" i="3" s="1"/>
  <c r="R27" i="3" a="1"/>
  <c r="R27" i="3" s="1"/>
  <c r="R28" i="3" a="1"/>
  <c r="R28" i="3" s="1"/>
  <c r="R29" i="3" a="1"/>
  <c r="R29" i="3" s="1"/>
  <c r="R30" i="3" a="1"/>
  <c r="R30" i="3" s="1"/>
  <c r="R31" i="3" a="1"/>
  <c r="R31" i="3" s="1"/>
  <c r="R32" i="3" a="1"/>
  <c r="R32" i="3" s="1"/>
  <c r="R33" i="3" a="1"/>
  <c r="R33" i="3" s="1"/>
  <c r="R34" i="3" a="1"/>
  <c r="R34" i="3" s="1"/>
  <c r="R35" i="3" a="1"/>
  <c r="R35" i="3" s="1"/>
  <c r="R36" i="3" a="1"/>
  <c r="R36" i="3" s="1"/>
  <c r="R37" i="3" a="1"/>
  <c r="R37" i="3" s="1"/>
  <c r="R38" i="3" a="1"/>
  <c r="R38" i="3" s="1"/>
  <c r="R39" i="3" a="1"/>
  <c r="R39" i="3" s="1"/>
  <c r="R40" i="3" a="1"/>
  <c r="R40" i="3" s="1"/>
  <c r="R41" i="3" a="1"/>
  <c r="R41" i="3" s="1"/>
  <c r="R42" i="3" a="1"/>
  <c r="R42" i="3" s="1"/>
  <c r="R43" i="3" a="1"/>
  <c r="R43" i="3" s="1"/>
  <c r="R44" i="3" a="1"/>
  <c r="R44" i="3" s="1"/>
  <c r="R45" i="3" a="1"/>
  <c r="R45" i="3" s="1"/>
  <c r="R46" i="3" a="1"/>
  <c r="R46" i="3" s="1"/>
  <c r="R47" i="3" a="1"/>
  <c r="R47" i="3" s="1"/>
  <c r="R48" i="3" a="1"/>
  <c r="R48" i="3" s="1"/>
  <c r="R49" i="3" a="1"/>
  <c r="R49" i="3" s="1"/>
  <c r="R50" i="3" a="1"/>
  <c r="R50" i="3" s="1"/>
  <c r="R51" i="3" a="1"/>
  <c r="R51" i="3" s="1"/>
  <c r="R52" i="3" a="1"/>
  <c r="R52" i="3" s="1"/>
  <c r="R53" i="3" a="1"/>
  <c r="R53" i="3" s="1"/>
  <c r="R54" i="3" a="1"/>
  <c r="R54" i="3" s="1"/>
  <c r="R55" i="3" a="1"/>
  <c r="R55" i="3" s="1"/>
  <c r="R56" i="3" a="1"/>
  <c r="R56" i="3" s="1"/>
  <c r="R57" i="3" a="1"/>
  <c r="R57" i="3" s="1"/>
  <c r="R58" i="3" a="1"/>
  <c r="R58" i="3" s="1"/>
  <c r="R59" i="3" a="1"/>
  <c r="R59" i="3" s="1"/>
  <c r="R60" i="3" a="1"/>
  <c r="R60" i="3" s="1"/>
  <c r="R61" i="3" a="1"/>
  <c r="R61" i="3" s="1"/>
  <c r="R62" i="3" a="1"/>
  <c r="R62" i="3" s="1"/>
  <c r="R63" i="3" a="1"/>
  <c r="R63" i="3" s="1"/>
  <c r="R64" i="3" a="1"/>
  <c r="R64" i="3" s="1"/>
  <c r="R65" i="3" a="1"/>
  <c r="R65" i="3" s="1"/>
  <c r="R66" i="3" a="1"/>
  <c r="R66" i="3" s="1"/>
  <c r="R67" i="3" a="1"/>
  <c r="R67" i="3" s="1"/>
  <c r="R68" i="3" a="1"/>
  <c r="R68" i="3" s="1"/>
  <c r="R69" i="3" a="1"/>
  <c r="R69" i="3" s="1"/>
  <c r="R70" i="3" a="1"/>
  <c r="R70" i="3" s="1"/>
  <c r="R71" i="3" a="1"/>
  <c r="R71" i="3" s="1"/>
  <c r="R72" i="3" a="1"/>
  <c r="R72" i="3" s="1"/>
  <c r="R73" i="3" a="1"/>
  <c r="R73" i="3" s="1"/>
  <c r="R74" i="3" a="1"/>
  <c r="R74" i="3" s="1"/>
  <c r="R75" i="3" a="1"/>
  <c r="R75" i="3" s="1"/>
  <c r="R76" i="3" a="1"/>
  <c r="R76" i="3" s="1"/>
  <c r="R77" i="3" a="1"/>
  <c r="R77" i="3" s="1"/>
  <c r="R78" i="3" a="1"/>
  <c r="R78" i="3" s="1"/>
  <c r="R79" i="3" a="1"/>
  <c r="R79" i="3" s="1"/>
  <c r="R80" i="3" a="1"/>
  <c r="R80" i="3" s="1"/>
  <c r="R81" i="3" a="1"/>
  <c r="R81" i="3" s="1"/>
  <c r="R82" i="3" a="1"/>
  <c r="R82" i="3" s="1"/>
  <c r="R83" i="3" a="1"/>
  <c r="R83" i="3" s="1"/>
  <c r="R84" i="3" a="1"/>
  <c r="R84" i="3" s="1"/>
  <c r="R85" i="3" a="1"/>
  <c r="R85" i="3" s="1"/>
  <c r="R86" i="3" a="1"/>
  <c r="R86" i="3" s="1"/>
  <c r="R87" i="3" a="1"/>
  <c r="R87" i="3" s="1"/>
  <c r="R88" i="3" a="1"/>
  <c r="R88" i="3" s="1"/>
  <c r="R89" i="3" a="1"/>
  <c r="R89" i="3" s="1"/>
  <c r="R90" i="3" a="1"/>
  <c r="R90" i="3" s="1"/>
  <c r="R91" i="3" a="1"/>
  <c r="R91" i="3" s="1"/>
  <c r="R92" i="3" a="1"/>
  <c r="R92" i="3" s="1"/>
  <c r="R93" i="3" a="1"/>
  <c r="R93" i="3" s="1"/>
  <c r="R94" i="3" a="1"/>
  <c r="R94" i="3" s="1"/>
  <c r="R95" i="3" a="1"/>
  <c r="R95" i="3" s="1"/>
  <c r="R96" i="3" a="1"/>
  <c r="R96" i="3" s="1"/>
  <c r="R97" i="3" a="1"/>
  <c r="R97" i="3" s="1"/>
  <c r="R98" i="3" a="1"/>
  <c r="R98" i="3" s="1"/>
  <c r="R99" i="3" a="1"/>
  <c r="R99" i="3" s="1"/>
  <c r="R100" i="3" a="1"/>
  <c r="R100" i="3" s="1"/>
  <c r="R101" i="3" a="1"/>
  <c r="R101" i="3" s="1"/>
  <c r="R102" i="3" a="1"/>
  <c r="R102" i="3" s="1"/>
  <c r="R103" i="3" a="1"/>
  <c r="R103" i="3" s="1"/>
  <c r="R104" i="3" a="1"/>
  <c r="R104" i="3" s="1"/>
  <c r="R105" i="3" a="1"/>
  <c r="R105" i="3" s="1"/>
  <c r="R106" i="3" a="1"/>
  <c r="R106" i="3" s="1"/>
  <c r="R107" i="3" a="1"/>
  <c r="R107" i="3" s="1"/>
  <c r="R108" i="3" a="1"/>
  <c r="R108" i="3" s="1"/>
  <c r="R109" i="3" a="1"/>
  <c r="R109" i="3" s="1"/>
  <c r="R110" i="3" a="1"/>
  <c r="R110" i="3" s="1"/>
  <c r="R111" i="3" a="1"/>
  <c r="R111" i="3" s="1"/>
  <c r="R112" i="3" a="1"/>
  <c r="R112" i="3" s="1"/>
  <c r="R113" i="3" a="1"/>
  <c r="R113" i="3" s="1"/>
  <c r="R114" i="3" a="1"/>
  <c r="R114" i="3" s="1"/>
  <c r="R115" i="3" a="1"/>
  <c r="R115" i="3" s="1"/>
  <c r="R116" i="3" a="1"/>
  <c r="R116" i="3" s="1"/>
  <c r="R117" i="3" a="1"/>
  <c r="R117" i="3" s="1"/>
  <c r="R118" i="3" a="1"/>
  <c r="R118" i="3" s="1"/>
  <c r="R119" i="3" a="1"/>
  <c r="R119" i="3" s="1"/>
  <c r="R120" i="3" a="1"/>
  <c r="R120" i="3" s="1"/>
  <c r="R121" i="3" a="1"/>
  <c r="R121" i="3" s="1"/>
  <c r="R122" i="3" a="1"/>
  <c r="R122" i="3" s="1"/>
  <c r="R123" i="3" a="1"/>
  <c r="R123" i="3" s="1"/>
  <c r="R124" i="3" a="1"/>
  <c r="R124" i="3" s="1"/>
  <c r="R125" i="3" a="1"/>
  <c r="R125" i="3" s="1"/>
  <c r="R126" i="3" a="1"/>
  <c r="R126" i="3" s="1"/>
  <c r="R127" i="3" a="1"/>
  <c r="R127" i="3" s="1"/>
  <c r="R128" i="3" a="1"/>
  <c r="R128" i="3" s="1"/>
  <c r="R129" i="3" a="1"/>
  <c r="R129" i="3" s="1"/>
  <c r="R130" i="3" a="1"/>
  <c r="R130" i="3" s="1"/>
  <c r="R131" i="3" a="1"/>
  <c r="R131" i="3" s="1"/>
  <c r="R132" i="3" a="1"/>
  <c r="R132" i="3" s="1"/>
  <c r="R133" i="3" a="1"/>
  <c r="R133" i="3" s="1"/>
  <c r="R134" i="3" a="1"/>
  <c r="R134" i="3" s="1"/>
  <c r="R135" i="3" a="1"/>
  <c r="R135" i="3" s="1"/>
  <c r="R136" i="3" a="1"/>
  <c r="R136" i="3" s="1"/>
  <c r="R137" i="3" a="1"/>
  <c r="R137" i="3" s="1"/>
  <c r="R138" i="3" a="1"/>
  <c r="R138" i="3" s="1"/>
  <c r="R139" i="3" a="1"/>
  <c r="R139" i="3" s="1"/>
  <c r="R140" i="3" a="1"/>
  <c r="R140" i="3" s="1"/>
  <c r="R141" i="3" a="1"/>
  <c r="R141" i="3" s="1"/>
  <c r="R142" i="3" a="1"/>
  <c r="R142" i="3" s="1"/>
  <c r="R143" i="3" a="1"/>
  <c r="R143" i="3" s="1"/>
  <c r="R144" i="3" a="1"/>
  <c r="R144" i="3" s="1"/>
  <c r="R145" i="3" a="1"/>
  <c r="R145" i="3" s="1"/>
  <c r="R146" i="3" a="1"/>
  <c r="R146" i="3" s="1"/>
  <c r="R147" i="3" a="1"/>
  <c r="R147" i="3" s="1"/>
  <c r="R148" i="3" a="1"/>
  <c r="R148" i="3" s="1"/>
  <c r="R149" i="3" a="1"/>
  <c r="R149" i="3" s="1"/>
  <c r="R150" i="3" a="1"/>
  <c r="R150" i="3" s="1"/>
  <c r="R151" i="3" a="1"/>
  <c r="R151" i="3" s="1"/>
  <c r="R152" i="3" a="1"/>
  <c r="R152" i="3" s="1"/>
  <c r="R153" i="3" a="1"/>
  <c r="R153" i="3" s="1"/>
  <c r="R154" i="3" a="1"/>
  <c r="R154" i="3" s="1"/>
  <c r="R155" i="3" a="1"/>
  <c r="R155" i="3" s="1"/>
  <c r="R156" i="3" a="1"/>
  <c r="R156" i="3" s="1"/>
  <c r="R157" i="3" a="1"/>
  <c r="R157" i="3" s="1"/>
  <c r="R158" i="3" a="1"/>
  <c r="R158" i="3" s="1"/>
  <c r="R159" i="3" a="1"/>
  <c r="R159" i="3" s="1"/>
  <c r="R160" i="3" a="1"/>
  <c r="R160" i="3" s="1"/>
  <c r="R161" i="3" a="1"/>
  <c r="R161" i="3" s="1"/>
  <c r="R162" i="3" a="1"/>
  <c r="R162" i="3" s="1"/>
  <c r="R163" i="3" a="1"/>
  <c r="R163" i="3" s="1"/>
  <c r="R164" i="3" a="1"/>
  <c r="R164" i="3" s="1"/>
  <c r="R165" i="3" a="1"/>
  <c r="R165" i="3" s="1"/>
  <c r="R166" i="3" a="1"/>
  <c r="R166" i="3" s="1"/>
  <c r="R167" i="3" a="1"/>
  <c r="R167" i="3" s="1"/>
  <c r="R168" i="3" a="1"/>
  <c r="R168" i="3" s="1"/>
  <c r="R169" i="3" a="1"/>
  <c r="R169" i="3" s="1"/>
  <c r="R170" i="3" a="1"/>
  <c r="R170" i="3" s="1"/>
  <c r="R171" i="3" a="1"/>
  <c r="R171" i="3" s="1"/>
  <c r="R172" i="3" a="1"/>
  <c r="R172" i="3" s="1"/>
  <c r="R173" i="3" a="1"/>
  <c r="R173" i="3" s="1"/>
  <c r="R174" i="3" a="1"/>
  <c r="R174" i="3" s="1"/>
  <c r="R175" i="3" a="1"/>
  <c r="R175" i="3" s="1"/>
  <c r="R176" i="3" a="1"/>
  <c r="R176" i="3" s="1"/>
  <c r="R177" i="3" a="1"/>
  <c r="R177" i="3" s="1"/>
  <c r="R178" i="3" a="1"/>
  <c r="R178" i="3" s="1"/>
  <c r="R179" i="3" a="1"/>
  <c r="R179" i="3" s="1"/>
  <c r="R180" i="3" a="1"/>
  <c r="R180" i="3" s="1"/>
  <c r="R181" i="3" a="1"/>
  <c r="R181" i="3" s="1"/>
  <c r="R182" i="3" a="1"/>
  <c r="R182" i="3" s="1"/>
  <c r="R183" i="3" a="1"/>
  <c r="R183" i="3" s="1"/>
  <c r="R184" i="3" a="1"/>
  <c r="R184" i="3" s="1"/>
  <c r="R185" i="3" a="1"/>
  <c r="R185" i="3" s="1"/>
  <c r="R186" i="3" a="1"/>
  <c r="R186" i="3" s="1"/>
  <c r="R187" i="3" a="1"/>
  <c r="R187" i="3" s="1"/>
  <c r="R188" i="3" a="1"/>
  <c r="R188" i="3" s="1"/>
  <c r="R189" i="3" a="1"/>
  <c r="R189" i="3" s="1"/>
  <c r="R190" i="3" a="1"/>
  <c r="R190" i="3" s="1"/>
  <c r="R191" i="3" a="1"/>
  <c r="R191" i="3" s="1"/>
  <c r="R192" i="3" a="1"/>
  <c r="R192" i="3" s="1"/>
  <c r="R193" i="3" a="1"/>
  <c r="R193" i="3" s="1"/>
  <c r="R194" i="3" a="1"/>
  <c r="R194" i="3" s="1"/>
  <c r="R195" i="3" a="1"/>
  <c r="R195" i="3" s="1"/>
  <c r="R196" i="3" a="1"/>
  <c r="R196" i="3" s="1"/>
  <c r="R197" i="3" a="1"/>
  <c r="R197" i="3" s="1"/>
  <c r="R198" i="3" a="1"/>
  <c r="R198" i="3" s="1"/>
  <c r="R199" i="3" a="1"/>
  <c r="R199" i="3" s="1"/>
  <c r="R200" i="3" a="1"/>
  <c r="R200" i="3" s="1"/>
  <c r="R201" i="3" a="1"/>
  <c r="R201" i="3" s="1"/>
  <c r="R202" i="3" a="1"/>
  <c r="R202" i="3" s="1"/>
  <c r="R203" i="3" a="1"/>
  <c r="R203" i="3" s="1"/>
  <c r="R204" i="3" a="1"/>
  <c r="R204" i="3" s="1"/>
  <c r="R205" i="3" a="1"/>
  <c r="R205" i="3" s="1"/>
  <c r="R206" i="3" a="1"/>
  <c r="R206" i="3" s="1"/>
  <c r="R207" i="3" a="1"/>
  <c r="R207" i="3" s="1"/>
  <c r="R208" i="3" a="1"/>
  <c r="R208" i="3" s="1"/>
  <c r="R209" i="3" a="1"/>
  <c r="R209" i="3" s="1"/>
  <c r="R210" i="3" a="1"/>
  <c r="R210" i="3" s="1"/>
  <c r="R211" i="3" a="1"/>
  <c r="R211" i="3" s="1"/>
  <c r="R212" i="3" a="1"/>
  <c r="R212" i="3" s="1"/>
  <c r="R213" i="3" a="1"/>
  <c r="R213" i="3" s="1"/>
  <c r="R214" i="3" a="1"/>
  <c r="R214" i="3" s="1"/>
  <c r="R215" i="3" a="1"/>
  <c r="R215" i="3" s="1"/>
  <c r="R216" i="3" a="1"/>
  <c r="R216" i="3" s="1"/>
  <c r="R217" i="3" a="1"/>
  <c r="R217" i="3" s="1"/>
  <c r="R218" i="3" a="1"/>
  <c r="R218" i="3" s="1"/>
  <c r="R219" i="3" a="1"/>
  <c r="R219" i="3" s="1"/>
  <c r="R220" i="3" a="1"/>
  <c r="R220" i="3" s="1"/>
  <c r="R221" i="3" a="1"/>
  <c r="R221" i="3" s="1"/>
  <c r="R222" i="3" a="1"/>
  <c r="R222" i="3" s="1"/>
  <c r="R223" i="3" a="1"/>
  <c r="R223" i="3" s="1"/>
  <c r="R224" i="3" a="1"/>
  <c r="R224" i="3" s="1"/>
  <c r="R225" i="3" a="1"/>
  <c r="R225" i="3" s="1"/>
  <c r="R226" i="3" a="1"/>
  <c r="R226" i="3" s="1"/>
  <c r="R227" i="3" a="1"/>
  <c r="R227" i="3" s="1"/>
  <c r="R228" i="3" a="1"/>
  <c r="R228" i="3" s="1"/>
  <c r="R229" i="3" a="1"/>
  <c r="R229" i="3" s="1"/>
  <c r="R230" i="3" a="1"/>
  <c r="R230" i="3" s="1"/>
  <c r="R231" i="3" a="1"/>
  <c r="R231" i="3" s="1"/>
  <c r="R232" i="3" a="1"/>
  <c r="R232" i="3" s="1"/>
  <c r="R233" i="3" a="1"/>
  <c r="R233" i="3" s="1"/>
  <c r="R234" i="3" a="1"/>
  <c r="R234" i="3" s="1"/>
  <c r="R235" i="3" a="1"/>
  <c r="R235" i="3" s="1"/>
  <c r="R236" i="3" a="1"/>
  <c r="R236" i="3" s="1"/>
  <c r="R237" i="3" a="1"/>
  <c r="R237" i="3" s="1"/>
  <c r="R238" i="3" a="1"/>
  <c r="R238" i="3" s="1"/>
  <c r="R239" i="3" a="1"/>
  <c r="R239" i="3" s="1"/>
  <c r="R240" i="3" a="1"/>
  <c r="R240" i="3" s="1"/>
  <c r="R241" i="3" a="1"/>
  <c r="R241" i="3" s="1"/>
  <c r="R242" i="3" a="1"/>
  <c r="R242" i="3" s="1"/>
  <c r="R243" i="3" a="1"/>
  <c r="R243" i="3" s="1"/>
  <c r="R244" i="3" a="1"/>
  <c r="R244" i="3" s="1"/>
  <c r="R245" i="3" a="1"/>
  <c r="R245" i="3" s="1"/>
  <c r="R246" i="3" a="1"/>
  <c r="R246" i="3" s="1"/>
  <c r="R247" i="3" a="1"/>
  <c r="R247" i="3" s="1"/>
  <c r="R248" i="3" a="1"/>
  <c r="R248" i="3" s="1"/>
  <c r="R249" i="3" a="1"/>
  <c r="R249" i="3" s="1"/>
  <c r="R250" i="3" a="1"/>
  <c r="R250" i="3" s="1"/>
  <c r="R251" i="3" a="1"/>
  <c r="R251" i="3" s="1"/>
  <c r="R252" i="3" a="1"/>
  <c r="R252" i="3" s="1"/>
  <c r="R253" i="3" a="1"/>
  <c r="R253" i="3" s="1"/>
  <c r="R254" i="3" a="1"/>
  <c r="R254" i="3" s="1"/>
  <c r="R255" i="3" a="1"/>
  <c r="R255" i="3" s="1"/>
  <c r="R256" i="3" a="1"/>
  <c r="R256" i="3" s="1"/>
  <c r="R257" i="3" a="1"/>
  <c r="R257" i="3" s="1"/>
  <c r="R258" i="3" a="1"/>
  <c r="R258" i="3" s="1"/>
  <c r="R259" i="3" a="1"/>
  <c r="R259" i="3" s="1"/>
  <c r="R260" i="3" a="1"/>
  <c r="R260" i="3" s="1"/>
  <c r="R261" i="3" a="1"/>
  <c r="R261" i="3" s="1"/>
  <c r="R262" i="3" a="1"/>
  <c r="R262" i="3" s="1"/>
  <c r="R263" i="3" a="1"/>
  <c r="R263" i="3" s="1"/>
  <c r="R264" i="3" a="1"/>
  <c r="R264" i="3" s="1"/>
  <c r="R265" i="3" a="1"/>
  <c r="R265" i="3" s="1"/>
  <c r="R266" i="3" a="1"/>
  <c r="R266" i="3" s="1"/>
  <c r="R267" i="3" a="1"/>
  <c r="R267" i="3" s="1"/>
  <c r="R268" i="3" a="1"/>
  <c r="R268" i="3" s="1"/>
  <c r="R269" i="3" a="1"/>
  <c r="R269" i="3" s="1"/>
  <c r="R270" i="3" a="1"/>
  <c r="R270" i="3" s="1"/>
  <c r="R271" i="3" a="1"/>
  <c r="R271" i="3" s="1"/>
  <c r="R272" i="3" a="1"/>
  <c r="R272" i="3" s="1"/>
  <c r="R273" i="3" a="1"/>
  <c r="R273" i="3" s="1"/>
  <c r="R274" i="3" a="1"/>
  <c r="R274" i="3" s="1"/>
  <c r="R275" i="3" a="1"/>
  <c r="R275" i="3" s="1"/>
  <c r="R276" i="3" a="1"/>
  <c r="R276" i="3" s="1"/>
  <c r="R277" i="3" a="1"/>
  <c r="R277" i="3" s="1"/>
  <c r="R278" i="3" a="1"/>
  <c r="R278" i="3" s="1"/>
  <c r="R279" i="3" a="1"/>
  <c r="R279" i="3" s="1"/>
  <c r="R280" i="3" a="1"/>
  <c r="R280" i="3" s="1"/>
  <c r="R281" i="3" a="1"/>
  <c r="R281" i="3" s="1"/>
  <c r="R282" i="3" a="1"/>
  <c r="R282" i="3" s="1"/>
  <c r="R283" i="3" a="1"/>
  <c r="R283" i="3" s="1"/>
  <c r="R284" i="3" a="1"/>
  <c r="R284" i="3" s="1"/>
  <c r="R285" i="3" a="1"/>
  <c r="R285" i="3" s="1"/>
  <c r="R286" i="3" a="1"/>
  <c r="R286" i="3" s="1"/>
  <c r="R287" i="3" a="1"/>
  <c r="R287" i="3" s="1"/>
  <c r="R288" i="3" a="1"/>
  <c r="R288" i="3" s="1"/>
  <c r="R289" i="3" a="1"/>
  <c r="R289" i="3" s="1"/>
  <c r="R290" i="3" a="1"/>
  <c r="R290" i="3" s="1"/>
  <c r="R291" i="3" a="1"/>
  <c r="R291" i="3" s="1"/>
  <c r="R292" i="3" a="1"/>
  <c r="R292" i="3" s="1"/>
  <c r="R293" i="3" a="1"/>
  <c r="R293" i="3" s="1"/>
  <c r="R294" i="3" a="1"/>
  <c r="R294" i="3" s="1"/>
  <c r="R295" i="3" a="1"/>
  <c r="R295" i="3" s="1"/>
  <c r="R296" i="3" a="1"/>
  <c r="R296" i="3" s="1"/>
  <c r="R297" i="3" a="1"/>
  <c r="R297" i="3" s="1"/>
  <c r="R298" i="3" a="1"/>
  <c r="R298" i="3" s="1"/>
  <c r="R299" i="3" a="1"/>
  <c r="R299" i="3" s="1"/>
  <c r="R300" i="3" a="1"/>
  <c r="R300" i="3" s="1"/>
  <c r="R301" i="3" a="1"/>
  <c r="R301" i="3" s="1"/>
  <c r="R302" i="3" a="1"/>
  <c r="R302" i="3" s="1"/>
  <c r="R303" i="3" a="1"/>
  <c r="R303" i="3" s="1"/>
  <c r="R304" i="3" a="1"/>
  <c r="R304" i="3" s="1"/>
  <c r="R305" i="3" a="1"/>
  <c r="R305" i="3" s="1"/>
  <c r="R306" i="3" a="1"/>
  <c r="R306" i="3" s="1"/>
  <c r="R307" i="3" a="1"/>
  <c r="R307" i="3" s="1"/>
  <c r="R308" i="3" a="1"/>
  <c r="R308" i="3" s="1"/>
  <c r="R309" i="3" a="1"/>
  <c r="R309" i="3" s="1"/>
  <c r="R310" i="3" a="1"/>
  <c r="R310" i="3" s="1"/>
  <c r="R311" i="3" a="1"/>
  <c r="R311" i="3" s="1"/>
  <c r="R312" i="3" a="1"/>
  <c r="R312" i="3" s="1"/>
  <c r="R313" i="3" a="1"/>
  <c r="R313" i="3" s="1"/>
  <c r="R314" i="3" a="1"/>
  <c r="R314" i="3" s="1"/>
  <c r="R315" i="3" a="1"/>
  <c r="R315" i="3" s="1"/>
  <c r="R316" i="3" a="1"/>
  <c r="R316" i="3" s="1"/>
  <c r="R317" i="3" a="1"/>
  <c r="R317" i="3" s="1"/>
  <c r="R318" i="3" a="1"/>
  <c r="R318" i="3" s="1"/>
  <c r="R319" i="3" a="1"/>
  <c r="R319" i="3" s="1"/>
  <c r="R320" i="3" a="1"/>
  <c r="R320" i="3" s="1"/>
  <c r="R321" i="3" a="1"/>
  <c r="R321" i="3" s="1"/>
  <c r="R322" i="3" a="1"/>
  <c r="R322" i="3" s="1"/>
  <c r="R323" i="3" a="1"/>
  <c r="R323" i="3" s="1"/>
  <c r="R324" i="3" a="1"/>
  <c r="R324" i="3" s="1"/>
  <c r="R325" i="3" a="1"/>
  <c r="R325" i="3" s="1"/>
  <c r="R326" i="3" a="1"/>
  <c r="R326" i="3" s="1"/>
  <c r="R327" i="3" a="1"/>
  <c r="R327" i="3" s="1"/>
  <c r="R328" i="3" a="1"/>
  <c r="R328" i="3" s="1"/>
  <c r="R329" i="3" a="1"/>
  <c r="R329" i="3" s="1"/>
  <c r="R330" i="3" a="1"/>
  <c r="R330" i="3" s="1"/>
  <c r="R331" i="3" a="1"/>
  <c r="R331" i="3" s="1"/>
  <c r="R332" i="3" a="1"/>
  <c r="R332" i="3" s="1"/>
  <c r="R333" i="3" a="1"/>
  <c r="R333" i="3" s="1"/>
  <c r="R334" i="3" a="1"/>
  <c r="R334" i="3" s="1"/>
  <c r="R335" i="3" a="1"/>
  <c r="R335" i="3" s="1"/>
  <c r="R336" i="3" a="1"/>
  <c r="R336" i="3" s="1"/>
  <c r="R337" i="3" a="1"/>
  <c r="R337" i="3" s="1"/>
  <c r="R338" i="3" a="1"/>
  <c r="R338" i="3" s="1"/>
  <c r="R339" i="3" a="1"/>
  <c r="R339" i="3" s="1"/>
  <c r="R340" i="3" a="1"/>
  <c r="R340" i="3" s="1"/>
  <c r="R341" i="3" a="1"/>
  <c r="R341" i="3" s="1"/>
  <c r="R342" i="3" a="1"/>
  <c r="R342" i="3" s="1"/>
  <c r="R343" i="3" a="1"/>
  <c r="R343" i="3" s="1"/>
  <c r="R344" i="3" a="1"/>
  <c r="R344" i="3" s="1"/>
  <c r="R345" i="3" a="1"/>
  <c r="R345" i="3" s="1"/>
  <c r="R346" i="3" a="1"/>
  <c r="R346" i="3" s="1"/>
  <c r="R347" i="3" a="1"/>
  <c r="R347" i="3" s="1"/>
  <c r="R348" i="3" a="1"/>
  <c r="R348" i="3" s="1"/>
  <c r="R349" i="3" a="1"/>
  <c r="R349" i="3" s="1"/>
  <c r="R350" i="3" a="1"/>
  <c r="R350" i="3" s="1"/>
  <c r="R351" i="3" a="1"/>
  <c r="R351" i="3" s="1"/>
  <c r="R352" i="3" a="1"/>
  <c r="R352" i="3" s="1"/>
  <c r="R353" i="3" a="1"/>
  <c r="R353" i="3" s="1"/>
  <c r="R354" i="3" a="1"/>
  <c r="R354" i="3" s="1"/>
  <c r="R355" i="3" a="1"/>
  <c r="R355" i="3" s="1"/>
  <c r="R356" i="3" a="1"/>
  <c r="R356" i="3" s="1"/>
  <c r="R357" i="3" a="1"/>
  <c r="R357" i="3" s="1"/>
  <c r="R358" i="3" a="1"/>
  <c r="R358" i="3" s="1"/>
  <c r="R359" i="3" a="1"/>
  <c r="R359" i="3" s="1"/>
  <c r="R360" i="3" a="1"/>
  <c r="R360" i="3" s="1"/>
  <c r="R361" i="3" a="1"/>
  <c r="R361" i="3" s="1"/>
  <c r="R362" i="3" a="1"/>
  <c r="R362" i="3" s="1"/>
  <c r="R363" i="3" a="1"/>
  <c r="R363" i="3" s="1"/>
  <c r="R364" i="3" a="1"/>
  <c r="R364" i="3" s="1"/>
  <c r="R365" i="3" a="1"/>
  <c r="R365" i="3" s="1"/>
  <c r="R366" i="3" a="1"/>
  <c r="R366" i="3" s="1"/>
  <c r="R367" i="3" a="1"/>
  <c r="R367" i="3" s="1"/>
  <c r="R368" i="3" a="1"/>
  <c r="R368" i="3" s="1"/>
  <c r="R369" i="3" a="1"/>
  <c r="R369" i="3" s="1"/>
  <c r="R370" i="3" a="1"/>
  <c r="R370" i="3" s="1"/>
  <c r="R371" i="3" a="1"/>
  <c r="R371" i="3" s="1"/>
  <c r="R372" i="3" a="1"/>
  <c r="R372" i="3" s="1"/>
  <c r="R373" i="3" a="1"/>
  <c r="R373" i="3" s="1"/>
  <c r="R374" i="3" a="1"/>
  <c r="R374" i="3" s="1"/>
  <c r="R375" i="3" a="1"/>
  <c r="R375" i="3" s="1"/>
  <c r="R376" i="3" a="1"/>
  <c r="R376" i="3" s="1"/>
  <c r="R377" i="3" a="1"/>
  <c r="R377" i="3" s="1"/>
  <c r="R378" i="3" a="1"/>
  <c r="R378" i="3" s="1"/>
  <c r="R379" i="3" a="1"/>
  <c r="R379" i="3" s="1"/>
  <c r="R380" i="3" a="1"/>
  <c r="R380" i="3" s="1"/>
  <c r="R381" i="3" a="1"/>
  <c r="R381" i="3" s="1"/>
  <c r="R382" i="3" a="1"/>
  <c r="R382" i="3" s="1"/>
  <c r="R383" i="3" a="1"/>
  <c r="R383" i="3" s="1"/>
  <c r="R384" i="3" a="1"/>
  <c r="R384" i="3" s="1"/>
  <c r="R385" i="3" a="1"/>
  <c r="R385" i="3" s="1"/>
  <c r="R386" i="3" a="1"/>
  <c r="R386" i="3" s="1"/>
  <c r="R387" i="3" a="1"/>
  <c r="R387" i="3" s="1"/>
  <c r="R388" i="3" a="1"/>
  <c r="R388" i="3" s="1"/>
  <c r="R389" i="3" a="1"/>
  <c r="R389" i="3" s="1"/>
  <c r="R390" i="3" a="1"/>
  <c r="R390" i="3" s="1"/>
  <c r="R391" i="3" a="1"/>
  <c r="R391" i="3" s="1"/>
  <c r="R392" i="3" a="1"/>
  <c r="R392" i="3" s="1"/>
  <c r="R393" i="3" a="1"/>
  <c r="R393" i="3" s="1"/>
  <c r="R394" i="3" a="1"/>
  <c r="R394" i="3" s="1"/>
  <c r="R395" i="3" a="1"/>
  <c r="R395" i="3" s="1"/>
  <c r="R396" i="3" a="1"/>
  <c r="R396" i="3" s="1"/>
  <c r="R397" i="3" a="1"/>
  <c r="R397" i="3" s="1"/>
  <c r="R398" i="3" a="1"/>
  <c r="R398" i="3" s="1"/>
  <c r="R399" i="3" a="1"/>
  <c r="R399" i="3" s="1"/>
  <c r="R400" i="3" a="1"/>
  <c r="R400" i="3" s="1"/>
  <c r="R401" i="3" a="1"/>
  <c r="R401" i="3" s="1"/>
  <c r="R402" i="3" a="1"/>
  <c r="R402" i="3" s="1"/>
  <c r="R403" i="3" a="1"/>
  <c r="R403" i="3" s="1"/>
  <c r="R404" i="3" a="1"/>
  <c r="R404" i="3" s="1"/>
  <c r="R405" i="3" a="1"/>
  <c r="R405" i="3" s="1"/>
  <c r="R406" i="3" a="1"/>
  <c r="R406" i="3" s="1"/>
  <c r="R407" i="3" a="1"/>
  <c r="R407" i="3" s="1"/>
  <c r="R408" i="3" a="1"/>
  <c r="R408" i="3" s="1"/>
  <c r="R409" i="3" a="1"/>
  <c r="R409" i="3" s="1"/>
  <c r="R410" i="3" a="1"/>
  <c r="R410" i="3" s="1"/>
  <c r="R411" i="3" a="1"/>
  <c r="R411" i="3" s="1"/>
  <c r="R412" i="3" a="1"/>
  <c r="R412" i="3" s="1"/>
  <c r="R413" i="3" a="1"/>
  <c r="R413" i="3" s="1"/>
  <c r="R414" i="3" a="1"/>
  <c r="R414" i="3" s="1"/>
  <c r="R415" i="3" a="1"/>
  <c r="R415" i="3" s="1"/>
  <c r="R416" i="3" a="1"/>
  <c r="R416" i="3" s="1"/>
  <c r="R417" i="3" a="1"/>
  <c r="R417" i="3" s="1"/>
  <c r="R418" i="3" a="1"/>
  <c r="R418" i="3" s="1"/>
  <c r="R419" i="3" a="1"/>
  <c r="R419" i="3" s="1"/>
  <c r="R420" i="3" a="1"/>
  <c r="R420" i="3" s="1"/>
  <c r="R421" i="3" a="1"/>
  <c r="R421" i="3" s="1"/>
  <c r="R422" i="3" a="1"/>
  <c r="R422" i="3" s="1"/>
  <c r="R423" i="3" a="1"/>
  <c r="R423" i="3" s="1"/>
  <c r="R424" i="3" a="1"/>
  <c r="R424" i="3" s="1"/>
  <c r="R425" i="3" a="1"/>
  <c r="R425" i="3" s="1"/>
  <c r="R426" i="3" a="1"/>
  <c r="R426" i="3" s="1"/>
  <c r="R427" i="3" a="1"/>
  <c r="R427" i="3" s="1"/>
  <c r="R428" i="3" a="1"/>
  <c r="R428" i="3" s="1"/>
  <c r="R429" i="3" a="1"/>
  <c r="R429" i="3" s="1"/>
  <c r="R430" i="3" a="1"/>
  <c r="R430" i="3" s="1"/>
  <c r="R431" i="3" a="1"/>
  <c r="R431" i="3" s="1"/>
  <c r="R432" i="3" a="1"/>
  <c r="R432" i="3" s="1"/>
  <c r="R433" i="3" a="1"/>
  <c r="R433" i="3" s="1"/>
  <c r="R434" i="3" a="1"/>
  <c r="R434" i="3" s="1"/>
  <c r="R435" i="3" a="1"/>
  <c r="R435" i="3" s="1"/>
  <c r="R436" i="3" a="1"/>
  <c r="R436" i="3" s="1"/>
  <c r="R437" i="3" a="1"/>
  <c r="R437" i="3" s="1"/>
  <c r="R438" i="3" a="1"/>
  <c r="R438" i="3" s="1"/>
  <c r="R439" i="3" a="1"/>
  <c r="R439" i="3" s="1"/>
  <c r="R440" i="3" a="1"/>
  <c r="R440" i="3" s="1"/>
  <c r="R441" i="3" a="1"/>
  <c r="R441" i="3" s="1"/>
  <c r="R442" i="3" a="1"/>
  <c r="R442" i="3" s="1"/>
  <c r="R443" i="3" a="1"/>
  <c r="R443" i="3" s="1"/>
  <c r="R444" i="3" a="1"/>
  <c r="R444" i="3" s="1"/>
  <c r="R445" i="3" a="1"/>
  <c r="R445" i="3" s="1"/>
  <c r="R446" i="3" a="1"/>
  <c r="R446" i="3" s="1"/>
  <c r="R447" i="3" a="1"/>
  <c r="R447" i="3" s="1"/>
  <c r="R448" i="3" a="1"/>
  <c r="R448" i="3" s="1"/>
  <c r="R449" i="3" a="1"/>
  <c r="R449" i="3" s="1"/>
  <c r="R450" i="3" a="1"/>
  <c r="R450" i="3" s="1"/>
  <c r="R451" i="3" a="1"/>
  <c r="R451" i="3" s="1"/>
  <c r="R452" i="3" a="1"/>
  <c r="R452" i="3" s="1"/>
  <c r="R453" i="3" a="1"/>
  <c r="R453" i="3" s="1"/>
  <c r="R454" i="3" a="1"/>
  <c r="R454" i="3" s="1"/>
  <c r="R455" i="3" a="1"/>
  <c r="R455" i="3" s="1"/>
  <c r="R456" i="3" a="1"/>
  <c r="R456" i="3" s="1"/>
  <c r="R457" i="3" a="1"/>
  <c r="R457" i="3" s="1"/>
  <c r="R458" i="3" a="1"/>
  <c r="R458" i="3" s="1"/>
  <c r="R459" i="3" a="1"/>
  <c r="R459" i="3" s="1"/>
  <c r="R460" i="3" a="1"/>
  <c r="R460" i="3" s="1"/>
  <c r="R461" i="3" a="1"/>
  <c r="R461" i="3" s="1"/>
  <c r="R462" i="3" a="1"/>
  <c r="R462" i="3" s="1"/>
  <c r="R463" i="3" a="1"/>
  <c r="R463" i="3" s="1"/>
  <c r="R464" i="3" a="1"/>
  <c r="R464" i="3" s="1"/>
  <c r="R465" i="3" a="1"/>
  <c r="R465" i="3" s="1"/>
  <c r="R466" i="3" a="1"/>
  <c r="R466" i="3" s="1"/>
  <c r="R467" i="3" a="1"/>
  <c r="R467" i="3" s="1"/>
  <c r="R468" i="3" a="1"/>
  <c r="R468" i="3" s="1"/>
  <c r="R469" i="3" a="1"/>
  <c r="R469" i="3" s="1"/>
  <c r="R470" i="3" a="1"/>
  <c r="R470" i="3" s="1"/>
  <c r="R471" i="3" a="1"/>
  <c r="R471" i="3" s="1"/>
  <c r="R472" i="3" a="1"/>
  <c r="R472" i="3" s="1"/>
  <c r="R473" i="3" a="1"/>
  <c r="R473" i="3" s="1"/>
  <c r="R474" i="3" a="1"/>
  <c r="R474" i="3" s="1"/>
  <c r="R475" i="3" a="1"/>
  <c r="R475" i="3" s="1"/>
  <c r="R476" i="3" a="1"/>
  <c r="R476" i="3" s="1"/>
  <c r="R477" i="3" a="1"/>
  <c r="R477" i="3" s="1"/>
  <c r="R478" i="3" a="1"/>
  <c r="R478" i="3" s="1"/>
  <c r="R479" i="3" a="1"/>
  <c r="R479" i="3" s="1"/>
  <c r="R480" i="3" a="1"/>
  <c r="R480" i="3" s="1"/>
  <c r="R481" i="3" a="1"/>
  <c r="R481" i="3" s="1"/>
  <c r="R482" i="3" a="1"/>
  <c r="R482" i="3" s="1"/>
  <c r="R483" i="3" a="1"/>
  <c r="R483" i="3" s="1"/>
  <c r="R484" i="3" a="1"/>
  <c r="R484" i="3" s="1"/>
  <c r="R485" i="3" a="1"/>
  <c r="R485" i="3" s="1"/>
  <c r="R486" i="3" a="1"/>
  <c r="R486" i="3" s="1"/>
  <c r="R487" i="3" a="1"/>
  <c r="R487" i="3" s="1"/>
  <c r="R488" i="3" a="1"/>
  <c r="R488" i="3" s="1"/>
  <c r="R489" i="3" a="1"/>
  <c r="R489" i="3" s="1"/>
  <c r="R490" i="3" a="1"/>
  <c r="R490" i="3" s="1"/>
  <c r="R491" i="3" a="1"/>
  <c r="R491" i="3" s="1"/>
  <c r="R492" i="3" a="1"/>
  <c r="R492" i="3" s="1"/>
  <c r="R493" i="3" a="1"/>
  <c r="R493" i="3" s="1"/>
  <c r="R494" i="3" a="1"/>
  <c r="R494" i="3" s="1"/>
  <c r="R495" i="3" a="1"/>
  <c r="R495" i="3" s="1"/>
  <c r="R496" i="3" a="1"/>
  <c r="R496" i="3" s="1"/>
  <c r="R497" i="3" a="1"/>
  <c r="R497" i="3" s="1"/>
  <c r="R498" i="3" a="1"/>
  <c r="R498" i="3" s="1"/>
  <c r="R499" i="3" a="1"/>
  <c r="R499" i="3" s="1"/>
  <c r="R500" i="3" a="1"/>
  <c r="R500" i="3" s="1"/>
  <c r="R501" i="3" a="1"/>
  <c r="R501" i="3" s="1"/>
  <c r="R502" i="3" a="1"/>
  <c r="R502" i="3" s="1"/>
  <c r="R503" i="3" a="1"/>
  <c r="R503" i="3" s="1"/>
  <c r="R504" i="3" a="1"/>
  <c r="R504" i="3" s="1"/>
  <c r="R505" i="3" a="1"/>
  <c r="R505" i="3" s="1"/>
  <c r="R506" i="3" a="1"/>
  <c r="R506" i="3" s="1"/>
  <c r="R507" i="3" a="1"/>
  <c r="R507" i="3" s="1"/>
  <c r="R508" i="3" a="1"/>
  <c r="R508" i="3" s="1"/>
  <c r="R509" i="3" a="1"/>
  <c r="R509" i="3" s="1"/>
  <c r="R510" i="3" a="1"/>
  <c r="R510" i="3" s="1"/>
  <c r="R511" i="3" a="1"/>
  <c r="R511" i="3" s="1"/>
  <c r="R512" i="3" a="1"/>
  <c r="R512" i="3" s="1"/>
  <c r="R513" i="3" a="1"/>
  <c r="R513" i="3" s="1"/>
  <c r="R514" i="3" a="1"/>
  <c r="R514" i="3" s="1"/>
  <c r="R515" i="3" a="1"/>
  <c r="R515" i="3" s="1"/>
  <c r="R516" i="3" a="1"/>
  <c r="R516" i="3" s="1"/>
  <c r="R517" i="3" a="1"/>
  <c r="R517" i="3" s="1"/>
  <c r="R518" i="3" a="1"/>
  <c r="R518" i="3" s="1"/>
  <c r="R519" i="3" a="1"/>
  <c r="R519" i="3" s="1"/>
  <c r="R520" i="3" a="1"/>
  <c r="R520" i="3" s="1"/>
  <c r="R521" i="3" a="1"/>
  <c r="R521" i="3" s="1"/>
  <c r="R522" i="3" a="1"/>
  <c r="R522" i="3" s="1"/>
  <c r="R523" i="3" a="1"/>
  <c r="R523" i="3" s="1"/>
  <c r="R524" i="3" a="1"/>
  <c r="R524" i="3" s="1"/>
  <c r="R525" i="3" a="1"/>
  <c r="R525" i="3" s="1"/>
  <c r="R526" i="3" a="1"/>
  <c r="R526" i="3" s="1"/>
  <c r="R527" i="3" a="1"/>
  <c r="R527" i="3" s="1"/>
  <c r="R528" i="3" a="1"/>
  <c r="R528" i="3" s="1"/>
  <c r="R529" i="3" a="1"/>
  <c r="R529" i="3" s="1"/>
  <c r="R530" i="3" a="1"/>
  <c r="R530" i="3" s="1"/>
  <c r="R531" i="3" a="1"/>
  <c r="R531" i="3" s="1"/>
  <c r="R532" i="3" a="1"/>
  <c r="R532" i="3" s="1"/>
  <c r="R533" i="3" a="1"/>
  <c r="R533" i="3" s="1"/>
  <c r="R534" i="3" a="1"/>
  <c r="R534" i="3" s="1"/>
  <c r="R535" i="3" a="1"/>
  <c r="R535" i="3" s="1"/>
  <c r="R536" i="3" a="1"/>
  <c r="R536" i="3" s="1"/>
  <c r="R537" i="3" a="1"/>
  <c r="R537" i="3" s="1"/>
  <c r="R538" i="3" a="1"/>
  <c r="R538" i="3" s="1"/>
  <c r="R539" i="3" a="1"/>
  <c r="R539" i="3" s="1"/>
  <c r="R540" i="3" a="1"/>
  <c r="R540" i="3" s="1"/>
  <c r="R541" i="3" a="1"/>
  <c r="R541" i="3" s="1"/>
  <c r="R542" i="3" a="1"/>
  <c r="R542" i="3" s="1"/>
  <c r="R543" i="3" a="1"/>
  <c r="R543" i="3" s="1"/>
  <c r="R544" i="3" a="1"/>
  <c r="R544" i="3" s="1"/>
  <c r="R545" i="3" a="1"/>
  <c r="R545" i="3" s="1"/>
  <c r="R546" i="3" a="1"/>
  <c r="R546" i="3" s="1"/>
  <c r="R547" i="3" a="1"/>
  <c r="R547" i="3" s="1"/>
  <c r="R548" i="3" a="1"/>
  <c r="R548" i="3" s="1"/>
  <c r="R549" i="3" a="1"/>
  <c r="R549" i="3" s="1"/>
  <c r="R550" i="3" a="1"/>
  <c r="R550" i="3" s="1"/>
  <c r="R551" i="3" a="1"/>
  <c r="R551" i="3" s="1"/>
  <c r="R552" i="3" a="1"/>
  <c r="R552" i="3" s="1"/>
  <c r="R553" i="3" a="1"/>
  <c r="R553" i="3" s="1"/>
  <c r="R554" i="3" a="1"/>
  <c r="R554" i="3" s="1"/>
  <c r="R555" i="3" a="1"/>
  <c r="R555" i="3" s="1"/>
  <c r="R556" i="3" a="1"/>
  <c r="R556" i="3" s="1"/>
  <c r="R557" i="3" a="1"/>
  <c r="R557" i="3" s="1"/>
  <c r="R558" i="3" a="1"/>
  <c r="R558" i="3" s="1"/>
  <c r="R559" i="3" a="1"/>
  <c r="R559" i="3" s="1"/>
  <c r="R560" i="3" a="1"/>
  <c r="R560" i="3" s="1"/>
  <c r="R561" i="3" a="1"/>
  <c r="R561" i="3" s="1"/>
  <c r="R562" i="3" a="1"/>
  <c r="R562" i="3" s="1"/>
  <c r="R563" i="3" a="1"/>
  <c r="R563" i="3" s="1"/>
  <c r="R564" i="3" a="1"/>
  <c r="R564" i="3" s="1"/>
  <c r="R565" i="3" a="1"/>
  <c r="R565" i="3" s="1"/>
  <c r="R566" i="3" a="1"/>
  <c r="R566" i="3" s="1"/>
  <c r="R567" i="3" a="1"/>
  <c r="R567" i="3" s="1"/>
  <c r="R568" i="3" a="1"/>
  <c r="R568" i="3" s="1"/>
  <c r="R569" i="3" a="1"/>
  <c r="R569" i="3" s="1"/>
  <c r="R570" i="3" a="1"/>
  <c r="R570" i="3" s="1"/>
  <c r="R571" i="3" a="1"/>
  <c r="R571" i="3" s="1"/>
  <c r="R572" i="3" a="1"/>
  <c r="R572" i="3" s="1"/>
  <c r="R573" i="3" a="1"/>
  <c r="R573" i="3" s="1"/>
  <c r="R574" i="3" a="1"/>
  <c r="R574" i="3" s="1"/>
  <c r="R575" i="3" a="1"/>
  <c r="R575" i="3" s="1"/>
  <c r="R576" i="3" a="1"/>
  <c r="R576" i="3" s="1"/>
  <c r="R577" i="3" a="1"/>
  <c r="R577" i="3" s="1"/>
  <c r="R578" i="3" a="1"/>
  <c r="R578" i="3" s="1"/>
  <c r="R579" i="3" a="1"/>
  <c r="R579" i="3" s="1"/>
  <c r="R2" i="3" a="1"/>
  <c r="R2" i="3" s="1"/>
  <c r="C573" i="3" a="1"/>
  <c r="C573" i="3" s="1"/>
  <c r="C566" i="3" a="1"/>
  <c r="C566" i="3" s="1"/>
  <c r="C558" i="3" a="1"/>
  <c r="C558" i="3" s="1"/>
  <c r="C528" i="3" a="1"/>
  <c r="C528" i="3" s="1"/>
  <c r="C529" i="3" a="1"/>
  <c r="C529" i="3" s="1"/>
  <c r="C530" i="3" a="1"/>
  <c r="C530" i="3" s="1"/>
  <c r="C531" i="3" a="1"/>
  <c r="C531" i="3" s="1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J164" i="3" a="1"/>
  <c r="J164" i="3" s="1"/>
  <c r="J579" i="3" a="1"/>
  <c r="J579" i="3" s="1"/>
  <c r="J578" i="3" a="1"/>
  <c r="J578" i="3" s="1"/>
  <c r="J577" i="3" a="1"/>
  <c r="J577" i="3" s="1"/>
  <c r="J576" i="3" a="1"/>
  <c r="J576" i="3" s="1"/>
  <c r="J575" i="3" a="1"/>
  <c r="J575" i="3" s="1"/>
  <c r="J574" i="3" a="1"/>
  <c r="J574" i="3" s="1"/>
  <c r="J573" i="3" a="1"/>
  <c r="J573" i="3" s="1"/>
  <c r="J572" i="3" a="1"/>
  <c r="J572" i="3" s="1"/>
  <c r="J571" i="3" a="1"/>
  <c r="J571" i="3" s="1"/>
  <c r="J570" i="3" a="1"/>
  <c r="J570" i="3" s="1"/>
  <c r="J569" i="3" a="1"/>
  <c r="J569" i="3" s="1"/>
  <c r="J568" i="3" a="1"/>
  <c r="J568" i="3" s="1"/>
  <c r="J567" i="3" a="1"/>
  <c r="J567" i="3" s="1"/>
  <c r="J566" i="3" a="1"/>
  <c r="J566" i="3" s="1"/>
  <c r="J565" i="3" a="1"/>
  <c r="J565" i="3" s="1"/>
  <c r="J564" i="3" a="1"/>
  <c r="J564" i="3" s="1"/>
  <c r="J563" i="3" a="1"/>
  <c r="J563" i="3" s="1"/>
  <c r="J562" i="3" a="1"/>
  <c r="J562" i="3" s="1"/>
  <c r="J561" i="3" a="1"/>
  <c r="J561" i="3" s="1"/>
  <c r="J560" i="3" a="1"/>
  <c r="J560" i="3" s="1"/>
  <c r="J559" i="3" a="1"/>
  <c r="J559" i="3" s="1"/>
  <c r="J558" i="3" a="1"/>
  <c r="J558" i="3" s="1"/>
  <c r="J557" i="3" a="1"/>
  <c r="J557" i="3" s="1"/>
  <c r="J556" i="3" a="1"/>
  <c r="J556" i="3" s="1"/>
  <c r="J555" i="3" a="1"/>
  <c r="J555" i="3" s="1"/>
  <c r="J554" i="3" a="1"/>
  <c r="J554" i="3" s="1"/>
  <c r="J553" i="3" a="1"/>
  <c r="J553" i="3" s="1"/>
  <c r="J552" i="3" a="1"/>
  <c r="J552" i="3" s="1"/>
  <c r="J551" i="3" a="1"/>
  <c r="J551" i="3" s="1"/>
  <c r="J550" i="3" a="1"/>
  <c r="J550" i="3" s="1"/>
  <c r="J549" i="3" a="1"/>
  <c r="J549" i="3" s="1"/>
  <c r="J548" i="3" a="1"/>
  <c r="J548" i="3" s="1"/>
  <c r="J547" i="3" a="1"/>
  <c r="J547" i="3" s="1"/>
  <c r="J546" i="3" a="1"/>
  <c r="J546" i="3" s="1"/>
  <c r="J545" i="3" a="1"/>
  <c r="J545" i="3" s="1"/>
  <c r="J544" i="3" a="1"/>
  <c r="J544" i="3" s="1"/>
  <c r="J543" i="3" a="1"/>
  <c r="J543" i="3" s="1"/>
  <c r="J542" i="3" a="1"/>
  <c r="J542" i="3" s="1"/>
  <c r="J541" i="3" a="1"/>
  <c r="J541" i="3" s="1"/>
  <c r="J540" i="3" a="1"/>
  <c r="J540" i="3" s="1"/>
  <c r="J539" i="3" a="1"/>
  <c r="J539" i="3" s="1"/>
  <c r="J538" i="3" a="1"/>
  <c r="J538" i="3" s="1"/>
  <c r="J537" i="3" a="1"/>
  <c r="J537" i="3" s="1"/>
  <c r="J536" i="3" a="1"/>
  <c r="J536" i="3" s="1"/>
  <c r="J535" i="3" a="1"/>
  <c r="J535" i="3" s="1"/>
  <c r="J534" i="3" a="1"/>
  <c r="J534" i="3" s="1"/>
  <c r="J533" i="3" a="1"/>
  <c r="J533" i="3" s="1"/>
  <c r="J532" i="3" a="1"/>
  <c r="J532" i="3" s="1"/>
  <c r="J531" i="3" a="1"/>
  <c r="J531" i="3" s="1"/>
  <c r="J530" i="3" a="1"/>
  <c r="J530" i="3" s="1"/>
  <c r="J529" i="3" a="1"/>
  <c r="J529" i="3" s="1"/>
  <c r="J528" i="3" a="1"/>
  <c r="J528" i="3" s="1"/>
  <c r="J527" i="3" a="1"/>
  <c r="J527" i="3" s="1"/>
  <c r="J526" i="3" a="1"/>
  <c r="J526" i="3" s="1"/>
  <c r="J525" i="3" a="1"/>
  <c r="J525" i="3" s="1"/>
  <c r="J524" i="3" a="1"/>
  <c r="J524" i="3" s="1"/>
  <c r="J523" i="3" a="1"/>
  <c r="J523" i="3" s="1"/>
  <c r="J522" i="3" a="1"/>
  <c r="J522" i="3" s="1"/>
  <c r="J521" i="3" a="1"/>
  <c r="J521" i="3" s="1"/>
  <c r="J520" i="3" a="1"/>
  <c r="J520" i="3" s="1"/>
  <c r="J519" i="3" a="1"/>
  <c r="J519" i="3" s="1"/>
  <c r="J518" i="3" a="1"/>
  <c r="J518" i="3" s="1"/>
  <c r="J517" i="3" a="1"/>
  <c r="J517" i="3" s="1"/>
  <c r="J516" i="3" a="1"/>
  <c r="J516" i="3" s="1"/>
  <c r="J515" i="3" a="1"/>
  <c r="J515" i="3" s="1"/>
  <c r="J514" i="3" a="1"/>
  <c r="J514" i="3" s="1"/>
  <c r="J513" i="3" a="1"/>
  <c r="J513" i="3" s="1"/>
  <c r="J512" i="3" a="1"/>
  <c r="J512" i="3" s="1"/>
  <c r="J511" i="3" a="1"/>
  <c r="J511" i="3" s="1"/>
  <c r="J510" i="3" a="1"/>
  <c r="J510" i="3" s="1"/>
  <c r="J509" i="3" a="1"/>
  <c r="J509" i="3" s="1"/>
  <c r="J508" i="3" a="1"/>
  <c r="J508" i="3" s="1"/>
  <c r="J507" i="3" a="1"/>
  <c r="J507" i="3" s="1"/>
  <c r="J506" i="3" a="1"/>
  <c r="J506" i="3" s="1"/>
  <c r="J505" i="3" a="1"/>
  <c r="J505" i="3" s="1"/>
  <c r="J504" i="3" a="1"/>
  <c r="J504" i="3" s="1"/>
  <c r="J503" i="3" a="1"/>
  <c r="J503" i="3" s="1"/>
  <c r="J502" i="3" a="1"/>
  <c r="J502" i="3" s="1"/>
  <c r="J501" i="3" a="1"/>
  <c r="J501" i="3" s="1"/>
  <c r="J500" i="3" a="1"/>
  <c r="J500" i="3" s="1"/>
  <c r="J499" i="3" a="1"/>
  <c r="J499" i="3" s="1"/>
  <c r="J498" i="3" a="1"/>
  <c r="J498" i="3" s="1"/>
  <c r="J497" i="3" a="1"/>
  <c r="J497" i="3" s="1"/>
  <c r="J496" i="3" a="1"/>
  <c r="J496" i="3" s="1"/>
  <c r="J495" i="3" a="1"/>
  <c r="J495" i="3" s="1"/>
  <c r="J494" i="3" a="1"/>
  <c r="J494" i="3" s="1"/>
  <c r="J493" i="3" a="1"/>
  <c r="J493" i="3" s="1"/>
  <c r="J492" i="3" a="1"/>
  <c r="J492" i="3" s="1"/>
  <c r="J491" i="3" a="1"/>
  <c r="J491" i="3" s="1"/>
  <c r="J490" i="3" a="1"/>
  <c r="J490" i="3" s="1"/>
  <c r="J489" i="3" a="1"/>
  <c r="J489" i="3" s="1"/>
  <c r="J488" i="3" a="1"/>
  <c r="J488" i="3" s="1"/>
  <c r="J487" i="3" a="1"/>
  <c r="J487" i="3" s="1"/>
  <c r="J486" i="3" a="1"/>
  <c r="J486" i="3" s="1"/>
  <c r="J485" i="3" a="1"/>
  <c r="J485" i="3" s="1"/>
  <c r="J484" i="3" a="1"/>
  <c r="J484" i="3" s="1"/>
  <c r="J483" i="3" a="1"/>
  <c r="J483" i="3" s="1"/>
  <c r="J482" i="3" a="1"/>
  <c r="J482" i="3" s="1"/>
  <c r="J481" i="3" a="1"/>
  <c r="J481" i="3" s="1"/>
  <c r="J480" i="3" a="1"/>
  <c r="J480" i="3" s="1"/>
  <c r="J479" i="3" a="1"/>
  <c r="J479" i="3" s="1"/>
  <c r="J478" i="3" a="1"/>
  <c r="J478" i="3" s="1"/>
  <c r="J477" i="3" a="1"/>
  <c r="J477" i="3" s="1"/>
  <c r="J476" i="3" a="1"/>
  <c r="J476" i="3" s="1"/>
  <c r="J475" i="3" a="1"/>
  <c r="J475" i="3" s="1"/>
  <c r="J474" i="3" a="1"/>
  <c r="J474" i="3" s="1"/>
  <c r="J473" i="3" a="1"/>
  <c r="J473" i="3" s="1"/>
  <c r="J472" i="3" a="1"/>
  <c r="J472" i="3" s="1"/>
  <c r="J471" i="3" a="1"/>
  <c r="J471" i="3" s="1"/>
  <c r="J470" i="3" a="1"/>
  <c r="J470" i="3" s="1"/>
  <c r="J469" i="3" a="1"/>
  <c r="J469" i="3" s="1"/>
  <c r="J468" i="3" a="1"/>
  <c r="J468" i="3" s="1"/>
  <c r="J467" i="3" a="1"/>
  <c r="J467" i="3" s="1"/>
  <c r="J466" i="3" a="1"/>
  <c r="J466" i="3" s="1"/>
  <c r="J465" i="3" a="1"/>
  <c r="J465" i="3" s="1"/>
  <c r="J464" i="3" a="1"/>
  <c r="J464" i="3" s="1"/>
  <c r="J463" i="3" a="1"/>
  <c r="J463" i="3" s="1"/>
  <c r="J462" i="3" a="1"/>
  <c r="J462" i="3" s="1"/>
  <c r="J461" i="3" a="1"/>
  <c r="J461" i="3" s="1"/>
  <c r="J460" i="3" a="1"/>
  <c r="J460" i="3" s="1"/>
  <c r="J459" i="3" a="1"/>
  <c r="J459" i="3" s="1"/>
  <c r="J458" i="3" a="1"/>
  <c r="J458" i="3" s="1"/>
  <c r="J457" i="3" a="1"/>
  <c r="J457" i="3" s="1"/>
  <c r="J456" i="3" a="1"/>
  <c r="J456" i="3" s="1"/>
  <c r="J455" i="3" a="1"/>
  <c r="J455" i="3" s="1"/>
  <c r="J454" i="3" a="1"/>
  <c r="J454" i="3" s="1"/>
  <c r="J453" i="3" a="1"/>
  <c r="J453" i="3" s="1"/>
  <c r="J452" i="3" a="1"/>
  <c r="J452" i="3" s="1"/>
  <c r="J451" i="3" a="1"/>
  <c r="J451" i="3" s="1"/>
  <c r="J450" i="3" a="1"/>
  <c r="J450" i="3" s="1"/>
  <c r="J449" i="3" a="1"/>
  <c r="J449" i="3" s="1"/>
  <c r="J448" i="3" a="1"/>
  <c r="J448" i="3" s="1"/>
  <c r="J447" i="3" a="1"/>
  <c r="J447" i="3" s="1"/>
  <c r="J446" i="3" a="1"/>
  <c r="J446" i="3" s="1"/>
  <c r="J445" i="3" a="1"/>
  <c r="J445" i="3" s="1"/>
  <c r="J444" i="3" a="1"/>
  <c r="J444" i="3" s="1"/>
  <c r="J443" i="3" a="1"/>
  <c r="J443" i="3" s="1"/>
  <c r="J442" i="3" a="1"/>
  <c r="J442" i="3" s="1"/>
  <c r="J441" i="3" a="1"/>
  <c r="J441" i="3" s="1"/>
  <c r="J440" i="3" a="1"/>
  <c r="J440" i="3" s="1"/>
  <c r="J439" i="3" a="1"/>
  <c r="J439" i="3" s="1"/>
  <c r="J438" i="3" a="1"/>
  <c r="J438" i="3" s="1"/>
  <c r="J437" i="3" a="1"/>
  <c r="J437" i="3" s="1"/>
  <c r="J436" i="3" a="1"/>
  <c r="J436" i="3" s="1"/>
  <c r="J435" i="3" a="1"/>
  <c r="J435" i="3" s="1"/>
  <c r="J434" i="3" a="1"/>
  <c r="J434" i="3" s="1"/>
  <c r="J433" i="3" a="1"/>
  <c r="J433" i="3" s="1"/>
  <c r="J432" i="3" a="1"/>
  <c r="J432" i="3" s="1"/>
  <c r="J431" i="3" a="1"/>
  <c r="J431" i="3" s="1"/>
  <c r="J430" i="3" a="1"/>
  <c r="J430" i="3" s="1"/>
  <c r="J429" i="3" a="1"/>
  <c r="J429" i="3" s="1"/>
  <c r="J428" i="3" a="1"/>
  <c r="J428" i="3" s="1"/>
  <c r="J427" i="3" a="1"/>
  <c r="J427" i="3" s="1"/>
  <c r="J426" i="3" a="1"/>
  <c r="J426" i="3" s="1"/>
  <c r="J425" i="3" a="1"/>
  <c r="J425" i="3" s="1"/>
  <c r="J424" i="3" a="1"/>
  <c r="J424" i="3" s="1"/>
  <c r="J423" i="3" a="1"/>
  <c r="J423" i="3" s="1"/>
  <c r="J422" i="3" a="1"/>
  <c r="J422" i="3" s="1"/>
  <c r="J421" i="3" a="1"/>
  <c r="J421" i="3" s="1"/>
  <c r="J420" i="3" a="1"/>
  <c r="J420" i="3" s="1"/>
  <c r="J419" i="3" a="1"/>
  <c r="J419" i="3" s="1"/>
  <c r="J418" i="3" a="1"/>
  <c r="J418" i="3" s="1"/>
  <c r="J417" i="3" a="1"/>
  <c r="J417" i="3" s="1"/>
  <c r="J416" i="3" a="1"/>
  <c r="J416" i="3" s="1"/>
  <c r="J415" i="3" a="1"/>
  <c r="J415" i="3" s="1"/>
  <c r="J414" i="3" a="1"/>
  <c r="J414" i="3" s="1"/>
  <c r="J413" i="3" a="1"/>
  <c r="J413" i="3" s="1"/>
  <c r="J412" i="3" a="1"/>
  <c r="J412" i="3" s="1"/>
  <c r="J411" i="3" a="1"/>
  <c r="J411" i="3" s="1"/>
  <c r="J410" i="3" a="1"/>
  <c r="J410" i="3" s="1"/>
  <c r="J409" i="3" a="1"/>
  <c r="J409" i="3" s="1"/>
  <c r="J408" i="3" a="1"/>
  <c r="J408" i="3" s="1"/>
  <c r="J407" i="3" a="1"/>
  <c r="J407" i="3" s="1"/>
  <c r="J406" i="3" a="1"/>
  <c r="J406" i="3" s="1"/>
  <c r="J405" i="3" a="1"/>
  <c r="J405" i="3" s="1"/>
  <c r="J404" i="3" a="1"/>
  <c r="J404" i="3" s="1"/>
  <c r="J403" i="3" a="1"/>
  <c r="J403" i="3" s="1"/>
  <c r="J402" i="3" a="1"/>
  <c r="J402" i="3" s="1"/>
  <c r="J401" i="3" a="1"/>
  <c r="J401" i="3" s="1"/>
  <c r="J400" i="3" a="1"/>
  <c r="J400" i="3" s="1"/>
  <c r="J399" i="3" a="1"/>
  <c r="J399" i="3" s="1"/>
  <c r="J398" i="3" a="1"/>
  <c r="J398" i="3" s="1"/>
  <c r="J397" i="3" a="1"/>
  <c r="J397" i="3" s="1"/>
  <c r="J396" i="3" a="1"/>
  <c r="J396" i="3" s="1"/>
  <c r="J395" i="3" a="1"/>
  <c r="J395" i="3" s="1"/>
  <c r="J394" i="3" a="1"/>
  <c r="J394" i="3" s="1"/>
  <c r="J393" i="3" a="1"/>
  <c r="J393" i="3" s="1"/>
  <c r="J392" i="3" a="1"/>
  <c r="J392" i="3" s="1"/>
  <c r="J391" i="3" a="1"/>
  <c r="J391" i="3" s="1"/>
  <c r="J390" i="3" a="1"/>
  <c r="J390" i="3" s="1"/>
  <c r="J389" i="3" a="1"/>
  <c r="J389" i="3" s="1"/>
  <c r="J388" i="3" a="1"/>
  <c r="J388" i="3" s="1"/>
  <c r="J387" i="3" a="1"/>
  <c r="J387" i="3" s="1"/>
  <c r="J386" i="3" a="1"/>
  <c r="J386" i="3" s="1"/>
  <c r="J385" i="3" a="1"/>
  <c r="J385" i="3" s="1"/>
  <c r="J384" i="3" a="1"/>
  <c r="J384" i="3" s="1"/>
  <c r="J383" i="3" a="1"/>
  <c r="J383" i="3" s="1"/>
  <c r="J382" i="3" a="1"/>
  <c r="J382" i="3" s="1"/>
  <c r="J381" i="3" a="1"/>
  <c r="J381" i="3" s="1"/>
  <c r="J380" i="3" a="1"/>
  <c r="J380" i="3" s="1"/>
  <c r="J379" i="3" a="1"/>
  <c r="J379" i="3" s="1"/>
  <c r="J378" i="3" a="1"/>
  <c r="J378" i="3" s="1"/>
  <c r="J377" i="3" a="1"/>
  <c r="J377" i="3" s="1"/>
  <c r="J376" i="3" a="1"/>
  <c r="J376" i="3" s="1"/>
  <c r="J375" i="3" a="1"/>
  <c r="J375" i="3" s="1"/>
  <c r="J374" i="3" a="1"/>
  <c r="J374" i="3" s="1"/>
  <c r="J373" i="3" a="1"/>
  <c r="J373" i="3" s="1"/>
  <c r="J372" i="3" a="1"/>
  <c r="J372" i="3" s="1"/>
  <c r="J371" i="3" a="1"/>
  <c r="J371" i="3" s="1"/>
  <c r="J370" i="3" a="1"/>
  <c r="J370" i="3" s="1"/>
  <c r="J369" i="3" a="1"/>
  <c r="J369" i="3" s="1"/>
  <c r="J368" i="3" a="1"/>
  <c r="J368" i="3" s="1"/>
  <c r="J367" i="3" a="1"/>
  <c r="J367" i="3" s="1"/>
  <c r="J366" i="3" a="1"/>
  <c r="J366" i="3" s="1"/>
  <c r="J365" i="3" a="1"/>
  <c r="J365" i="3" s="1"/>
  <c r="J364" i="3" a="1"/>
  <c r="J364" i="3" s="1"/>
  <c r="J363" i="3" a="1"/>
  <c r="J363" i="3" s="1"/>
  <c r="J362" i="3" a="1"/>
  <c r="J362" i="3" s="1"/>
  <c r="J361" i="3" a="1"/>
  <c r="J361" i="3" s="1"/>
  <c r="J360" i="3" a="1"/>
  <c r="J360" i="3" s="1"/>
  <c r="J359" i="3" a="1"/>
  <c r="J359" i="3" s="1"/>
  <c r="J358" i="3" a="1"/>
  <c r="J358" i="3" s="1"/>
  <c r="J357" i="3" a="1"/>
  <c r="J357" i="3" s="1"/>
  <c r="J356" i="3" a="1"/>
  <c r="J356" i="3" s="1"/>
  <c r="J355" i="3" a="1"/>
  <c r="J355" i="3" s="1"/>
  <c r="J354" i="3" a="1"/>
  <c r="J354" i="3" s="1"/>
  <c r="J353" i="3" a="1"/>
  <c r="J353" i="3" s="1"/>
  <c r="J352" i="3" a="1"/>
  <c r="J352" i="3" s="1"/>
  <c r="J351" i="3" a="1"/>
  <c r="J351" i="3" s="1"/>
  <c r="J350" i="3" a="1"/>
  <c r="J350" i="3" s="1"/>
  <c r="J349" i="3" a="1"/>
  <c r="J349" i="3" s="1"/>
  <c r="J348" i="3" a="1"/>
  <c r="J348" i="3" s="1"/>
  <c r="J347" i="3" a="1"/>
  <c r="J347" i="3" s="1"/>
  <c r="J346" i="3" a="1"/>
  <c r="J346" i="3" s="1"/>
  <c r="J345" i="3" a="1"/>
  <c r="J345" i="3" s="1"/>
  <c r="J344" i="3" a="1"/>
  <c r="J344" i="3" s="1"/>
  <c r="J343" i="3" a="1"/>
  <c r="J343" i="3" s="1"/>
  <c r="J342" i="3" a="1"/>
  <c r="J342" i="3" s="1"/>
  <c r="J341" i="3" a="1"/>
  <c r="J341" i="3" s="1"/>
  <c r="J340" i="3" a="1"/>
  <c r="J340" i="3" s="1"/>
  <c r="J339" i="3" a="1"/>
  <c r="J339" i="3" s="1"/>
  <c r="J338" i="3" a="1"/>
  <c r="J338" i="3" s="1"/>
  <c r="J337" i="3" a="1"/>
  <c r="J337" i="3" s="1"/>
  <c r="J336" i="3" a="1"/>
  <c r="J336" i="3" s="1"/>
  <c r="J335" i="3" a="1"/>
  <c r="J335" i="3" s="1"/>
  <c r="J334" i="3" a="1"/>
  <c r="J334" i="3" s="1"/>
  <c r="J333" i="3" a="1"/>
  <c r="J333" i="3" s="1"/>
  <c r="J332" i="3" a="1"/>
  <c r="J332" i="3" s="1"/>
  <c r="J331" i="3" a="1"/>
  <c r="J331" i="3" s="1"/>
  <c r="J330" i="3" a="1"/>
  <c r="J330" i="3" s="1"/>
  <c r="J329" i="3" a="1"/>
  <c r="J329" i="3" s="1"/>
  <c r="J328" i="3" a="1"/>
  <c r="J328" i="3" s="1"/>
  <c r="J327" i="3" a="1"/>
  <c r="J327" i="3" s="1"/>
  <c r="J326" i="3" a="1"/>
  <c r="J326" i="3" s="1"/>
  <c r="J325" i="3" a="1"/>
  <c r="J325" i="3" s="1"/>
  <c r="J324" i="3" a="1"/>
  <c r="J324" i="3" s="1"/>
  <c r="J323" i="3" a="1"/>
  <c r="J323" i="3" s="1"/>
  <c r="J322" i="3" a="1"/>
  <c r="J322" i="3" s="1"/>
  <c r="J321" i="3" a="1"/>
  <c r="J321" i="3" s="1"/>
  <c r="J320" i="3" a="1"/>
  <c r="J320" i="3" s="1"/>
  <c r="J319" i="3" a="1"/>
  <c r="J319" i="3" s="1"/>
  <c r="J318" i="3" a="1"/>
  <c r="J318" i="3" s="1"/>
  <c r="J317" i="3" a="1"/>
  <c r="J317" i="3" s="1"/>
  <c r="J316" i="3" a="1"/>
  <c r="J316" i="3" s="1"/>
  <c r="J315" i="3" a="1"/>
  <c r="J315" i="3" s="1"/>
  <c r="J314" i="3" a="1"/>
  <c r="J314" i="3" s="1"/>
  <c r="J313" i="3" a="1"/>
  <c r="J313" i="3" s="1"/>
  <c r="J312" i="3" a="1"/>
  <c r="J312" i="3" s="1"/>
  <c r="J311" i="3" a="1"/>
  <c r="J311" i="3" s="1"/>
  <c r="J310" i="3" a="1"/>
  <c r="J310" i="3" s="1"/>
  <c r="J309" i="3" a="1"/>
  <c r="J309" i="3" s="1"/>
  <c r="J308" i="3" a="1"/>
  <c r="J308" i="3" s="1"/>
  <c r="J307" i="3" a="1"/>
  <c r="J307" i="3" s="1"/>
  <c r="J306" i="3" a="1"/>
  <c r="J306" i="3" s="1"/>
  <c r="J305" i="3" a="1"/>
  <c r="J305" i="3" s="1"/>
  <c r="J304" i="3" a="1"/>
  <c r="J304" i="3" s="1"/>
  <c r="J303" i="3" a="1"/>
  <c r="J303" i="3" s="1"/>
  <c r="J302" i="3" a="1"/>
  <c r="J302" i="3" s="1"/>
  <c r="J301" i="3" a="1"/>
  <c r="J301" i="3" s="1"/>
  <c r="J300" i="3" a="1"/>
  <c r="J300" i="3" s="1"/>
  <c r="J299" i="3" a="1"/>
  <c r="J299" i="3" s="1"/>
  <c r="J298" i="3" a="1"/>
  <c r="J298" i="3" s="1"/>
  <c r="J297" i="3" a="1"/>
  <c r="J297" i="3" s="1"/>
  <c r="J296" i="3" a="1"/>
  <c r="J296" i="3" s="1"/>
  <c r="J295" i="3" a="1"/>
  <c r="J295" i="3" s="1"/>
  <c r="J294" i="3" a="1"/>
  <c r="J294" i="3" s="1"/>
  <c r="J293" i="3" a="1"/>
  <c r="J293" i="3" s="1"/>
  <c r="J292" i="3" a="1"/>
  <c r="J292" i="3" s="1"/>
  <c r="J291" i="3" a="1"/>
  <c r="J291" i="3" s="1"/>
  <c r="J290" i="3" a="1"/>
  <c r="J290" i="3" s="1"/>
  <c r="J289" i="3" a="1"/>
  <c r="J289" i="3" s="1"/>
  <c r="J288" i="3" a="1"/>
  <c r="J288" i="3" s="1"/>
  <c r="J287" i="3" a="1"/>
  <c r="J287" i="3" s="1"/>
  <c r="J286" i="3" a="1"/>
  <c r="J286" i="3" s="1"/>
  <c r="J285" i="3" a="1"/>
  <c r="J285" i="3" s="1"/>
  <c r="J284" i="3" a="1"/>
  <c r="J284" i="3" s="1"/>
  <c r="J283" i="3" a="1"/>
  <c r="J283" i="3" s="1"/>
  <c r="J282" i="3" a="1"/>
  <c r="J282" i="3" s="1"/>
  <c r="J281" i="3" a="1"/>
  <c r="J281" i="3" s="1"/>
  <c r="J280" i="3" a="1"/>
  <c r="J280" i="3" s="1"/>
  <c r="J279" i="3" a="1"/>
  <c r="J279" i="3" s="1"/>
  <c r="J278" i="3" a="1"/>
  <c r="J278" i="3" s="1"/>
  <c r="J277" i="3" a="1"/>
  <c r="J277" i="3" s="1"/>
  <c r="J276" i="3" a="1"/>
  <c r="J276" i="3" s="1"/>
  <c r="J275" i="3" a="1"/>
  <c r="J275" i="3" s="1"/>
  <c r="J274" i="3" a="1"/>
  <c r="J274" i="3" s="1"/>
  <c r="J273" i="3" a="1"/>
  <c r="J273" i="3" s="1"/>
  <c r="J272" i="3" a="1"/>
  <c r="J272" i="3" s="1"/>
  <c r="J271" i="3" a="1"/>
  <c r="J271" i="3" s="1"/>
  <c r="J270" i="3" a="1"/>
  <c r="J270" i="3" s="1"/>
  <c r="J269" i="3" a="1"/>
  <c r="J269" i="3" s="1"/>
  <c r="J268" i="3" a="1"/>
  <c r="J268" i="3" s="1"/>
  <c r="J267" i="3" a="1"/>
  <c r="J267" i="3" s="1"/>
  <c r="J266" i="3" a="1"/>
  <c r="J266" i="3" s="1"/>
  <c r="J265" i="3" a="1"/>
  <c r="J265" i="3" s="1"/>
  <c r="J264" i="3" a="1"/>
  <c r="J264" i="3" s="1"/>
  <c r="J263" i="3" a="1"/>
  <c r="J263" i="3" s="1"/>
  <c r="J262" i="3" a="1"/>
  <c r="J262" i="3" s="1"/>
  <c r="J261" i="3" a="1"/>
  <c r="J261" i="3" s="1"/>
  <c r="J260" i="3" a="1"/>
  <c r="J260" i="3" s="1"/>
  <c r="J259" i="3" a="1"/>
  <c r="J259" i="3" s="1"/>
  <c r="J258" i="3" a="1"/>
  <c r="J258" i="3" s="1"/>
  <c r="J257" i="3" a="1"/>
  <c r="J257" i="3" s="1"/>
  <c r="J256" i="3" a="1"/>
  <c r="J256" i="3" s="1"/>
  <c r="J255" i="3" a="1"/>
  <c r="J255" i="3" s="1"/>
  <c r="J254" i="3" a="1"/>
  <c r="J254" i="3" s="1"/>
  <c r="J253" i="3" a="1"/>
  <c r="J253" i="3" s="1"/>
  <c r="J252" i="3" a="1"/>
  <c r="J252" i="3" s="1"/>
  <c r="J251" i="3" a="1"/>
  <c r="J251" i="3" s="1"/>
  <c r="J250" i="3" a="1"/>
  <c r="J250" i="3" s="1"/>
  <c r="J249" i="3" a="1"/>
  <c r="J249" i="3" s="1"/>
  <c r="J248" i="3" a="1"/>
  <c r="J248" i="3" s="1"/>
  <c r="J247" i="3" a="1"/>
  <c r="J247" i="3" s="1"/>
  <c r="J246" i="3" a="1"/>
  <c r="J246" i="3" s="1"/>
  <c r="J245" i="3" a="1"/>
  <c r="J245" i="3" s="1"/>
  <c r="J244" i="3" a="1"/>
  <c r="J244" i="3" s="1"/>
  <c r="J243" i="3" a="1"/>
  <c r="J243" i="3" s="1"/>
  <c r="J242" i="3" a="1"/>
  <c r="J242" i="3" s="1"/>
  <c r="J241" i="3" a="1"/>
  <c r="J241" i="3" s="1"/>
  <c r="J240" i="3" a="1"/>
  <c r="J240" i="3" s="1"/>
  <c r="J239" i="3" a="1"/>
  <c r="J239" i="3" s="1"/>
  <c r="J238" i="3" a="1"/>
  <c r="J238" i="3" s="1"/>
  <c r="J237" i="3" a="1"/>
  <c r="J237" i="3" s="1"/>
  <c r="J236" i="3" a="1"/>
  <c r="J236" i="3" s="1"/>
  <c r="J235" i="3" a="1"/>
  <c r="J235" i="3" s="1"/>
  <c r="J234" i="3" a="1"/>
  <c r="J234" i="3" s="1"/>
  <c r="J233" i="3" a="1"/>
  <c r="J233" i="3" s="1"/>
  <c r="J232" i="3" a="1"/>
  <c r="J232" i="3" s="1"/>
  <c r="J231" i="3" a="1"/>
  <c r="J231" i="3" s="1"/>
  <c r="J230" i="3" a="1"/>
  <c r="J230" i="3" s="1"/>
  <c r="J229" i="3" a="1"/>
  <c r="J229" i="3" s="1"/>
  <c r="J228" i="3" a="1"/>
  <c r="J228" i="3" s="1"/>
  <c r="J227" i="3" a="1"/>
  <c r="J227" i="3" s="1"/>
  <c r="J226" i="3" a="1"/>
  <c r="J226" i="3" s="1"/>
  <c r="J225" i="3" a="1"/>
  <c r="J225" i="3" s="1"/>
  <c r="J224" i="3" a="1"/>
  <c r="J224" i="3" s="1"/>
  <c r="J223" i="3" a="1"/>
  <c r="J223" i="3" s="1"/>
  <c r="J222" i="3" a="1"/>
  <c r="J222" i="3" s="1"/>
  <c r="J221" i="3" a="1"/>
  <c r="J221" i="3" s="1"/>
  <c r="J220" i="3" a="1"/>
  <c r="J220" i="3" s="1"/>
  <c r="J219" i="3" a="1"/>
  <c r="J219" i="3" s="1"/>
  <c r="J218" i="3" a="1"/>
  <c r="J218" i="3" s="1"/>
  <c r="J217" i="3" a="1"/>
  <c r="J217" i="3" s="1"/>
  <c r="J216" i="3" a="1"/>
  <c r="J216" i="3" s="1"/>
  <c r="J215" i="3" a="1"/>
  <c r="J215" i="3" s="1"/>
  <c r="J214" i="3" a="1"/>
  <c r="J214" i="3" s="1"/>
  <c r="J213" i="3" a="1"/>
  <c r="J213" i="3" s="1"/>
  <c r="J212" i="3" a="1"/>
  <c r="J212" i="3" s="1"/>
  <c r="J211" i="3" a="1"/>
  <c r="J211" i="3" s="1"/>
  <c r="J210" i="3" a="1"/>
  <c r="J210" i="3" s="1"/>
  <c r="J209" i="3" a="1"/>
  <c r="J209" i="3" s="1"/>
  <c r="J208" i="3" a="1"/>
  <c r="J208" i="3" s="1"/>
  <c r="J207" i="3" a="1"/>
  <c r="J207" i="3" s="1"/>
  <c r="J206" i="3" a="1"/>
  <c r="J206" i="3" s="1"/>
  <c r="J205" i="3" a="1"/>
  <c r="J205" i="3" s="1"/>
  <c r="J204" i="3" a="1"/>
  <c r="J204" i="3" s="1"/>
  <c r="J203" i="3" a="1"/>
  <c r="J203" i="3" s="1"/>
  <c r="J202" i="3" a="1"/>
  <c r="J202" i="3" s="1"/>
  <c r="J201" i="3" a="1"/>
  <c r="J201" i="3" s="1"/>
  <c r="J200" i="3" a="1"/>
  <c r="J200" i="3" s="1"/>
  <c r="J199" i="3" a="1"/>
  <c r="J199" i="3" s="1"/>
  <c r="J198" i="3" a="1"/>
  <c r="J198" i="3" s="1"/>
  <c r="J197" i="3" a="1"/>
  <c r="J197" i="3" s="1"/>
  <c r="J196" i="3" a="1"/>
  <c r="J196" i="3" s="1"/>
  <c r="J195" i="3" a="1"/>
  <c r="J195" i="3" s="1"/>
  <c r="J194" i="3" a="1"/>
  <c r="J194" i="3" s="1"/>
  <c r="J193" i="3" a="1"/>
  <c r="J193" i="3" s="1"/>
  <c r="J192" i="3" a="1"/>
  <c r="J192" i="3" s="1"/>
  <c r="J191" i="3" a="1"/>
  <c r="J191" i="3" s="1"/>
  <c r="J190" i="3" a="1"/>
  <c r="J190" i="3" s="1"/>
  <c r="J189" i="3" a="1"/>
  <c r="J189" i="3" s="1"/>
  <c r="J188" i="3" a="1"/>
  <c r="J188" i="3" s="1"/>
  <c r="J187" i="3" a="1"/>
  <c r="J187" i="3" s="1"/>
  <c r="J186" i="3" a="1"/>
  <c r="J186" i="3" s="1"/>
  <c r="J185" i="3" a="1"/>
  <c r="J185" i="3" s="1"/>
  <c r="J184" i="3" a="1"/>
  <c r="J184" i="3" s="1"/>
  <c r="J183" i="3" a="1"/>
  <c r="J183" i="3" s="1"/>
  <c r="J182" i="3" a="1"/>
  <c r="J182" i="3" s="1"/>
  <c r="J181" i="3" a="1"/>
  <c r="J181" i="3" s="1"/>
  <c r="J180" i="3" a="1"/>
  <c r="J180" i="3" s="1"/>
  <c r="J179" i="3" a="1"/>
  <c r="J179" i="3" s="1"/>
  <c r="J178" i="3" a="1"/>
  <c r="J178" i="3" s="1"/>
  <c r="J177" i="3" a="1"/>
  <c r="J177" i="3" s="1"/>
  <c r="J176" i="3" a="1"/>
  <c r="J176" i="3" s="1"/>
  <c r="J175" i="3" a="1"/>
  <c r="J175" i="3" s="1"/>
  <c r="J174" i="3" a="1"/>
  <c r="J174" i="3" s="1"/>
  <c r="J173" i="3" a="1"/>
  <c r="J173" i="3" s="1"/>
  <c r="J172" i="3" a="1"/>
  <c r="J172" i="3" s="1"/>
  <c r="J171" i="3" a="1"/>
  <c r="J171" i="3" s="1"/>
  <c r="J170" i="3" a="1"/>
  <c r="J170" i="3" s="1"/>
  <c r="J169" i="3" a="1"/>
  <c r="J169" i="3" s="1"/>
  <c r="J168" i="3" a="1"/>
  <c r="J168" i="3" s="1"/>
  <c r="J167" i="3" a="1"/>
  <c r="J167" i="3" s="1"/>
  <c r="J166" i="3" a="1"/>
  <c r="J166" i="3" s="1"/>
  <c r="J165" i="3" a="1"/>
  <c r="J165" i="3" s="1"/>
  <c r="J163" i="3" a="1"/>
  <c r="J163" i="3" s="1"/>
  <c r="J162" i="3" a="1"/>
  <c r="J162" i="3" s="1"/>
  <c r="J161" i="3" a="1"/>
  <c r="J161" i="3" s="1"/>
  <c r="J160" i="3" a="1"/>
  <c r="J160" i="3" s="1"/>
  <c r="J159" i="3" a="1"/>
  <c r="J159" i="3" s="1"/>
  <c r="J158" i="3" a="1"/>
  <c r="J158" i="3" s="1"/>
  <c r="J157" i="3" a="1"/>
  <c r="J157" i="3" s="1"/>
  <c r="J156" i="3" a="1"/>
  <c r="J156" i="3" s="1"/>
  <c r="J155" i="3" a="1"/>
  <c r="J155" i="3" s="1"/>
  <c r="J154" i="3" a="1"/>
  <c r="J154" i="3" s="1"/>
  <c r="J153" i="3" a="1"/>
  <c r="J153" i="3" s="1"/>
  <c r="J152" i="3" a="1"/>
  <c r="J152" i="3" s="1"/>
  <c r="J151" i="3" a="1"/>
  <c r="J151" i="3" s="1"/>
  <c r="J150" i="3" a="1"/>
  <c r="J150" i="3" s="1"/>
  <c r="J149" i="3" a="1"/>
  <c r="J149" i="3" s="1"/>
  <c r="J148" i="3" a="1"/>
  <c r="J148" i="3" s="1"/>
  <c r="J147" i="3" a="1"/>
  <c r="J147" i="3" s="1"/>
  <c r="J146" i="3" a="1"/>
  <c r="J146" i="3" s="1"/>
  <c r="J145" i="3" a="1"/>
  <c r="J145" i="3" s="1"/>
  <c r="J144" i="3" a="1"/>
  <c r="J144" i="3" s="1"/>
  <c r="J143" i="3" a="1"/>
  <c r="J143" i="3" s="1"/>
  <c r="J142" i="3" a="1"/>
  <c r="J142" i="3" s="1"/>
  <c r="J141" i="3" a="1"/>
  <c r="J141" i="3" s="1"/>
  <c r="J140" i="3" a="1"/>
  <c r="J140" i="3" s="1"/>
  <c r="J139" i="3" a="1"/>
  <c r="J139" i="3" s="1"/>
  <c r="J138" i="3" a="1"/>
  <c r="J138" i="3" s="1"/>
  <c r="J137" i="3" a="1"/>
  <c r="J137" i="3" s="1"/>
  <c r="J136" i="3" a="1"/>
  <c r="J136" i="3" s="1"/>
  <c r="J135" i="3" a="1"/>
  <c r="J135" i="3" s="1"/>
  <c r="J134" i="3" a="1"/>
  <c r="J134" i="3" s="1"/>
  <c r="J133" i="3" a="1"/>
  <c r="J133" i="3" s="1"/>
  <c r="J132" i="3" a="1"/>
  <c r="J132" i="3" s="1"/>
  <c r="J131" i="3" a="1"/>
  <c r="J131" i="3" s="1"/>
  <c r="J130" i="3" a="1"/>
  <c r="J130" i="3" s="1"/>
  <c r="J129" i="3" a="1"/>
  <c r="J129" i="3" s="1"/>
  <c r="J128" i="3" a="1"/>
  <c r="J128" i="3" s="1"/>
  <c r="J127" i="3" a="1"/>
  <c r="J127" i="3" s="1"/>
  <c r="J126" i="3" a="1"/>
  <c r="J126" i="3" s="1"/>
  <c r="J125" i="3" a="1"/>
  <c r="J125" i="3" s="1"/>
  <c r="J124" i="3" a="1"/>
  <c r="J124" i="3" s="1"/>
  <c r="J123" i="3" a="1"/>
  <c r="J123" i="3" s="1"/>
  <c r="J122" i="3" a="1"/>
  <c r="J122" i="3" s="1"/>
  <c r="J121" i="3" a="1"/>
  <c r="J121" i="3" s="1"/>
  <c r="J120" i="3" a="1"/>
  <c r="J120" i="3" s="1"/>
  <c r="J119" i="3" a="1"/>
  <c r="J119" i="3" s="1"/>
  <c r="J118" i="3" a="1"/>
  <c r="J118" i="3" s="1"/>
  <c r="J117" i="3" a="1"/>
  <c r="J117" i="3" s="1"/>
  <c r="J116" i="3" a="1"/>
  <c r="J116" i="3" s="1"/>
  <c r="J115" i="3" a="1"/>
  <c r="J115" i="3" s="1"/>
  <c r="J114" i="3" a="1"/>
  <c r="J114" i="3" s="1"/>
  <c r="J113" i="3" a="1"/>
  <c r="J113" i="3" s="1"/>
  <c r="J112" i="3" a="1"/>
  <c r="J112" i="3" s="1"/>
  <c r="J111" i="3" a="1"/>
  <c r="J111" i="3" s="1"/>
  <c r="J110" i="3" a="1"/>
  <c r="J110" i="3" s="1"/>
  <c r="J109" i="3" a="1"/>
  <c r="J109" i="3" s="1"/>
  <c r="J108" i="3" a="1"/>
  <c r="J108" i="3" s="1"/>
  <c r="J107" i="3" a="1"/>
  <c r="J107" i="3" s="1"/>
  <c r="J106" i="3" a="1"/>
  <c r="J106" i="3" s="1"/>
  <c r="J105" i="3" a="1"/>
  <c r="J105" i="3" s="1"/>
  <c r="J104" i="3" a="1"/>
  <c r="J104" i="3" s="1"/>
  <c r="J103" i="3" a="1"/>
  <c r="J103" i="3" s="1"/>
  <c r="J102" i="3" a="1"/>
  <c r="J102" i="3" s="1"/>
  <c r="J101" i="3" a="1"/>
  <c r="J101" i="3" s="1"/>
  <c r="J100" i="3" a="1"/>
  <c r="J100" i="3" s="1"/>
  <c r="J99" i="3" a="1"/>
  <c r="J99" i="3" s="1"/>
  <c r="J98" i="3" a="1"/>
  <c r="J98" i="3" s="1"/>
  <c r="J97" i="3" a="1"/>
  <c r="J97" i="3" s="1"/>
  <c r="J96" i="3" a="1"/>
  <c r="J96" i="3" s="1"/>
  <c r="J95" i="3" a="1"/>
  <c r="J95" i="3" s="1"/>
  <c r="J94" i="3" a="1"/>
  <c r="J94" i="3" s="1"/>
  <c r="J93" i="3" a="1"/>
  <c r="J93" i="3" s="1"/>
  <c r="J92" i="3" a="1"/>
  <c r="J92" i="3" s="1"/>
  <c r="J91" i="3" a="1"/>
  <c r="J91" i="3" s="1"/>
  <c r="J90" i="3" a="1"/>
  <c r="J90" i="3" s="1"/>
  <c r="J89" i="3" a="1"/>
  <c r="J89" i="3" s="1"/>
  <c r="J88" i="3" a="1"/>
  <c r="J88" i="3" s="1"/>
  <c r="J87" i="3" a="1"/>
  <c r="J87" i="3" s="1"/>
  <c r="J86" i="3" a="1"/>
  <c r="J86" i="3" s="1"/>
  <c r="J85" i="3" a="1"/>
  <c r="J85" i="3" s="1"/>
  <c r="J84" i="3" a="1"/>
  <c r="J84" i="3" s="1"/>
  <c r="J83" i="3" a="1"/>
  <c r="J83" i="3" s="1"/>
  <c r="J82" i="3" a="1"/>
  <c r="J82" i="3" s="1"/>
  <c r="J81" i="3" a="1"/>
  <c r="J81" i="3" s="1"/>
  <c r="J80" i="3" a="1"/>
  <c r="J80" i="3" s="1"/>
  <c r="J79" i="3" a="1"/>
  <c r="J79" i="3" s="1"/>
  <c r="J78" i="3" a="1"/>
  <c r="J78" i="3" s="1"/>
  <c r="J77" i="3" a="1"/>
  <c r="J77" i="3" s="1"/>
  <c r="J76" i="3" a="1"/>
  <c r="J76" i="3" s="1"/>
  <c r="J75" i="3" a="1"/>
  <c r="J75" i="3" s="1"/>
  <c r="J74" i="3" a="1"/>
  <c r="J74" i="3" s="1"/>
  <c r="J73" i="3" a="1"/>
  <c r="J73" i="3" s="1"/>
  <c r="J72" i="3" a="1"/>
  <c r="J72" i="3" s="1"/>
  <c r="J71" i="3" a="1"/>
  <c r="J71" i="3" s="1"/>
  <c r="J70" i="3" a="1"/>
  <c r="J70" i="3" s="1"/>
  <c r="J69" i="3" a="1"/>
  <c r="J69" i="3" s="1"/>
  <c r="J68" i="3" a="1"/>
  <c r="J68" i="3" s="1"/>
  <c r="J67" i="3" a="1"/>
  <c r="J67" i="3" s="1"/>
  <c r="J66" i="3" a="1"/>
  <c r="J66" i="3" s="1"/>
  <c r="J65" i="3" a="1"/>
  <c r="J65" i="3" s="1"/>
  <c r="J64" i="3" a="1"/>
  <c r="J64" i="3" s="1"/>
  <c r="J63" i="3" a="1"/>
  <c r="J63" i="3" s="1"/>
  <c r="J62" i="3" a="1"/>
  <c r="J62" i="3" s="1"/>
  <c r="J61" i="3" a="1"/>
  <c r="J61" i="3" s="1"/>
  <c r="J60" i="3" a="1"/>
  <c r="J60" i="3" s="1"/>
  <c r="J59" i="3" a="1"/>
  <c r="J59" i="3" s="1"/>
  <c r="J58" i="3" a="1"/>
  <c r="J58" i="3" s="1"/>
  <c r="J57" i="3" a="1"/>
  <c r="J57" i="3" s="1"/>
  <c r="J56" i="3" a="1"/>
  <c r="J56" i="3" s="1"/>
  <c r="J55" i="3" a="1"/>
  <c r="J55" i="3" s="1"/>
  <c r="J54" i="3" a="1"/>
  <c r="J54" i="3" s="1"/>
  <c r="J53" i="3" a="1"/>
  <c r="J53" i="3" s="1"/>
  <c r="J52" i="3" a="1"/>
  <c r="J52" i="3" s="1"/>
  <c r="J51" i="3" a="1"/>
  <c r="J51" i="3" s="1"/>
  <c r="J50" i="3" a="1"/>
  <c r="J50" i="3" s="1"/>
  <c r="J49" i="3" a="1"/>
  <c r="J49" i="3" s="1"/>
  <c r="J48" i="3" a="1"/>
  <c r="J48" i="3" s="1"/>
  <c r="J47" i="3" a="1"/>
  <c r="J47" i="3" s="1"/>
  <c r="J46" i="3" a="1"/>
  <c r="J46" i="3" s="1"/>
  <c r="J45" i="3" a="1"/>
  <c r="J45" i="3" s="1"/>
  <c r="J44" i="3" a="1"/>
  <c r="J44" i="3" s="1"/>
  <c r="J43" i="3" a="1"/>
  <c r="J43" i="3" s="1"/>
  <c r="J42" i="3" a="1"/>
  <c r="J42" i="3" s="1"/>
  <c r="J41" i="3" a="1"/>
  <c r="J41" i="3" s="1"/>
  <c r="J40" i="3" a="1"/>
  <c r="J40" i="3" s="1"/>
  <c r="J39" i="3" a="1"/>
  <c r="J39" i="3" s="1"/>
  <c r="J38" i="3" a="1"/>
  <c r="J38" i="3" s="1"/>
  <c r="J37" i="3" a="1"/>
  <c r="J37" i="3" s="1"/>
  <c r="J36" i="3" a="1"/>
  <c r="J36" i="3" s="1"/>
  <c r="J35" i="3" a="1"/>
  <c r="J35" i="3" s="1"/>
  <c r="J34" i="3" a="1"/>
  <c r="J34" i="3" s="1"/>
  <c r="J33" i="3" a="1"/>
  <c r="J33" i="3" s="1"/>
  <c r="J32" i="3" a="1"/>
  <c r="J32" i="3" s="1"/>
  <c r="J31" i="3" a="1"/>
  <c r="J31" i="3" s="1"/>
  <c r="J30" i="3" a="1"/>
  <c r="J30" i="3" s="1"/>
  <c r="J29" i="3" a="1"/>
  <c r="J29" i="3" s="1"/>
  <c r="J28" i="3" a="1"/>
  <c r="J28" i="3" s="1"/>
  <c r="J27" i="3" a="1"/>
  <c r="J27" i="3" s="1"/>
  <c r="J26" i="3" a="1"/>
  <c r="J26" i="3" s="1"/>
  <c r="J25" i="3" a="1"/>
  <c r="J25" i="3" s="1"/>
  <c r="J24" i="3" a="1"/>
  <c r="J24" i="3" s="1"/>
  <c r="J23" i="3" a="1"/>
  <c r="J23" i="3" s="1"/>
  <c r="J22" i="3" a="1"/>
  <c r="J22" i="3" s="1"/>
  <c r="J21" i="3" a="1"/>
  <c r="J21" i="3" s="1"/>
  <c r="J20" i="3" a="1"/>
  <c r="J20" i="3" s="1"/>
  <c r="J19" i="3" a="1"/>
  <c r="J19" i="3" s="1"/>
  <c r="J18" i="3" a="1"/>
  <c r="J18" i="3" s="1"/>
  <c r="J17" i="3" a="1"/>
  <c r="J17" i="3" s="1"/>
  <c r="J16" i="3" a="1"/>
  <c r="J16" i="3" s="1"/>
  <c r="J15" i="3" a="1"/>
  <c r="J15" i="3" s="1"/>
  <c r="J14" i="3" a="1"/>
  <c r="J14" i="3" s="1"/>
  <c r="J13" i="3" a="1"/>
  <c r="J13" i="3" s="1"/>
  <c r="J12" i="3" a="1"/>
  <c r="J12" i="3" s="1"/>
  <c r="J11" i="3" a="1"/>
  <c r="J11" i="3" s="1"/>
  <c r="J10" i="3" a="1"/>
  <c r="J10" i="3" s="1"/>
  <c r="J9" i="3" a="1"/>
  <c r="J9" i="3" s="1"/>
  <c r="J8" i="3" a="1"/>
  <c r="J8" i="3" s="1"/>
  <c r="J7" i="3" a="1"/>
  <c r="J7" i="3" s="1"/>
  <c r="J6" i="3" a="1"/>
  <c r="J6" i="3" s="1"/>
  <c r="J5" i="3" a="1"/>
  <c r="J5" i="3" s="1"/>
  <c r="J4" i="3" a="1"/>
  <c r="J4" i="3" s="1"/>
  <c r="J3" i="3" a="1"/>
  <c r="J3" i="3" s="1"/>
  <c r="J2" i="3" a="1"/>
  <c r="J2" i="3" s="1"/>
  <c r="I579" i="3" a="1"/>
  <c r="I579" i="3" s="1"/>
  <c r="I578" i="3" a="1"/>
  <c r="I578" i="3" s="1"/>
  <c r="I577" i="3" a="1"/>
  <c r="I577" i="3" s="1"/>
  <c r="I576" i="3" a="1"/>
  <c r="I576" i="3" s="1"/>
  <c r="I575" i="3" a="1"/>
  <c r="I575" i="3" s="1"/>
  <c r="I574" i="3" a="1"/>
  <c r="I574" i="3" s="1"/>
  <c r="I573" i="3" a="1"/>
  <c r="I573" i="3" s="1"/>
  <c r="I572" i="3" a="1"/>
  <c r="I572" i="3" s="1"/>
  <c r="I571" i="3" a="1"/>
  <c r="I571" i="3" s="1"/>
  <c r="I570" i="3" a="1"/>
  <c r="I570" i="3" s="1"/>
  <c r="I569" i="3" a="1"/>
  <c r="I569" i="3" s="1"/>
  <c r="I568" i="3" a="1"/>
  <c r="I568" i="3" s="1"/>
  <c r="I567" i="3" a="1"/>
  <c r="I567" i="3" s="1"/>
  <c r="I566" i="3" a="1"/>
  <c r="I566" i="3" s="1"/>
  <c r="I565" i="3" a="1"/>
  <c r="I565" i="3" s="1"/>
  <c r="I564" i="3" a="1"/>
  <c r="I564" i="3" s="1"/>
  <c r="I563" i="3" a="1"/>
  <c r="I563" i="3" s="1"/>
  <c r="I562" i="3" a="1"/>
  <c r="I562" i="3" s="1"/>
  <c r="I561" i="3" a="1"/>
  <c r="I561" i="3" s="1"/>
  <c r="I560" i="3" a="1"/>
  <c r="I560" i="3" s="1"/>
  <c r="I559" i="3" a="1"/>
  <c r="I559" i="3" s="1"/>
  <c r="I558" i="3" a="1"/>
  <c r="I558" i="3" s="1"/>
  <c r="I557" i="3" a="1"/>
  <c r="I557" i="3" s="1"/>
  <c r="I556" i="3" a="1"/>
  <c r="I556" i="3" s="1"/>
  <c r="I555" i="3" a="1"/>
  <c r="I555" i="3" s="1"/>
  <c r="I554" i="3" a="1"/>
  <c r="I554" i="3" s="1"/>
  <c r="I553" i="3" a="1"/>
  <c r="I553" i="3" s="1"/>
  <c r="I552" i="3" a="1"/>
  <c r="I552" i="3" s="1"/>
  <c r="I551" i="3" a="1"/>
  <c r="I551" i="3" s="1"/>
  <c r="I550" i="3" a="1"/>
  <c r="I550" i="3" s="1"/>
  <c r="I549" i="3" a="1"/>
  <c r="I549" i="3" s="1"/>
  <c r="I548" i="3" a="1"/>
  <c r="I548" i="3" s="1"/>
  <c r="I547" i="3" a="1"/>
  <c r="I547" i="3" s="1"/>
  <c r="I546" i="3" a="1"/>
  <c r="I546" i="3" s="1"/>
  <c r="I545" i="3" a="1"/>
  <c r="I545" i="3" s="1"/>
  <c r="I544" i="3" a="1"/>
  <c r="I544" i="3" s="1"/>
  <c r="I543" i="3" a="1"/>
  <c r="I543" i="3" s="1"/>
  <c r="I542" i="3" a="1"/>
  <c r="I542" i="3" s="1"/>
  <c r="I541" i="3" a="1"/>
  <c r="I541" i="3" s="1"/>
  <c r="I540" i="3" a="1"/>
  <c r="I540" i="3" s="1"/>
  <c r="I539" i="3" a="1"/>
  <c r="I539" i="3" s="1"/>
  <c r="I538" i="3" a="1"/>
  <c r="I538" i="3" s="1"/>
  <c r="I537" i="3" a="1"/>
  <c r="I537" i="3" s="1"/>
  <c r="I536" i="3" a="1"/>
  <c r="I536" i="3" s="1"/>
  <c r="I535" i="3" a="1"/>
  <c r="I535" i="3" s="1"/>
  <c r="I534" i="3" a="1"/>
  <c r="I534" i="3" s="1"/>
  <c r="I533" i="3" a="1"/>
  <c r="I533" i="3" s="1"/>
  <c r="I532" i="3" a="1"/>
  <c r="I532" i="3" s="1"/>
  <c r="I531" i="3" a="1"/>
  <c r="I531" i="3" s="1"/>
  <c r="I530" i="3" a="1"/>
  <c r="I530" i="3" s="1"/>
  <c r="I529" i="3" a="1"/>
  <c r="I529" i="3" s="1"/>
  <c r="I528" i="3" a="1"/>
  <c r="I528" i="3" s="1"/>
  <c r="I527" i="3" a="1"/>
  <c r="I527" i="3" s="1"/>
  <c r="I526" i="3" a="1"/>
  <c r="I526" i="3" s="1"/>
  <c r="I525" i="3" a="1"/>
  <c r="I525" i="3" s="1"/>
  <c r="I524" i="3" a="1"/>
  <c r="I524" i="3" s="1"/>
  <c r="I523" i="3" a="1"/>
  <c r="I523" i="3" s="1"/>
  <c r="I522" i="3" a="1"/>
  <c r="I522" i="3" s="1"/>
  <c r="I521" i="3" a="1"/>
  <c r="I521" i="3" s="1"/>
  <c r="I520" i="3" a="1"/>
  <c r="I520" i="3" s="1"/>
  <c r="I519" i="3" a="1"/>
  <c r="I519" i="3" s="1"/>
  <c r="I518" i="3" a="1"/>
  <c r="I518" i="3" s="1"/>
  <c r="I517" i="3" a="1"/>
  <c r="I517" i="3" s="1"/>
  <c r="I516" i="3" a="1"/>
  <c r="I516" i="3" s="1"/>
  <c r="I515" i="3" a="1"/>
  <c r="I515" i="3" s="1"/>
  <c r="I514" i="3" a="1"/>
  <c r="I514" i="3" s="1"/>
  <c r="I513" i="3" a="1"/>
  <c r="I513" i="3" s="1"/>
  <c r="I512" i="3" a="1"/>
  <c r="I512" i="3" s="1"/>
  <c r="I511" i="3" a="1"/>
  <c r="I511" i="3" s="1"/>
  <c r="I510" i="3" a="1"/>
  <c r="I510" i="3" s="1"/>
  <c r="I509" i="3" a="1"/>
  <c r="I509" i="3" s="1"/>
  <c r="I508" i="3" a="1"/>
  <c r="I508" i="3" s="1"/>
  <c r="I507" i="3" a="1"/>
  <c r="I507" i="3" s="1"/>
  <c r="I506" i="3" a="1"/>
  <c r="I506" i="3" s="1"/>
  <c r="I505" i="3" a="1"/>
  <c r="I505" i="3" s="1"/>
  <c r="I504" i="3" a="1"/>
  <c r="I504" i="3" s="1"/>
  <c r="I503" i="3" a="1"/>
  <c r="I503" i="3" s="1"/>
  <c r="I502" i="3" a="1"/>
  <c r="I502" i="3" s="1"/>
  <c r="I501" i="3" a="1"/>
  <c r="I501" i="3" s="1"/>
  <c r="I500" i="3" a="1"/>
  <c r="I500" i="3" s="1"/>
  <c r="I499" i="3" a="1"/>
  <c r="I499" i="3" s="1"/>
  <c r="I498" i="3" a="1"/>
  <c r="I498" i="3" s="1"/>
  <c r="I497" i="3" a="1"/>
  <c r="I497" i="3" s="1"/>
  <c r="I496" i="3" a="1"/>
  <c r="I496" i="3" s="1"/>
  <c r="I495" i="3" a="1"/>
  <c r="I495" i="3" s="1"/>
  <c r="I494" i="3" a="1"/>
  <c r="I494" i="3" s="1"/>
  <c r="I493" i="3" a="1"/>
  <c r="I493" i="3" s="1"/>
  <c r="I492" i="3" a="1"/>
  <c r="I492" i="3" s="1"/>
  <c r="I491" i="3" a="1"/>
  <c r="I491" i="3" s="1"/>
  <c r="I490" i="3" a="1"/>
  <c r="I490" i="3" s="1"/>
  <c r="I489" i="3" a="1"/>
  <c r="I489" i="3" s="1"/>
  <c r="I488" i="3" a="1"/>
  <c r="I488" i="3" s="1"/>
  <c r="I487" i="3" a="1"/>
  <c r="I487" i="3" s="1"/>
  <c r="I486" i="3" a="1"/>
  <c r="I486" i="3" s="1"/>
  <c r="I485" i="3" a="1"/>
  <c r="I485" i="3" s="1"/>
  <c r="I484" i="3" a="1"/>
  <c r="I484" i="3" s="1"/>
  <c r="I483" i="3" a="1"/>
  <c r="I483" i="3" s="1"/>
  <c r="I482" i="3" a="1"/>
  <c r="I482" i="3" s="1"/>
  <c r="I481" i="3" a="1"/>
  <c r="I481" i="3" s="1"/>
  <c r="I480" i="3" a="1"/>
  <c r="I480" i="3" s="1"/>
  <c r="I479" i="3" a="1"/>
  <c r="I479" i="3" s="1"/>
  <c r="I478" i="3" a="1"/>
  <c r="I478" i="3" s="1"/>
  <c r="I477" i="3" a="1"/>
  <c r="I477" i="3" s="1"/>
  <c r="I476" i="3" a="1"/>
  <c r="I476" i="3" s="1"/>
  <c r="I475" i="3" a="1"/>
  <c r="I475" i="3" s="1"/>
  <c r="I474" i="3" a="1"/>
  <c r="I474" i="3" s="1"/>
  <c r="I473" i="3" a="1"/>
  <c r="I473" i="3" s="1"/>
  <c r="I472" i="3" a="1"/>
  <c r="I472" i="3" s="1"/>
  <c r="I471" i="3" a="1"/>
  <c r="I471" i="3" s="1"/>
  <c r="I470" i="3" a="1"/>
  <c r="I470" i="3" s="1"/>
  <c r="I469" i="3" a="1"/>
  <c r="I469" i="3" s="1"/>
  <c r="I468" i="3" a="1"/>
  <c r="I468" i="3" s="1"/>
  <c r="I467" i="3" a="1"/>
  <c r="I467" i="3" s="1"/>
  <c r="I466" i="3" a="1"/>
  <c r="I466" i="3" s="1"/>
  <c r="I465" i="3" a="1"/>
  <c r="I465" i="3" s="1"/>
  <c r="I464" i="3" a="1"/>
  <c r="I464" i="3" s="1"/>
  <c r="I463" i="3" a="1"/>
  <c r="I463" i="3" s="1"/>
  <c r="I462" i="3" a="1"/>
  <c r="I462" i="3" s="1"/>
  <c r="I461" i="3" a="1"/>
  <c r="I461" i="3" s="1"/>
  <c r="I460" i="3" a="1"/>
  <c r="I460" i="3" s="1"/>
  <c r="I459" i="3" a="1"/>
  <c r="I459" i="3" s="1"/>
  <c r="I458" i="3" a="1"/>
  <c r="I458" i="3" s="1"/>
  <c r="I457" i="3" a="1"/>
  <c r="I457" i="3" s="1"/>
  <c r="I456" i="3" a="1"/>
  <c r="I456" i="3" s="1"/>
  <c r="I455" i="3" a="1"/>
  <c r="I455" i="3" s="1"/>
  <c r="I454" i="3" a="1"/>
  <c r="I454" i="3" s="1"/>
  <c r="I453" i="3" a="1"/>
  <c r="I453" i="3" s="1"/>
  <c r="I452" i="3" a="1"/>
  <c r="I452" i="3" s="1"/>
  <c r="I451" i="3" a="1"/>
  <c r="I451" i="3" s="1"/>
  <c r="I450" i="3" a="1"/>
  <c r="I450" i="3" s="1"/>
  <c r="I449" i="3" a="1"/>
  <c r="I449" i="3" s="1"/>
  <c r="I448" i="3" a="1"/>
  <c r="I448" i="3" s="1"/>
  <c r="I447" i="3" a="1"/>
  <c r="I447" i="3" s="1"/>
  <c r="I446" i="3" a="1"/>
  <c r="I446" i="3" s="1"/>
  <c r="I445" i="3" a="1"/>
  <c r="I445" i="3" s="1"/>
  <c r="I444" i="3" a="1"/>
  <c r="I444" i="3" s="1"/>
  <c r="I443" i="3" a="1"/>
  <c r="I443" i="3" s="1"/>
  <c r="I442" i="3" a="1"/>
  <c r="I442" i="3" s="1"/>
  <c r="I441" i="3" a="1"/>
  <c r="I441" i="3" s="1"/>
  <c r="I440" i="3" a="1"/>
  <c r="I440" i="3" s="1"/>
  <c r="I439" i="3" a="1"/>
  <c r="I439" i="3" s="1"/>
  <c r="I438" i="3" a="1"/>
  <c r="I438" i="3" s="1"/>
  <c r="I437" i="3" a="1"/>
  <c r="I437" i="3" s="1"/>
  <c r="I436" i="3" a="1"/>
  <c r="I436" i="3" s="1"/>
  <c r="I435" i="3" a="1"/>
  <c r="I435" i="3" s="1"/>
  <c r="I434" i="3" a="1"/>
  <c r="I434" i="3" s="1"/>
  <c r="I433" i="3" a="1"/>
  <c r="I433" i="3" s="1"/>
  <c r="I432" i="3" a="1"/>
  <c r="I432" i="3" s="1"/>
  <c r="I431" i="3" a="1"/>
  <c r="I431" i="3" s="1"/>
  <c r="I430" i="3" a="1"/>
  <c r="I430" i="3" s="1"/>
  <c r="I429" i="3" a="1"/>
  <c r="I429" i="3" s="1"/>
  <c r="I428" i="3" a="1"/>
  <c r="I428" i="3" s="1"/>
  <c r="I427" i="3" a="1"/>
  <c r="I427" i="3" s="1"/>
  <c r="I426" i="3" a="1"/>
  <c r="I426" i="3" s="1"/>
  <c r="I425" i="3" a="1"/>
  <c r="I425" i="3" s="1"/>
  <c r="I424" i="3" a="1"/>
  <c r="I424" i="3" s="1"/>
  <c r="I423" i="3" a="1"/>
  <c r="I423" i="3" s="1"/>
  <c r="I422" i="3" a="1"/>
  <c r="I422" i="3" s="1"/>
  <c r="I421" i="3" a="1"/>
  <c r="I421" i="3" s="1"/>
  <c r="I420" i="3" a="1"/>
  <c r="I420" i="3" s="1"/>
  <c r="I419" i="3" a="1"/>
  <c r="I419" i="3" s="1"/>
  <c r="I418" i="3" a="1"/>
  <c r="I418" i="3" s="1"/>
  <c r="I417" i="3" a="1"/>
  <c r="I417" i="3" s="1"/>
  <c r="I416" i="3" a="1"/>
  <c r="I416" i="3" s="1"/>
  <c r="I415" i="3" a="1"/>
  <c r="I415" i="3" s="1"/>
  <c r="I414" i="3" a="1"/>
  <c r="I414" i="3" s="1"/>
  <c r="I413" i="3" a="1"/>
  <c r="I413" i="3" s="1"/>
  <c r="I412" i="3" a="1"/>
  <c r="I412" i="3" s="1"/>
  <c r="I411" i="3" a="1"/>
  <c r="I411" i="3" s="1"/>
  <c r="I410" i="3" a="1"/>
  <c r="I410" i="3" s="1"/>
  <c r="I409" i="3" a="1"/>
  <c r="I409" i="3" s="1"/>
  <c r="I408" i="3" a="1"/>
  <c r="I408" i="3" s="1"/>
  <c r="I407" i="3" a="1"/>
  <c r="I407" i="3" s="1"/>
  <c r="I406" i="3" a="1"/>
  <c r="I406" i="3" s="1"/>
  <c r="I405" i="3" a="1"/>
  <c r="I405" i="3" s="1"/>
  <c r="I404" i="3" a="1"/>
  <c r="I404" i="3" s="1"/>
  <c r="I403" i="3" a="1"/>
  <c r="I403" i="3" s="1"/>
  <c r="I402" i="3" a="1"/>
  <c r="I402" i="3" s="1"/>
  <c r="I401" i="3" a="1"/>
  <c r="I401" i="3" s="1"/>
  <c r="I400" i="3" a="1"/>
  <c r="I400" i="3" s="1"/>
  <c r="I399" i="3" a="1"/>
  <c r="I399" i="3" s="1"/>
  <c r="I398" i="3" a="1"/>
  <c r="I398" i="3" s="1"/>
  <c r="I397" i="3" a="1"/>
  <c r="I397" i="3" s="1"/>
  <c r="I396" i="3" a="1"/>
  <c r="I396" i="3" s="1"/>
  <c r="I395" i="3" a="1"/>
  <c r="I395" i="3" s="1"/>
  <c r="I394" i="3" a="1"/>
  <c r="I394" i="3" s="1"/>
  <c r="I393" i="3" a="1"/>
  <c r="I393" i="3" s="1"/>
  <c r="I392" i="3" a="1"/>
  <c r="I392" i="3" s="1"/>
  <c r="I391" i="3" a="1"/>
  <c r="I391" i="3" s="1"/>
  <c r="I390" i="3" a="1"/>
  <c r="I390" i="3" s="1"/>
  <c r="I389" i="3" a="1"/>
  <c r="I389" i="3" s="1"/>
  <c r="I388" i="3" a="1"/>
  <c r="I388" i="3" s="1"/>
  <c r="I387" i="3" a="1"/>
  <c r="I387" i="3" s="1"/>
  <c r="I386" i="3" a="1"/>
  <c r="I386" i="3" s="1"/>
  <c r="I385" i="3" a="1"/>
  <c r="I385" i="3" s="1"/>
  <c r="I384" i="3" a="1"/>
  <c r="I384" i="3" s="1"/>
  <c r="I383" i="3" a="1"/>
  <c r="I383" i="3" s="1"/>
  <c r="I382" i="3" a="1"/>
  <c r="I382" i="3" s="1"/>
  <c r="I381" i="3" a="1"/>
  <c r="I381" i="3" s="1"/>
  <c r="I380" i="3" a="1"/>
  <c r="I380" i="3" s="1"/>
  <c r="I379" i="3" a="1"/>
  <c r="I379" i="3" s="1"/>
  <c r="I378" i="3" a="1"/>
  <c r="I378" i="3" s="1"/>
  <c r="I377" i="3" a="1"/>
  <c r="I377" i="3" s="1"/>
  <c r="I376" i="3" a="1"/>
  <c r="I376" i="3" s="1"/>
  <c r="I375" i="3" a="1"/>
  <c r="I375" i="3" s="1"/>
  <c r="I374" i="3" a="1"/>
  <c r="I374" i="3" s="1"/>
  <c r="I373" i="3" a="1"/>
  <c r="I373" i="3" s="1"/>
  <c r="I372" i="3" a="1"/>
  <c r="I372" i="3" s="1"/>
  <c r="I371" i="3" a="1"/>
  <c r="I371" i="3" s="1"/>
  <c r="I370" i="3" a="1"/>
  <c r="I370" i="3" s="1"/>
  <c r="I369" i="3" a="1"/>
  <c r="I369" i="3" s="1"/>
  <c r="I368" i="3" a="1"/>
  <c r="I368" i="3" s="1"/>
  <c r="I367" i="3" a="1"/>
  <c r="I367" i="3" s="1"/>
  <c r="I366" i="3" a="1"/>
  <c r="I366" i="3" s="1"/>
  <c r="I365" i="3" a="1"/>
  <c r="I365" i="3" s="1"/>
  <c r="I364" i="3" a="1"/>
  <c r="I364" i="3" s="1"/>
  <c r="I363" i="3" a="1"/>
  <c r="I363" i="3" s="1"/>
  <c r="I362" i="3" a="1"/>
  <c r="I362" i="3" s="1"/>
  <c r="I361" i="3" a="1"/>
  <c r="I361" i="3" s="1"/>
  <c r="I360" i="3" a="1"/>
  <c r="I360" i="3" s="1"/>
  <c r="I359" i="3" a="1"/>
  <c r="I359" i="3" s="1"/>
  <c r="I358" i="3" a="1"/>
  <c r="I358" i="3" s="1"/>
  <c r="I357" i="3" a="1"/>
  <c r="I357" i="3" s="1"/>
  <c r="I356" i="3" a="1"/>
  <c r="I356" i="3" s="1"/>
  <c r="I355" i="3" a="1"/>
  <c r="I355" i="3" s="1"/>
  <c r="I354" i="3" a="1"/>
  <c r="I354" i="3" s="1"/>
  <c r="I353" i="3" a="1"/>
  <c r="I353" i="3" s="1"/>
  <c r="I352" i="3" a="1"/>
  <c r="I352" i="3" s="1"/>
  <c r="I351" i="3" a="1"/>
  <c r="I351" i="3" s="1"/>
  <c r="I350" i="3" a="1"/>
  <c r="I350" i="3" s="1"/>
  <c r="I349" i="3" a="1"/>
  <c r="I349" i="3" s="1"/>
  <c r="I348" i="3" a="1"/>
  <c r="I348" i="3" s="1"/>
  <c r="I347" i="3" a="1"/>
  <c r="I347" i="3" s="1"/>
  <c r="I346" i="3" a="1"/>
  <c r="I346" i="3" s="1"/>
  <c r="I345" i="3" a="1"/>
  <c r="I345" i="3" s="1"/>
  <c r="I344" i="3" a="1"/>
  <c r="I344" i="3" s="1"/>
  <c r="I343" i="3" a="1"/>
  <c r="I343" i="3" s="1"/>
  <c r="I342" i="3" a="1"/>
  <c r="I342" i="3" s="1"/>
  <c r="I341" i="3" a="1"/>
  <c r="I341" i="3" s="1"/>
  <c r="I340" i="3" a="1"/>
  <c r="I340" i="3" s="1"/>
  <c r="I339" i="3" a="1"/>
  <c r="I339" i="3" s="1"/>
  <c r="I338" i="3" a="1"/>
  <c r="I338" i="3" s="1"/>
  <c r="I337" i="3" a="1"/>
  <c r="I337" i="3" s="1"/>
  <c r="I336" i="3" a="1"/>
  <c r="I336" i="3" s="1"/>
  <c r="I335" i="3" a="1"/>
  <c r="I335" i="3" s="1"/>
  <c r="I334" i="3" a="1"/>
  <c r="I334" i="3" s="1"/>
  <c r="I333" i="3" a="1"/>
  <c r="I333" i="3" s="1"/>
  <c r="I332" i="3" a="1"/>
  <c r="I332" i="3" s="1"/>
  <c r="I331" i="3" a="1"/>
  <c r="I331" i="3" s="1"/>
  <c r="I330" i="3" a="1"/>
  <c r="I330" i="3" s="1"/>
  <c r="I329" i="3" a="1"/>
  <c r="I329" i="3" s="1"/>
  <c r="I328" i="3" a="1"/>
  <c r="I328" i="3" s="1"/>
  <c r="I327" i="3" a="1"/>
  <c r="I327" i="3" s="1"/>
  <c r="I326" i="3" a="1"/>
  <c r="I326" i="3" s="1"/>
  <c r="I325" i="3" a="1"/>
  <c r="I325" i="3" s="1"/>
  <c r="I324" i="3" a="1"/>
  <c r="I324" i="3" s="1"/>
  <c r="I323" i="3" a="1"/>
  <c r="I323" i="3" s="1"/>
  <c r="I322" i="3" a="1"/>
  <c r="I322" i="3" s="1"/>
  <c r="I321" i="3" a="1"/>
  <c r="I321" i="3" s="1"/>
  <c r="I320" i="3" a="1"/>
  <c r="I320" i="3" s="1"/>
  <c r="I319" i="3" a="1"/>
  <c r="I319" i="3" s="1"/>
  <c r="I318" i="3" a="1"/>
  <c r="I318" i="3" s="1"/>
  <c r="I317" i="3" a="1"/>
  <c r="I317" i="3" s="1"/>
  <c r="I316" i="3" a="1"/>
  <c r="I316" i="3" s="1"/>
  <c r="I315" i="3" a="1"/>
  <c r="I315" i="3" s="1"/>
  <c r="I314" i="3" a="1"/>
  <c r="I314" i="3" s="1"/>
  <c r="I313" i="3" a="1"/>
  <c r="I313" i="3" s="1"/>
  <c r="I312" i="3" a="1"/>
  <c r="I312" i="3" s="1"/>
  <c r="I311" i="3" a="1"/>
  <c r="I311" i="3" s="1"/>
  <c r="I310" i="3" a="1"/>
  <c r="I310" i="3" s="1"/>
  <c r="I309" i="3" a="1"/>
  <c r="I309" i="3" s="1"/>
  <c r="I308" i="3" a="1"/>
  <c r="I308" i="3" s="1"/>
  <c r="I307" i="3" a="1"/>
  <c r="I307" i="3" s="1"/>
  <c r="I306" i="3" a="1"/>
  <c r="I306" i="3" s="1"/>
  <c r="I305" i="3" a="1"/>
  <c r="I305" i="3" s="1"/>
  <c r="I304" i="3" a="1"/>
  <c r="I304" i="3" s="1"/>
  <c r="I303" i="3" a="1"/>
  <c r="I303" i="3" s="1"/>
  <c r="I302" i="3" a="1"/>
  <c r="I302" i="3" s="1"/>
  <c r="I301" i="3" a="1"/>
  <c r="I301" i="3" s="1"/>
  <c r="I300" i="3" a="1"/>
  <c r="I300" i="3" s="1"/>
  <c r="I299" i="3" a="1"/>
  <c r="I299" i="3" s="1"/>
  <c r="I298" i="3" a="1"/>
  <c r="I298" i="3" s="1"/>
  <c r="I297" i="3" a="1"/>
  <c r="I297" i="3" s="1"/>
  <c r="I296" i="3" a="1"/>
  <c r="I296" i="3" s="1"/>
  <c r="I295" i="3" a="1"/>
  <c r="I295" i="3" s="1"/>
  <c r="I294" i="3" a="1"/>
  <c r="I294" i="3" s="1"/>
  <c r="I293" i="3" a="1"/>
  <c r="I293" i="3" s="1"/>
  <c r="I292" i="3" a="1"/>
  <c r="I292" i="3" s="1"/>
  <c r="I291" i="3" a="1"/>
  <c r="I291" i="3" s="1"/>
  <c r="I290" i="3" a="1"/>
  <c r="I290" i="3" s="1"/>
  <c r="I289" i="3" a="1"/>
  <c r="I289" i="3" s="1"/>
  <c r="I288" i="3" a="1"/>
  <c r="I288" i="3" s="1"/>
  <c r="I287" i="3" a="1"/>
  <c r="I287" i="3" s="1"/>
  <c r="I286" i="3" a="1"/>
  <c r="I286" i="3" s="1"/>
  <c r="I285" i="3" a="1"/>
  <c r="I285" i="3" s="1"/>
  <c r="I284" i="3" a="1"/>
  <c r="I284" i="3" s="1"/>
  <c r="I283" i="3" a="1"/>
  <c r="I283" i="3" s="1"/>
  <c r="I282" i="3" a="1"/>
  <c r="I282" i="3" s="1"/>
  <c r="I281" i="3" a="1"/>
  <c r="I281" i="3" s="1"/>
  <c r="I280" i="3" a="1"/>
  <c r="I280" i="3" s="1"/>
  <c r="I279" i="3" a="1"/>
  <c r="I279" i="3" s="1"/>
  <c r="I278" i="3" a="1"/>
  <c r="I278" i="3" s="1"/>
  <c r="I277" i="3" a="1"/>
  <c r="I277" i="3" s="1"/>
  <c r="I276" i="3" a="1"/>
  <c r="I276" i="3" s="1"/>
  <c r="I275" i="3" a="1"/>
  <c r="I275" i="3" s="1"/>
  <c r="I274" i="3" a="1"/>
  <c r="I274" i="3" s="1"/>
  <c r="I273" i="3" a="1"/>
  <c r="I273" i="3" s="1"/>
  <c r="I272" i="3" a="1"/>
  <c r="I272" i="3" s="1"/>
  <c r="I271" i="3" a="1"/>
  <c r="I271" i="3" s="1"/>
  <c r="I270" i="3" a="1"/>
  <c r="I270" i="3" s="1"/>
  <c r="I269" i="3" a="1"/>
  <c r="I269" i="3" s="1"/>
  <c r="I268" i="3" a="1"/>
  <c r="I268" i="3" s="1"/>
  <c r="I267" i="3" a="1"/>
  <c r="I267" i="3" s="1"/>
  <c r="I266" i="3" a="1"/>
  <c r="I266" i="3" s="1"/>
  <c r="I265" i="3" a="1"/>
  <c r="I265" i="3" s="1"/>
  <c r="I264" i="3" a="1"/>
  <c r="I264" i="3" s="1"/>
  <c r="I263" i="3" a="1"/>
  <c r="I263" i="3" s="1"/>
  <c r="I262" i="3" a="1"/>
  <c r="I262" i="3" s="1"/>
  <c r="I261" i="3" a="1"/>
  <c r="I261" i="3" s="1"/>
  <c r="I260" i="3" a="1"/>
  <c r="I260" i="3" s="1"/>
  <c r="I259" i="3" a="1"/>
  <c r="I259" i="3" s="1"/>
  <c r="I258" i="3" a="1"/>
  <c r="I258" i="3" s="1"/>
  <c r="I257" i="3" a="1"/>
  <c r="I257" i="3" s="1"/>
  <c r="I256" i="3" a="1"/>
  <c r="I256" i="3" s="1"/>
  <c r="I255" i="3" a="1"/>
  <c r="I255" i="3" s="1"/>
  <c r="I254" i="3" a="1"/>
  <c r="I254" i="3" s="1"/>
  <c r="I253" i="3" a="1"/>
  <c r="I253" i="3" s="1"/>
  <c r="I252" i="3" a="1"/>
  <c r="I252" i="3" s="1"/>
  <c r="I251" i="3" a="1"/>
  <c r="I251" i="3" s="1"/>
  <c r="I250" i="3" a="1"/>
  <c r="I250" i="3" s="1"/>
  <c r="I249" i="3" a="1"/>
  <c r="I249" i="3" s="1"/>
  <c r="I248" i="3" a="1"/>
  <c r="I248" i="3" s="1"/>
  <c r="I247" i="3" a="1"/>
  <c r="I247" i="3" s="1"/>
  <c r="I246" i="3" a="1"/>
  <c r="I246" i="3" s="1"/>
  <c r="I245" i="3" a="1"/>
  <c r="I245" i="3" s="1"/>
  <c r="I244" i="3" a="1"/>
  <c r="I244" i="3" s="1"/>
  <c r="I243" i="3" a="1"/>
  <c r="I243" i="3" s="1"/>
  <c r="I242" i="3" a="1"/>
  <c r="I242" i="3" s="1"/>
  <c r="I241" i="3" a="1"/>
  <c r="I241" i="3" s="1"/>
  <c r="I240" i="3" a="1"/>
  <c r="I240" i="3" s="1"/>
  <c r="I239" i="3" a="1"/>
  <c r="I239" i="3" s="1"/>
  <c r="I238" i="3" a="1"/>
  <c r="I238" i="3" s="1"/>
  <c r="I237" i="3" a="1"/>
  <c r="I237" i="3" s="1"/>
  <c r="I236" i="3" a="1"/>
  <c r="I236" i="3" s="1"/>
  <c r="I235" i="3" a="1"/>
  <c r="I235" i="3" s="1"/>
  <c r="I234" i="3" a="1"/>
  <c r="I234" i="3" s="1"/>
  <c r="I233" i="3" a="1"/>
  <c r="I233" i="3" s="1"/>
  <c r="I232" i="3" a="1"/>
  <c r="I232" i="3" s="1"/>
  <c r="I231" i="3" a="1"/>
  <c r="I231" i="3" s="1"/>
  <c r="I230" i="3" a="1"/>
  <c r="I230" i="3" s="1"/>
  <c r="I229" i="3" a="1"/>
  <c r="I229" i="3" s="1"/>
  <c r="I228" i="3" a="1"/>
  <c r="I228" i="3" s="1"/>
  <c r="I227" i="3" a="1"/>
  <c r="I227" i="3" s="1"/>
  <c r="I226" i="3" a="1"/>
  <c r="I226" i="3" s="1"/>
  <c r="I225" i="3" a="1"/>
  <c r="I225" i="3" s="1"/>
  <c r="I224" i="3" a="1"/>
  <c r="I224" i="3" s="1"/>
  <c r="I223" i="3" a="1"/>
  <c r="I223" i="3" s="1"/>
  <c r="I222" i="3" a="1"/>
  <c r="I222" i="3" s="1"/>
  <c r="I221" i="3" a="1"/>
  <c r="I221" i="3" s="1"/>
  <c r="I220" i="3" a="1"/>
  <c r="I220" i="3" s="1"/>
  <c r="I219" i="3" a="1"/>
  <c r="I219" i="3" s="1"/>
  <c r="I218" i="3" a="1"/>
  <c r="I218" i="3" s="1"/>
  <c r="I217" i="3" a="1"/>
  <c r="I217" i="3" s="1"/>
  <c r="I216" i="3" a="1"/>
  <c r="I216" i="3" s="1"/>
  <c r="I215" i="3" a="1"/>
  <c r="I215" i="3" s="1"/>
  <c r="I214" i="3" a="1"/>
  <c r="I214" i="3" s="1"/>
  <c r="I213" i="3" a="1"/>
  <c r="I213" i="3" s="1"/>
  <c r="I212" i="3" a="1"/>
  <c r="I212" i="3" s="1"/>
  <c r="I211" i="3" a="1"/>
  <c r="I211" i="3" s="1"/>
  <c r="I210" i="3" a="1"/>
  <c r="I210" i="3" s="1"/>
  <c r="I209" i="3" a="1"/>
  <c r="I209" i="3" s="1"/>
  <c r="I208" i="3" a="1"/>
  <c r="I208" i="3" s="1"/>
  <c r="I207" i="3" a="1"/>
  <c r="I207" i="3" s="1"/>
  <c r="I206" i="3" a="1"/>
  <c r="I206" i="3" s="1"/>
  <c r="I205" i="3" a="1"/>
  <c r="I205" i="3" s="1"/>
  <c r="I204" i="3" a="1"/>
  <c r="I204" i="3" s="1"/>
  <c r="I203" i="3" a="1"/>
  <c r="I203" i="3" s="1"/>
  <c r="I202" i="3" a="1"/>
  <c r="I202" i="3" s="1"/>
  <c r="I201" i="3" a="1"/>
  <c r="I201" i="3" s="1"/>
  <c r="I200" i="3" a="1"/>
  <c r="I200" i="3" s="1"/>
  <c r="I199" i="3" a="1"/>
  <c r="I199" i="3" s="1"/>
  <c r="I198" i="3" a="1"/>
  <c r="I198" i="3" s="1"/>
  <c r="I197" i="3" a="1"/>
  <c r="I197" i="3" s="1"/>
  <c r="I196" i="3" a="1"/>
  <c r="I196" i="3" s="1"/>
  <c r="I195" i="3" a="1"/>
  <c r="I195" i="3" s="1"/>
  <c r="I194" i="3" a="1"/>
  <c r="I194" i="3" s="1"/>
  <c r="I193" i="3" a="1"/>
  <c r="I193" i="3" s="1"/>
  <c r="I192" i="3" a="1"/>
  <c r="I192" i="3" s="1"/>
  <c r="I191" i="3" a="1"/>
  <c r="I191" i="3" s="1"/>
  <c r="I190" i="3" a="1"/>
  <c r="I190" i="3" s="1"/>
  <c r="I189" i="3" a="1"/>
  <c r="I189" i="3" s="1"/>
  <c r="I188" i="3" a="1"/>
  <c r="I188" i="3" s="1"/>
  <c r="I187" i="3" a="1"/>
  <c r="I187" i="3" s="1"/>
  <c r="I186" i="3" a="1"/>
  <c r="I186" i="3" s="1"/>
  <c r="I185" i="3" a="1"/>
  <c r="I185" i="3" s="1"/>
  <c r="I184" i="3" a="1"/>
  <c r="I184" i="3" s="1"/>
  <c r="I183" i="3" a="1"/>
  <c r="I183" i="3" s="1"/>
  <c r="I182" i="3" a="1"/>
  <c r="I182" i="3" s="1"/>
  <c r="I181" i="3" a="1"/>
  <c r="I181" i="3" s="1"/>
  <c r="I180" i="3" a="1"/>
  <c r="I180" i="3" s="1"/>
  <c r="I179" i="3" a="1"/>
  <c r="I179" i="3" s="1"/>
  <c r="I178" i="3" a="1"/>
  <c r="I178" i="3" s="1"/>
  <c r="I177" i="3" a="1"/>
  <c r="I177" i="3" s="1"/>
  <c r="I176" i="3" a="1"/>
  <c r="I176" i="3" s="1"/>
  <c r="I175" i="3" a="1"/>
  <c r="I175" i="3" s="1"/>
  <c r="I174" i="3" a="1"/>
  <c r="I174" i="3" s="1"/>
  <c r="I173" i="3" a="1"/>
  <c r="I173" i="3" s="1"/>
  <c r="I172" i="3" a="1"/>
  <c r="I172" i="3" s="1"/>
  <c r="I171" i="3" a="1"/>
  <c r="I171" i="3" s="1"/>
  <c r="I170" i="3" a="1"/>
  <c r="I170" i="3" s="1"/>
  <c r="I169" i="3" a="1"/>
  <c r="I169" i="3" s="1"/>
  <c r="I168" i="3" a="1"/>
  <c r="I168" i="3" s="1"/>
  <c r="I167" i="3" a="1"/>
  <c r="I167" i="3" s="1"/>
  <c r="I166" i="3" a="1"/>
  <c r="I166" i="3" s="1"/>
  <c r="I165" i="3" a="1"/>
  <c r="I165" i="3" s="1"/>
  <c r="I164" i="3" a="1"/>
  <c r="I164" i="3" s="1"/>
  <c r="I163" i="3" a="1"/>
  <c r="I163" i="3" s="1"/>
  <c r="I162" i="3" a="1"/>
  <c r="I162" i="3" s="1"/>
  <c r="I161" i="3" a="1"/>
  <c r="I161" i="3" s="1"/>
  <c r="I160" i="3" a="1"/>
  <c r="I160" i="3" s="1"/>
  <c r="I159" i="3" a="1"/>
  <c r="I159" i="3" s="1"/>
  <c r="I158" i="3" a="1"/>
  <c r="I158" i="3" s="1"/>
  <c r="I157" i="3" a="1"/>
  <c r="I157" i="3" s="1"/>
  <c r="I156" i="3" a="1"/>
  <c r="I156" i="3" s="1"/>
  <c r="I155" i="3" a="1"/>
  <c r="I155" i="3" s="1"/>
  <c r="I154" i="3" a="1"/>
  <c r="I154" i="3" s="1"/>
  <c r="I153" i="3" a="1"/>
  <c r="I153" i="3" s="1"/>
  <c r="I152" i="3" a="1"/>
  <c r="I152" i="3" s="1"/>
  <c r="I151" i="3" a="1"/>
  <c r="I151" i="3" s="1"/>
  <c r="I150" i="3" a="1"/>
  <c r="I150" i="3" s="1"/>
  <c r="I149" i="3" a="1"/>
  <c r="I149" i="3" s="1"/>
  <c r="I148" i="3" a="1"/>
  <c r="I148" i="3" s="1"/>
  <c r="I147" i="3" a="1"/>
  <c r="I147" i="3" s="1"/>
  <c r="I146" i="3" a="1"/>
  <c r="I146" i="3" s="1"/>
  <c r="I145" i="3" a="1"/>
  <c r="I145" i="3" s="1"/>
  <c r="I144" i="3" a="1"/>
  <c r="I144" i="3" s="1"/>
  <c r="I143" i="3" a="1"/>
  <c r="I143" i="3" s="1"/>
  <c r="I142" i="3" a="1"/>
  <c r="I142" i="3" s="1"/>
  <c r="I141" i="3" a="1"/>
  <c r="I141" i="3" s="1"/>
  <c r="I140" i="3" a="1"/>
  <c r="I140" i="3" s="1"/>
  <c r="I139" i="3" a="1"/>
  <c r="I139" i="3" s="1"/>
  <c r="I138" i="3" a="1"/>
  <c r="I138" i="3" s="1"/>
  <c r="I137" i="3" a="1"/>
  <c r="I137" i="3" s="1"/>
  <c r="I136" i="3" a="1"/>
  <c r="I136" i="3" s="1"/>
  <c r="I135" i="3" a="1"/>
  <c r="I135" i="3" s="1"/>
  <c r="I134" i="3" a="1"/>
  <c r="I134" i="3" s="1"/>
  <c r="I133" i="3" a="1"/>
  <c r="I133" i="3" s="1"/>
  <c r="I132" i="3" a="1"/>
  <c r="I132" i="3" s="1"/>
  <c r="I131" i="3" a="1"/>
  <c r="I131" i="3" s="1"/>
  <c r="I130" i="3" a="1"/>
  <c r="I130" i="3" s="1"/>
  <c r="I129" i="3" a="1"/>
  <c r="I129" i="3" s="1"/>
  <c r="I128" i="3" a="1"/>
  <c r="I128" i="3" s="1"/>
  <c r="I127" i="3" a="1"/>
  <c r="I127" i="3" s="1"/>
  <c r="I126" i="3" a="1"/>
  <c r="I126" i="3" s="1"/>
  <c r="I125" i="3" a="1"/>
  <c r="I125" i="3" s="1"/>
  <c r="I124" i="3" a="1"/>
  <c r="I124" i="3" s="1"/>
  <c r="I123" i="3" a="1"/>
  <c r="I123" i="3" s="1"/>
  <c r="I122" i="3" a="1"/>
  <c r="I122" i="3" s="1"/>
  <c r="I121" i="3" a="1"/>
  <c r="I121" i="3" s="1"/>
  <c r="I120" i="3" a="1"/>
  <c r="I120" i="3" s="1"/>
  <c r="I119" i="3" a="1"/>
  <c r="I119" i="3" s="1"/>
  <c r="I118" i="3" a="1"/>
  <c r="I118" i="3" s="1"/>
  <c r="I117" i="3" a="1"/>
  <c r="I117" i="3" s="1"/>
  <c r="I116" i="3" a="1"/>
  <c r="I116" i="3" s="1"/>
  <c r="I115" i="3" a="1"/>
  <c r="I115" i="3" s="1"/>
  <c r="I114" i="3" a="1"/>
  <c r="I114" i="3" s="1"/>
  <c r="I113" i="3" a="1"/>
  <c r="I113" i="3" s="1"/>
  <c r="I112" i="3" a="1"/>
  <c r="I112" i="3" s="1"/>
  <c r="I111" i="3" a="1"/>
  <c r="I111" i="3" s="1"/>
  <c r="I110" i="3" a="1"/>
  <c r="I110" i="3" s="1"/>
  <c r="I109" i="3" a="1"/>
  <c r="I109" i="3" s="1"/>
  <c r="I108" i="3" a="1"/>
  <c r="I108" i="3" s="1"/>
  <c r="I107" i="3" a="1"/>
  <c r="I107" i="3" s="1"/>
  <c r="I106" i="3" a="1"/>
  <c r="I106" i="3" s="1"/>
  <c r="I105" i="3" a="1"/>
  <c r="I105" i="3" s="1"/>
  <c r="I104" i="3" a="1"/>
  <c r="I104" i="3" s="1"/>
  <c r="I103" i="3" a="1"/>
  <c r="I103" i="3" s="1"/>
  <c r="I102" i="3" a="1"/>
  <c r="I102" i="3" s="1"/>
  <c r="I101" i="3" a="1"/>
  <c r="I101" i="3" s="1"/>
  <c r="I100" i="3" a="1"/>
  <c r="I100" i="3" s="1"/>
  <c r="I99" i="3" a="1"/>
  <c r="I99" i="3" s="1"/>
  <c r="I98" i="3" a="1"/>
  <c r="I98" i="3" s="1"/>
  <c r="I97" i="3" a="1"/>
  <c r="I97" i="3" s="1"/>
  <c r="I96" i="3" a="1"/>
  <c r="I96" i="3" s="1"/>
  <c r="I95" i="3" a="1"/>
  <c r="I95" i="3" s="1"/>
  <c r="I94" i="3" a="1"/>
  <c r="I94" i="3" s="1"/>
  <c r="I93" i="3" a="1"/>
  <c r="I93" i="3" s="1"/>
  <c r="I92" i="3" a="1"/>
  <c r="I92" i="3" s="1"/>
  <c r="I91" i="3" a="1"/>
  <c r="I91" i="3" s="1"/>
  <c r="I90" i="3" a="1"/>
  <c r="I90" i="3" s="1"/>
  <c r="I89" i="3" a="1"/>
  <c r="I89" i="3" s="1"/>
  <c r="I88" i="3" a="1"/>
  <c r="I88" i="3" s="1"/>
  <c r="I87" i="3" a="1"/>
  <c r="I87" i="3" s="1"/>
  <c r="I86" i="3" a="1"/>
  <c r="I86" i="3" s="1"/>
  <c r="I85" i="3" a="1"/>
  <c r="I85" i="3" s="1"/>
  <c r="I84" i="3" a="1"/>
  <c r="I84" i="3" s="1"/>
  <c r="I83" i="3" a="1"/>
  <c r="I83" i="3" s="1"/>
  <c r="I82" i="3" a="1"/>
  <c r="I82" i="3" s="1"/>
  <c r="I81" i="3" a="1"/>
  <c r="I81" i="3" s="1"/>
  <c r="I80" i="3" a="1"/>
  <c r="I80" i="3" s="1"/>
  <c r="I79" i="3" a="1"/>
  <c r="I79" i="3" s="1"/>
  <c r="I78" i="3" a="1"/>
  <c r="I78" i="3" s="1"/>
  <c r="I77" i="3" a="1"/>
  <c r="I77" i="3" s="1"/>
  <c r="I76" i="3" a="1"/>
  <c r="I76" i="3" s="1"/>
  <c r="I75" i="3" a="1"/>
  <c r="I75" i="3" s="1"/>
  <c r="I74" i="3" a="1"/>
  <c r="I74" i="3" s="1"/>
  <c r="I73" i="3" a="1"/>
  <c r="I73" i="3" s="1"/>
  <c r="I72" i="3" a="1"/>
  <c r="I72" i="3" s="1"/>
  <c r="I71" i="3" a="1"/>
  <c r="I71" i="3" s="1"/>
  <c r="I70" i="3" a="1"/>
  <c r="I70" i="3" s="1"/>
  <c r="I69" i="3" a="1"/>
  <c r="I69" i="3" s="1"/>
  <c r="I68" i="3" a="1"/>
  <c r="I68" i="3" s="1"/>
  <c r="I67" i="3" a="1"/>
  <c r="I67" i="3" s="1"/>
  <c r="I66" i="3" a="1"/>
  <c r="I66" i="3" s="1"/>
  <c r="I65" i="3" a="1"/>
  <c r="I65" i="3" s="1"/>
  <c r="I64" i="3" a="1"/>
  <c r="I64" i="3" s="1"/>
  <c r="I63" i="3" a="1"/>
  <c r="I63" i="3" s="1"/>
  <c r="I62" i="3" a="1"/>
  <c r="I62" i="3" s="1"/>
  <c r="I61" i="3" a="1"/>
  <c r="I61" i="3" s="1"/>
  <c r="I60" i="3" a="1"/>
  <c r="I60" i="3" s="1"/>
  <c r="I59" i="3" a="1"/>
  <c r="I59" i="3" s="1"/>
  <c r="I58" i="3" a="1"/>
  <c r="I58" i="3" s="1"/>
  <c r="I57" i="3" a="1"/>
  <c r="I57" i="3" s="1"/>
  <c r="I56" i="3" a="1"/>
  <c r="I56" i="3" s="1"/>
  <c r="I55" i="3" a="1"/>
  <c r="I55" i="3" s="1"/>
  <c r="I54" i="3" a="1"/>
  <c r="I54" i="3" s="1"/>
  <c r="I53" i="3" a="1"/>
  <c r="I53" i="3" s="1"/>
  <c r="I52" i="3" a="1"/>
  <c r="I52" i="3" s="1"/>
  <c r="I51" i="3" a="1"/>
  <c r="I51" i="3" s="1"/>
  <c r="I50" i="3" a="1"/>
  <c r="I50" i="3" s="1"/>
  <c r="I49" i="3" a="1"/>
  <c r="I49" i="3" s="1"/>
  <c r="I48" i="3" a="1"/>
  <c r="I48" i="3" s="1"/>
  <c r="I47" i="3" a="1"/>
  <c r="I47" i="3" s="1"/>
  <c r="I46" i="3" a="1"/>
  <c r="I46" i="3" s="1"/>
  <c r="I45" i="3" a="1"/>
  <c r="I45" i="3" s="1"/>
  <c r="I44" i="3" a="1"/>
  <c r="I44" i="3" s="1"/>
  <c r="I43" i="3" a="1"/>
  <c r="I43" i="3" s="1"/>
  <c r="I42" i="3" a="1"/>
  <c r="I42" i="3" s="1"/>
  <c r="I41" i="3" a="1"/>
  <c r="I41" i="3" s="1"/>
  <c r="I40" i="3" a="1"/>
  <c r="I40" i="3" s="1"/>
  <c r="I39" i="3" a="1"/>
  <c r="I39" i="3" s="1"/>
  <c r="I38" i="3" a="1"/>
  <c r="I38" i="3" s="1"/>
  <c r="I37" i="3" a="1"/>
  <c r="I37" i="3" s="1"/>
  <c r="I36" i="3" a="1"/>
  <c r="I36" i="3" s="1"/>
  <c r="I35" i="3" a="1"/>
  <c r="I35" i="3" s="1"/>
  <c r="I34" i="3" a="1"/>
  <c r="I34" i="3" s="1"/>
  <c r="I33" i="3" a="1"/>
  <c r="I33" i="3" s="1"/>
  <c r="I32" i="3" a="1"/>
  <c r="I32" i="3" s="1"/>
  <c r="I31" i="3" a="1"/>
  <c r="I31" i="3" s="1"/>
  <c r="I30" i="3" a="1"/>
  <c r="I30" i="3" s="1"/>
  <c r="I29" i="3" a="1"/>
  <c r="I29" i="3" s="1"/>
  <c r="I28" i="3" a="1"/>
  <c r="I28" i="3" s="1"/>
  <c r="I27" i="3" a="1"/>
  <c r="I27" i="3" s="1"/>
  <c r="I26" i="3" a="1"/>
  <c r="I26" i="3" s="1"/>
  <c r="I25" i="3" a="1"/>
  <c r="I25" i="3" s="1"/>
  <c r="I24" i="3" a="1"/>
  <c r="I24" i="3" s="1"/>
  <c r="I23" i="3" a="1"/>
  <c r="I23" i="3" s="1"/>
  <c r="I22" i="3" a="1"/>
  <c r="I22" i="3" s="1"/>
  <c r="I21" i="3" a="1"/>
  <c r="I21" i="3" s="1"/>
  <c r="I20" i="3" a="1"/>
  <c r="I20" i="3" s="1"/>
  <c r="I19" i="3" a="1"/>
  <c r="I19" i="3" s="1"/>
  <c r="I18" i="3" a="1"/>
  <c r="I18" i="3" s="1"/>
  <c r="I17" i="3" a="1"/>
  <c r="I17" i="3" s="1"/>
  <c r="I16" i="3" a="1"/>
  <c r="I16" i="3" s="1"/>
  <c r="I15" i="3" a="1"/>
  <c r="I15" i="3" s="1"/>
  <c r="I14" i="3" a="1"/>
  <c r="I14" i="3" s="1"/>
  <c r="I13" i="3" a="1"/>
  <c r="I13" i="3" s="1"/>
  <c r="I12" i="3" a="1"/>
  <c r="I12" i="3" s="1"/>
  <c r="I11" i="3" a="1"/>
  <c r="I11" i="3" s="1"/>
  <c r="I10" i="3" a="1"/>
  <c r="I10" i="3" s="1"/>
  <c r="I9" i="3" a="1"/>
  <c r="I9" i="3" s="1"/>
  <c r="I8" i="3" a="1"/>
  <c r="I8" i="3" s="1"/>
  <c r="I7" i="3" a="1"/>
  <c r="I7" i="3" s="1"/>
  <c r="I6" i="3" a="1"/>
  <c r="I6" i="3" s="1"/>
  <c r="I5" i="3" a="1"/>
  <c r="I5" i="3" s="1"/>
  <c r="I4" i="3" a="1"/>
  <c r="I4" i="3" s="1"/>
  <c r="I3" i="3" a="1"/>
  <c r="I3" i="3" s="1"/>
  <c r="I2" i="3" a="1"/>
  <c r="I2" i="3" s="1"/>
  <c r="H579" i="3" a="1"/>
  <c r="H579" i="3" s="1"/>
  <c r="H578" i="3" a="1"/>
  <c r="H578" i="3" s="1"/>
  <c r="H577" i="3" a="1"/>
  <c r="H577" i="3" s="1"/>
  <c r="H576" i="3" a="1"/>
  <c r="H576" i="3" s="1"/>
  <c r="H575" i="3" a="1"/>
  <c r="H575" i="3" s="1"/>
  <c r="H574" i="3" a="1"/>
  <c r="H574" i="3" s="1"/>
  <c r="H573" i="3" a="1"/>
  <c r="H573" i="3" s="1"/>
  <c r="H572" i="3" a="1"/>
  <c r="H572" i="3" s="1"/>
  <c r="H571" i="3" a="1"/>
  <c r="H571" i="3" s="1"/>
  <c r="H570" i="3" a="1"/>
  <c r="H570" i="3" s="1"/>
  <c r="H569" i="3" a="1"/>
  <c r="H569" i="3" s="1"/>
  <c r="H568" i="3" a="1"/>
  <c r="H568" i="3" s="1"/>
  <c r="H567" i="3" a="1"/>
  <c r="H567" i="3" s="1"/>
  <c r="H566" i="3" a="1"/>
  <c r="H566" i="3" s="1"/>
  <c r="H565" i="3" a="1"/>
  <c r="H565" i="3" s="1"/>
  <c r="H564" i="3" a="1"/>
  <c r="H564" i="3" s="1"/>
  <c r="H563" i="3" a="1"/>
  <c r="H563" i="3" s="1"/>
  <c r="H562" i="3" a="1"/>
  <c r="H562" i="3" s="1"/>
  <c r="H561" i="3" a="1"/>
  <c r="H561" i="3" s="1"/>
  <c r="H560" i="3" a="1"/>
  <c r="H560" i="3" s="1"/>
  <c r="H559" i="3" a="1"/>
  <c r="H559" i="3" s="1"/>
  <c r="H558" i="3" a="1"/>
  <c r="H558" i="3" s="1"/>
  <c r="H557" i="3" a="1"/>
  <c r="H557" i="3" s="1"/>
  <c r="H555" i="3" a="1"/>
  <c r="H555" i="3" s="1"/>
  <c r="H554" i="3" a="1"/>
  <c r="H554" i="3" s="1"/>
  <c r="H553" i="3" a="1"/>
  <c r="H553" i="3" s="1"/>
  <c r="H552" i="3" a="1"/>
  <c r="H552" i="3" s="1"/>
  <c r="H551" i="3" a="1"/>
  <c r="H551" i="3" s="1"/>
  <c r="H550" i="3" a="1"/>
  <c r="H550" i="3" s="1"/>
  <c r="H549" i="3" a="1"/>
  <c r="H549" i="3" s="1"/>
  <c r="H548" i="3" a="1"/>
  <c r="H548" i="3" s="1"/>
  <c r="H547" i="3" a="1"/>
  <c r="H547" i="3" s="1"/>
  <c r="H546" i="3" a="1"/>
  <c r="H546" i="3" s="1"/>
  <c r="H545" i="3" a="1"/>
  <c r="H545" i="3" s="1"/>
  <c r="H544" i="3" a="1"/>
  <c r="H544" i="3" s="1"/>
  <c r="H543" i="3" a="1"/>
  <c r="H543" i="3" s="1"/>
  <c r="H542" i="3" a="1"/>
  <c r="H542" i="3" s="1"/>
  <c r="H541" i="3" a="1"/>
  <c r="H541" i="3" s="1"/>
  <c r="H540" i="3" a="1"/>
  <c r="H540" i="3" s="1"/>
  <c r="H539" i="3" a="1"/>
  <c r="H539" i="3" s="1"/>
  <c r="H538" i="3" a="1"/>
  <c r="H538" i="3" s="1"/>
  <c r="H537" i="3" a="1"/>
  <c r="H537" i="3" s="1"/>
  <c r="H536" i="3" a="1"/>
  <c r="H536" i="3" s="1"/>
  <c r="H535" i="3" a="1"/>
  <c r="H535" i="3" s="1"/>
  <c r="H534" i="3" a="1"/>
  <c r="H534" i="3" s="1"/>
  <c r="H533" i="3" a="1"/>
  <c r="H533" i="3" s="1"/>
  <c r="H532" i="3" a="1"/>
  <c r="H532" i="3" s="1"/>
  <c r="H531" i="3" a="1"/>
  <c r="H531" i="3" s="1"/>
  <c r="H530" i="3" a="1"/>
  <c r="H530" i="3" s="1"/>
  <c r="H529" i="3" a="1"/>
  <c r="H529" i="3" s="1"/>
  <c r="H528" i="3" a="1"/>
  <c r="H528" i="3" s="1"/>
  <c r="H527" i="3" a="1"/>
  <c r="H527" i="3" s="1"/>
  <c r="H526" i="3" a="1"/>
  <c r="H526" i="3" s="1"/>
  <c r="H525" i="3" a="1"/>
  <c r="H525" i="3" s="1"/>
  <c r="H524" i="3" a="1"/>
  <c r="H524" i="3" s="1"/>
  <c r="H523" i="3" a="1"/>
  <c r="H523" i="3" s="1"/>
  <c r="H522" i="3" a="1"/>
  <c r="H522" i="3" s="1"/>
  <c r="H521" i="3" a="1"/>
  <c r="H521" i="3" s="1"/>
  <c r="H520" i="3" a="1"/>
  <c r="H520" i="3" s="1"/>
  <c r="H519" i="3" a="1"/>
  <c r="H519" i="3" s="1"/>
  <c r="H518" i="3" a="1"/>
  <c r="H518" i="3" s="1"/>
  <c r="H517" i="3" a="1"/>
  <c r="H517" i="3" s="1"/>
  <c r="H516" i="3" a="1"/>
  <c r="H516" i="3" s="1"/>
  <c r="H515" i="3" a="1"/>
  <c r="H515" i="3" s="1"/>
  <c r="H514" i="3" a="1"/>
  <c r="H514" i="3" s="1"/>
  <c r="H513" i="3" a="1"/>
  <c r="H513" i="3" s="1"/>
  <c r="H512" i="3" a="1"/>
  <c r="H512" i="3" s="1"/>
  <c r="H511" i="3" a="1"/>
  <c r="H511" i="3" s="1"/>
  <c r="H510" i="3" a="1"/>
  <c r="H510" i="3" s="1"/>
  <c r="H509" i="3" a="1"/>
  <c r="H509" i="3" s="1"/>
  <c r="H508" i="3" a="1"/>
  <c r="H508" i="3" s="1"/>
  <c r="H507" i="3" a="1"/>
  <c r="H507" i="3" s="1"/>
  <c r="H506" i="3" a="1"/>
  <c r="H506" i="3" s="1"/>
  <c r="H505" i="3" a="1"/>
  <c r="H505" i="3" s="1"/>
  <c r="H504" i="3" a="1"/>
  <c r="H504" i="3" s="1"/>
  <c r="H503" i="3" a="1"/>
  <c r="H503" i="3" s="1"/>
  <c r="H502" i="3" a="1"/>
  <c r="H502" i="3" s="1"/>
  <c r="H501" i="3" a="1"/>
  <c r="H501" i="3" s="1"/>
  <c r="H500" i="3" a="1"/>
  <c r="H500" i="3" s="1"/>
  <c r="H499" i="3" a="1"/>
  <c r="H499" i="3" s="1"/>
  <c r="H498" i="3" a="1"/>
  <c r="H498" i="3" s="1"/>
  <c r="H497" i="3" a="1"/>
  <c r="H497" i="3" s="1"/>
  <c r="H496" i="3" a="1"/>
  <c r="H496" i="3" s="1"/>
  <c r="H495" i="3" a="1"/>
  <c r="H495" i="3" s="1"/>
  <c r="H494" i="3" a="1"/>
  <c r="H494" i="3" s="1"/>
  <c r="H493" i="3" a="1"/>
  <c r="H493" i="3" s="1"/>
  <c r="H492" i="3" a="1"/>
  <c r="H492" i="3" s="1"/>
  <c r="H491" i="3" a="1"/>
  <c r="H491" i="3" s="1"/>
  <c r="H490" i="3" a="1"/>
  <c r="H490" i="3" s="1"/>
  <c r="H489" i="3" a="1"/>
  <c r="H489" i="3" s="1"/>
  <c r="H488" i="3" a="1"/>
  <c r="H488" i="3" s="1"/>
  <c r="H487" i="3" a="1"/>
  <c r="H487" i="3" s="1"/>
  <c r="H486" i="3" a="1"/>
  <c r="H486" i="3" s="1"/>
  <c r="H485" i="3" a="1"/>
  <c r="H485" i="3" s="1"/>
  <c r="H484" i="3" a="1"/>
  <c r="H484" i="3" s="1"/>
  <c r="H483" i="3" a="1"/>
  <c r="H483" i="3" s="1"/>
  <c r="H482" i="3" a="1"/>
  <c r="H482" i="3" s="1"/>
  <c r="H481" i="3" a="1"/>
  <c r="H481" i="3" s="1"/>
  <c r="H480" i="3" a="1"/>
  <c r="H480" i="3" s="1"/>
  <c r="H479" i="3" a="1"/>
  <c r="H479" i="3" s="1"/>
  <c r="H478" i="3" a="1"/>
  <c r="H478" i="3" s="1"/>
  <c r="H477" i="3" a="1"/>
  <c r="H477" i="3" s="1"/>
  <c r="H476" i="3" a="1"/>
  <c r="H476" i="3" s="1"/>
  <c r="H475" i="3" a="1"/>
  <c r="H475" i="3" s="1"/>
  <c r="H474" i="3" a="1"/>
  <c r="H474" i="3" s="1"/>
  <c r="H473" i="3" a="1"/>
  <c r="H473" i="3" s="1"/>
  <c r="H472" i="3" a="1"/>
  <c r="H472" i="3" s="1"/>
  <c r="H471" i="3" a="1"/>
  <c r="H471" i="3" s="1"/>
  <c r="H470" i="3" a="1"/>
  <c r="H470" i="3" s="1"/>
  <c r="H469" i="3" a="1"/>
  <c r="H469" i="3" s="1"/>
  <c r="H468" i="3" a="1"/>
  <c r="H468" i="3" s="1"/>
  <c r="H467" i="3" a="1"/>
  <c r="H467" i="3" s="1"/>
  <c r="H466" i="3" a="1"/>
  <c r="H466" i="3" s="1"/>
  <c r="H465" i="3" a="1"/>
  <c r="H465" i="3" s="1"/>
  <c r="H464" i="3" a="1"/>
  <c r="H464" i="3" s="1"/>
  <c r="H463" i="3" a="1"/>
  <c r="H463" i="3" s="1"/>
  <c r="H462" i="3" a="1"/>
  <c r="H462" i="3" s="1"/>
  <c r="H461" i="3" a="1"/>
  <c r="H461" i="3" s="1"/>
  <c r="H460" i="3" a="1"/>
  <c r="H460" i="3" s="1"/>
  <c r="H459" i="3" a="1"/>
  <c r="H459" i="3" s="1"/>
  <c r="H458" i="3" a="1"/>
  <c r="H458" i="3" s="1"/>
  <c r="H457" i="3" a="1"/>
  <c r="H457" i="3" s="1"/>
  <c r="H456" i="3" a="1"/>
  <c r="H456" i="3" s="1"/>
  <c r="H455" i="3" a="1"/>
  <c r="H455" i="3" s="1"/>
  <c r="H454" i="3" a="1"/>
  <c r="H454" i="3" s="1"/>
  <c r="H453" i="3" a="1"/>
  <c r="H453" i="3" s="1"/>
  <c r="H452" i="3" a="1"/>
  <c r="H452" i="3" s="1"/>
  <c r="H451" i="3" a="1"/>
  <c r="H451" i="3" s="1"/>
  <c r="H450" i="3" a="1"/>
  <c r="H450" i="3" s="1"/>
  <c r="H449" i="3" a="1"/>
  <c r="H449" i="3" s="1"/>
  <c r="H448" i="3" a="1"/>
  <c r="H448" i="3" s="1"/>
  <c r="H447" i="3" a="1"/>
  <c r="H447" i="3" s="1"/>
  <c r="H446" i="3" a="1"/>
  <c r="H446" i="3" s="1"/>
  <c r="H445" i="3" a="1"/>
  <c r="H445" i="3" s="1"/>
  <c r="H444" i="3" a="1"/>
  <c r="H444" i="3" s="1"/>
  <c r="H443" i="3" a="1"/>
  <c r="H443" i="3" s="1"/>
  <c r="H442" i="3" a="1"/>
  <c r="H442" i="3" s="1"/>
  <c r="H441" i="3" a="1"/>
  <c r="H441" i="3" s="1"/>
  <c r="H440" i="3" a="1"/>
  <c r="H440" i="3" s="1"/>
  <c r="H439" i="3" a="1"/>
  <c r="H439" i="3" s="1"/>
  <c r="H438" i="3" a="1"/>
  <c r="H438" i="3" s="1"/>
  <c r="H437" i="3" a="1"/>
  <c r="H437" i="3" s="1"/>
  <c r="H436" i="3" a="1"/>
  <c r="H436" i="3" s="1"/>
  <c r="H435" i="3" a="1"/>
  <c r="H435" i="3" s="1"/>
  <c r="H434" i="3" a="1"/>
  <c r="H434" i="3" s="1"/>
  <c r="H433" i="3" a="1"/>
  <c r="H433" i="3" s="1"/>
  <c r="H432" i="3" a="1"/>
  <c r="H432" i="3" s="1"/>
  <c r="H431" i="3" a="1"/>
  <c r="H431" i="3" s="1"/>
  <c r="H430" i="3" a="1"/>
  <c r="H430" i="3" s="1"/>
  <c r="H429" i="3" a="1"/>
  <c r="H429" i="3" s="1"/>
  <c r="H428" i="3" a="1"/>
  <c r="H428" i="3" s="1"/>
  <c r="H427" i="3" a="1"/>
  <c r="H427" i="3" s="1"/>
  <c r="H426" i="3" a="1"/>
  <c r="H426" i="3" s="1"/>
  <c r="H425" i="3" a="1"/>
  <c r="H425" i="3" s="1"/>
  <c r="H424" i="3" a="1"/>
  <c r="H424" i="3" s="1"/>
  <c r="H423" i="3" a="1"/>
  <c r="H423" i="3" s="1"/>
  <c r="H422" i="3" a="1"/>
  <c r="H422" i="3" s="1"/>
  <c r="H421" i="3" a="1"/>
  <c r="H421" i="3" s="1"/>
  <c r="H420" i="3" a="1"/>
  <c r="H420" i="3" s="1"/>
  <c r="H419" i="3" a="1"/>
  <c r="H419" i="3" s="1"/>
  <c r="H418" i="3" a="1"/>
  <c r="H418" i="3" s="1"/>
  <c r="H417" i="3" a="1"/>
  <c r="H417" i="3" s="1"/>
  <c r="H416" i="3" a="1"/>
  <c r="H416" i="3" s="1"/>
  <c r="H415" i="3" a="1"/>
  <c r="H415" i="3" s="1"/>
  <c r="H414" i="3" a="1"/>
  <c r="H414" i="3" s="1"/>
  <c r="H413" i="3" a="1"/>
  <c r="H413" i="3" s="1"/>
  <c r="H412" i="3" a="1"/>
  <c r="H412" i="3" s="1"/>
  <c r="H411" i="3" a="1"/>
  <c r="H411" i="3" s="1"/>
  <c r="H410" i="3" a="1"/>
  <c r="H410" i="3" s="1"/>
  <c r="H409" i="3" a="1"/>
  <c r="H409" i="3" s="1"/>
  <c r="H408" i="3" a="1"/>
  <c r="H408" i="3" s="1"/>
  <c r="H407" i="3" a="1"/>
  <c r="H407" i="3" s="1"/>
  <c r="H406" i="3" a="1"/>
  <c r="H406" i="3" s="1"/>
  <c r="H405" i="3" a="1"/>
  <c r="H405" i="3" s="1"/>
  <c r="H404" i="3" a="1"/>
  <c r="H404" i="3" s="1"/>
  <c r="H403" i="3" a="1"/>
  <c r="H403" i="3" s="1"/>
  <c r="H402" i="3" a="1"/>
  <c r="H402" i="3" s="1"/>
  <c r="H401" i="3" a="1"/>
  <c r="H401" i="3" s="1"/>
  <c r="H400" i="3" a="1"/>
  <c r="H400" i="3" s="1"/>
  <c r="H399" i="3" a="1"/>
  <c r="H399" i="3" s="1"/>
  <c r="H398" i="3" a="1"/>
  <c r="H398" i="3" s="1"/>
  <c r="H397" i="3" a="1"/>
  <c r="H397" i="3" s="1"/>
  <c r="H396" i="3" a="1"/>
  <c r="H396" i="3" s="1"/>
  <c r="H395" i="3" a="1"/>
  <c r="H395" i="3" s="1"/>
  <c r="H394" i="3" a="1"/>
  <c r="H394" i="3" s="1"/>
  <c r="H393" i="3" a="1"/>
  <c r="H393" i="3" s="1"/>
  <c r="H392" i="3" a="1"/>
  <c r="H392" i="3" s="1"/>
  <c r="H391" i="3" a="1"/>
  <c r="H391" i="3" s="1"/>
  <c r="H390" i="3" a="1"/>
  <c r="H390" i="3" s="1"/>
  <c r="H389" i="3" a="1"/>
  <c r="H389" i="3" s="1"/>
  <c r="H388" i="3" a="1"/>
  <c r="H388" i="3" s="1"/>
  <c r="H387" i="3" a="1"/>
  <c r="H387" i="3" s="1"/>
  <c r="H386" i="3" a="1"/>
  <c r="H386" i="3" s="1"/>
  <c r="H385" i="3" a="1"/>
  <c r="H385" i="3" s="1"/>
  <c r="H384" i="3" a="1"/>
  <c r="H384" i="3" s="1"/>
  <c r="H383" i="3" a="1"/>
  <c r="H383" i="3" s="1"/>
  <c r="H382" i="3" a="1"/>
  <c r="H382" i="3" s="1"/>
  <c r="H381" i="3" a="1"/>
  <c r="H381" i="3" s="1"/>
  <c r="H380" i="3" a="1"/>
  <c r="H380" i="3" s="1"/>
  <c r="H379" i="3" a="1"/>
  <c r="H379" i="3" s="1"/>
  <c r="H378" i="3" a="1"/>
  <c r="H378" i="3" s="1"/>
  <c r="H377" i="3" a="1"/>
  <c r="H377" i="3" s="1"/>
  <c r="H376" i="3" a="1"/>
  <c r="H376" i="3" s="1"/>
  <c r="H375" i="3" a="1"/>
  <c r="H375" i="3" s="1"/>
  <c r="H374" i="3" a="1"/>
  <c r="H374" i="3" s="1"/>
  <c r="H373" i="3" a="1"/>
  <c r="H373" i="3" s="1"/>
  <c r="H372" i="3" a="1"/>
  <c r="H372" i="3" s="1"/>
  <c r="H371" i="3" a="1"/>
  <c r="H371" i="3" s="1"/>
  <c r="H370" i="3" a="1"/>
  <c r="H370" i="3" s="1"/>
  <c r="H369" i="3" a="1"/>
  <c r="H369" i="3" s="1"/>
  <c r="H368" i="3" a="1"/>
  <c r="H368" i="3" s="1"/>
  <c r="H367" i="3" a="1"/>
  <c r="H367" i="3" s="1"/>
  <c r="H366" i="3" a="1"/>
  <c r="H366" i="3" s="1"/>
  <c r="H365" i="3" a="1"/>
  <c r="H365" i="3" s="1"/>
  <c r="H364" i="3" a="1"/>
  <c r="H364" i="3" s="1"/>
  <c r="H363" i="3" a="1"/>
  <c r="H363" i="3" s="1"/>
  <c r="H362" i="3" a="1"/>
  <c r="H362" i="3" s="1"/>
  <c r="H361" i="3" a="1"/>
  <c r="H361" i="3" s="1"/>
  <c r="H360" i="3" a="1"/>
  <c r="H360" i="3" s="1"/>
  <c r="H359" i="3" a="1"/>
  <c r="H359" i="3" s="1"/>
  <c r="H358" i="3" a="1"/>
  <c r="H358" i="3" s="1"/>
  <c r="H357" i="3" a="1"/>
  <c r="H357" i="3" s="1"/>
  <c r="H356" i="3" a="1"/>
  <c r="H356" i="3" s="1"/>
  <c r="H355" i="3" a="1"/>
  <c r="H355" i="3" s="1"/>
  <c r="H354" i="3" a="1"/>
  <c r="H354" i="3" s="1"/>
  <c r="H353" i="3" a="1"/>
  <c r="H353" i="3" s="1"/>
  <c r="H352" i="3" a="1"/>
  <c r="H352" i="3" s="1"/>
  <c r="H351" i="3" a="1"/>
  <c r="H351" i="3" s="1"/>
  <c r="H350" i="3" a="1"/>
  <c r="H350" i="3" s="1"/>
  <c r="H349" i="3" a="1"/>
  <c r="H349" i="3" s="1"/>
  <c r="H348" i="3" a="1"/>
  <c r="H348" i="3" s="1"/>
  <c r="H347" i="3" a="1"/>
  <c r="H347" i="3" s="1"/>
  <c r="H346" i="3" a="1"/>
  <c r="H346" i="3" s="1"/>
  <c r="H345" i="3" a="1"/>
  <c r="H345" i="3" s="1"/>
  <c r="H344" i="3" a="1"/>
  <c r="H344" i="3" s="1"/>
  <c r="H343" i="3" a="1"/>
  <c r="H343" i="3" s="1"/>
  <c r="H342" i="3" a="1"/>
  <c r="H342" i="3" s="1"/>
  <c r="H341" i="3" a="1"/>
  <c r="H341" i="3" s="1"/>
  <c r="H340" i="3" a="1"/>
  <c r="H340" i="3" s="1"/>
  <c r="H339" i="3" a="1"/>
  <c r="H339" i="3" s="1"/>
  <c r="H338" i="3" a="1"/>
  <c r="H338" i="3" s="1"/>
  <c r="H337" i="3" a="1"/>
  <c r="H337" i="3" s="1"/>
  <c r="H336" i="3" a="1"/>
  <c r="H336" i="3" s="1"/>
  <c r="H335" i="3" a="1"/>
  <c r="H335" i="3" s="1"/>
  <c r="H334" i="3" a="1"/>
  <c r="H334" i="3" s="1"/>
  <c r="H333" i="3" a="1"/>
  <c r="H333" i="3" s="1"/>
  <c r="H332" i="3" a="1"/>
  <c r="H332" i="3" s="1"/>
  <c r="H331" i="3" a="1"/>
  <c r="H331" i="3" s="1"/>
  <c r="H330" i="3" a="1"/>
  <c r="H330" i="3" s="1"/>
  <c r="H329" i="3" a="1"/>
  <c r="H329" i="3" s="1"/>
  <c r="H328" i="3" a="1"/>
  <c r="H328" i="3" s="1"/>
  <c r="H327" i="3" a="1"/>
  <c r="H327" i="3" s="1"/>
  <c r="H326" i="3" a="1"/>
  <c r="H326" i="3" s="1"/>
  <c r="H325" i="3" a="1"/>
  <c r="H325" i="3" s="1"/>
  <c r="H324" i="3" a="1"/>
  <c r="H324" i="3" s="1"/>
  <c r="H323" i="3" a="1"/>
  <c r="H323" i="3" s="1"/>
  <c r="H322" i="3" a="1"/>
  <c r="H322" i="3" s="1"/>
  <c r="H321" i="3" a="1"/>
  <c r="H321" i="3" s="1"/>
  <c r="H320" i="3" a="1"/>
  <c r="H320" i="3" s="1"/>
  <c r="H319" i="3" a="1"/>
  <c r="H319" i="3" s="1"/>
  <c r="H318" i="3" a="1"/>
  <c r="H318" i="3" s="1"/>
  <c r="H317" i="3" a="1"/>
  <c r="H317" i="3" s="1"/>
  <c r="H316" i="3" a="1"/>
  <c r="H316" i="3" s="1"/>
  <c r="H315" i="3" a="1"/>
  <c r="H315" i="3" s="1"/>
  <c r="H314" i="3" a="1"/>
  <c r="H314" i="3" s="1"/>
  <c r="H313" i="3" a="1"/>
  <c r="H313" i="3" s="1"/>
  <c r="H312" i="3" a="1"/>
  <c r="H312" i="3" s="1"/>
  <c r="H311" i="3" a="1"/>
  <c r="H311" i="3" s="1"/>
  <c r="H310" i="3" a="1"/>
  <c r="H310" i="3" s="1"/>
  <c r="H309" i="3" a="1"/>
  <c r="H309" i="3" s="1"/>
  <c r="H308" i="3" a="1"/>
  <c r="H308" i="3" s="1"/>
  <c r="H307" i="3" a="1"/>
  <c r="H307" i="3" s="1"/>
  <c r="H306" i="3" a="1"/>
  <c r="H306" i="3" s="1"/>
  <c r="H305" i="3" a="1"/>
  <c r="H305" i="3" s="1"/>
  <c r="H304" i="3" a="1"/>
  <c r="H304" i="3" s="1"/>
  <c r="H303" i="3" a="1"/>
  <c r="H303" i="3" s="1"/>
  <c r="H302" i="3" a="1"/>
  <c r="H302" i="3" s="1"/>
  <c r="H301" i="3" a="1"/>
  <c r="H301" i="3" s="1"/>
  <c r="H300" i="3" a="1"/>
  <c r="H300" i="3" s="1"/>
  <c r="H299" i="3" a="1"/>
  <c r="H299" i="3" s="1"/>
  <c r="H298" i="3" a="1"/>
  <c r="H298" i="3" s="1"/>
  <c r="H297" i="3" a="1"/>
  <c r="H297" i="3" s="1"/>
  <c r="H296" i="3" a="1"/>
  <c r="H296" i="3" s="1"/>
  <c r="H295" i="3" a="1"/>
  <c r="H295" i="3" s="1"/>
  <c r="H294" i="3" a="1"/>
  <c r="H294" i="3" s="1"/>
  <c r="H293" i="3" a="1"/>
  <c r="H293" i="3" s="1"/>
  <c r="H292" i="3" a="1"/>
  <c r="H292" i="3" s="1"/>
  <c r="H291" i="3" a="1"/>
  <c r="H291" i="3" s="1"/>
  <c r="H290" i="3" a="1"/>
  <c r="H290" i="3" s="1"/>
  <c r="H289" i="3" a="1"/>
  <c r="H289" i="3" s="1"/>
  <c r="H288" i="3" a="1"/>
  <c r="H288" i="3" s="1"/>
  <c r="H287" i="3" a="1"/>
  <c r="H287" i="3" s="1"/>
  <c r="H286" i="3" a="1"/>
  <c r="H286" i="3" s="1"/>
  <c r="H285" i="3" a="1"/>
  <c r="H285" i="3" s="1"/>
  <c r="H284" i="3" a="1"/>
  <c r="H284" i="3" s="1"/>
  <c r="H283" i="3" a="1"/>
  <c r="H283" i="3" s="1"/>
  <c r="H282" i="3" a="1"/>
  <c r="H282" i="3" s="1"/>
  <c r="H281" i="3" a="1"/>
  <c r="H281" i="3" s="1"/>
  <c r="H280" i="3" a="1"/>
  <c r="H280" i="3" s="1"/>
  <c r="H279" i="3" a="1"/>
  <c r="H279" i="3" s="1"/>
  <c r="H278" i="3" a="1"/>
  <c r="H278" i="3" s="1"/>
  <c r="H277" i="3" a="1"/>
  <c r="H277" i="3" s="1"/>
  <c r="H276" i="3" a="1"/>
  <c r="H276" i="3" s="1"/>
  <c r="H275" i="3" a="1"/>
  <c r="H275" i="3" s="1"/>
  <c r="H274" i="3" a="1"/>
  <c r="H274" i="3" s="1"/>
  <c r="H273" i="3" a="1"/>
  <c r="H273" i="3" s="1"/>
  <c r="H272" i="3" a="1"/>
  <c r="H272" i="3" s="1"/>
  <c r="H271" i="3" a="1"/>
  <c r="H271" i="3" s="1"/>
  <c r="H270" i="3" a="1"/>
  <c r="H270" i="3" s="1"/>
  <c r="H269" i="3" a="1"/>
  <c r="H269" i="3" s="1"/>
  <c r="H268" i="3" a="1"/>
  <c r="H268" i="3" s="1"/>
  <c r="H267" i="3" a="1"/>
  <c r="H267" i="3" s="1"/>
  <c r="H266" i="3" a="1"/>
  <c r="H266" i="3" s="1"/>
  <c r="H265" i="3" a="1"/>
  <c r="H265" i="3" s="1"/>
  <c r="H264" i="3" a="1"/>
  <c r="H264" i="3" s="1"/>
  <c r="H263" i="3" a="1"/>
  <c r="H263" i="3" s="1"/>
  <c r="H262" i="3" a="1"/>
  <c r="H262" i="3" s="1"/>
  <c r="H261" i="3" a="1"/>
  <c r="H261" i="3" s="1"/>
  <c r="H260" i="3" a="1"/>
  <c r="H260" i="3" s="1"/>
  <c r="H259" i="3" a="1"/>
  <c r="H259" i="3" s="1"/>
  <c r="H258" i="3" a="1"/>
  <c r="H258" i="3" s="1"/>
  <c r="H257" i="3" a="1"/>
  <c r="H257" i="3" s="1"/>
  <c r="H256" i="3" a="1"/>
  <c r="H256" i="3" s="1"/>
  <c r="H255" i="3" a="1"/>
  <c r="H255" i="3" s="1"/>
  <c r="H254" i="3" a="1"/>
  <c r="H254" i="3" s="1"/>
  <c r="H253" i="3" a="1"/>
  <c r="H253" i="3" s="1"/>
  <c r="H252" i="3" a="1"/>
  <c r="H252" i="3" s="1"/>
  <c r="H251" i="3" a="1"/>
  <c r="H251" i="3" s="1"/>
  <c r="H250" i="3" a="1"/>
  <c r="H250" i="3" s="1"/>
  <c r="H249" i="3" a="1"/>
  <c r="H249" i="3" s="1"/>
  <c r="H248" i="3" a="1"/>
  <c r="H248" i="3" s="1"/>
  <c r="H247" i="3" a="1"/>
  <c r="H247" i="3" s="1"/>
  <c r="H246" i="3" a="1"/>
  <c r="H246" i="3" s="1"/>
  <c r="H245" i="3" a="1"/>
  <c r="H245" i="3" s="1"/>
  <c r="H244" i="3" a="1"/>
  <c r="H244" i="3" s="1"/>
  <c r="H243" i="3" a="1"/>
  <c r="H243" i="3" s="1"/>
  <c r="H242" i="3" a="1"/>
  <c r="H242" i="3" s="1"/>
  <c r="H241" i="3" a="1"/>
  <c r="H241" i="3" s="1"/>
  <c r="H240" i="3" a="1"/>
  <c r="H240" i="3" s="1"/>
  <c r="H239" i="3" a="1"/>
  <c r="H239" i="3" s="1"/>
  <c r="H238" i="3" a="1"/>
  <c r="H238" i="3" s="1"/>
  <c r="H237" i="3" a="1"/>
  <c r="H237" i="3" s="1"/>
  <c r="H236" i="3" a="1"/>
  <c r="H236" i="3" s="1"/>
  <c r="H235" i="3" a="1"/>
  <c r="H235" i="3" s="1"/>
  <c r="H234" i="3" a="1"/>
  <c r="H234" i="3" s="1"/>
  <c r="H233" i="3" a="1"/>
  <c r="H233" i="3" s="1"/>
  <c r="H232" i="3" a="1"/>
  <c r="H232" i="3" s="1"/>
  <c r="H231" i="3" a="1"/>
  <c r="H231" i="3" s="1"/>
  <c r="H230" i="3" a="1"/>
  <c r="H230" i="3" s="1"/>
  <c r="H229" i="3" a="1"/>
  <c r="H229" i="3" s="1"/>
  <c r="H228" i="3" a="1"/>
  <c r="H228" i="3" s="1"/>
  <c r="H227" i="3" a="1"/>
  <c r="H227" i="3" s="1"/>
  <c r="H226" i="3" a="1"/>
  <c r="H226" i="3" s="1"/>
  <c r="H225" i="3" a="1"/>
  <c r="H225" i="3" s="1"/>
  <c r="H224" i="3" a="1"/>
  <c r="H224" i="3" s="1"/>
  <c r="H223" i="3" a="1"/>
  <c r="H223" i="3" s="1"/>
  <c r="H222" i="3" a="1"/>
  <c r="H222" i="3" s="1"/>
  <c r="H221" i="3" a="1"/>
  <c r="H221" i="3" s="1"/>
  <c r="H220" i="3" a="1"/>
  <c r="H220" i="3" s="1"/>
  <c r="H219" i="3" a="1"/>
  <c r="H219" i="3" s="1"/>
  <c r="H218" i="3" a="1"/>
  <c r="H218" i="3" s="1"/>
  <c r="H217" i="3" a="1"/>
  <c r="H217" i="3" s="1"/>
  <c r="H216" i="3" a="1"/>
  <c r="H216" i="3" s="1"/>
  <c r="H215" i="3" a="1"/>
  <c r="H215" i="3" s="1"/>
  <c r="H214" i="3" a="1"/>
  <c r="H214" i="3" s="1"/>
  <c r="H213" i="3" a="1"/>
  <c r="H213" i="3" s="1"/>
  <c r="H212" i="3" a="1"/>
  <c r="H212" i="3" s="1"/>
  <c r="H211" i="3" a="1"/>
  <c r="H211" i="3" s="1"/>
  <c r="H210" i="3" a="1"/>
  <c r="H210" i="3" s="1"/>
  <c r="H209" i="3" a="1"/>
  <c r="H209" i="3" s="1"/>
  <c r="H208" i="3" a="1"/>
  <c r="H208" i="3" s="1"/>
  <c r="H207" i="3" a="1"/>
  <c r="H207" i="3" s="1"/>
  <c r="H206" i="3" a="1"/>
  <c r="H206" i="3" s="1"/>
  <c r="H205" i="3" a="1"/>
  <c r="H205" i="3" s="1"/>
  <c r="H204" i="3" a="1"/>
  <c r="H204" i="3" s="1"/>
  <c r="H203" i="3" a="1"/>
  <c r="H203" i="3" s="1"/>
  <c r="H202" i="3" a="1"/>
  <c r="H202" i="3" s="1"/>
  <c r="H201" i="3" a="1"/>
  <c r="H201" i="3" s="1"/>
  <c r="H200" i="3" a="1"/>
  <c r="H200" i="3" s="1"/>
  <c r="H199" i="3" a="1"/>
  <c r="H199" i="3" s="1"/>
  <c r="H198" i="3" a="1"/>
  <c r="H198" i="3" s="1"/>
  <c r="H197" i="3" a="1"/>
  <c r="H197" i="3" s="1"/>
  <c r="H196" i="3" a="1"/>
  <c r="H196" i="3" s="1"/>
  <c r="H195" i="3" a="1"/>
  <c r="H195" i="3" s="1"/>
  <c r="H194" i="3" a="1"/>
  <c r="H194" i="3" s="1"/>
  <c r="H193" i="3" a="1"/>
  <c r="H193" i="3" s="1"/>
  <c r="H192" i="3" a="1"/>
  <c r="H192" i="3" s="1"/>
  <c r="H191" i="3" a="1"/>
  <c r="H191" i="3" s="1"/>
  <c r="H190" i="3" a="1"/>
  <c r="H190" i="3" s="1"/>
  <c r="H189" i="3" a="1"/>
  <c r="H189" i="3" s="1"/>
  <c r="H188" i="3" a="1"/>
  <c r="H188" i="3" s="1"/>
  <c r="H187" i="3" a="1"/>
  <c r="H187" i="3" s="1"/>
  <c r="H186" i="3" a="1"/>
  <c r="H186" i="3" s="1"/>
  <c r="H185" i="3" a="1"/>
  <c r="H185" i="3" s="1"/>
  <c r="H184" i="3" a="1"/>
  <c r="H184" i="3" s="1"/>
  <c r="H183" i="3" a="1"/>
  <c r="H183" i="3" s="1"/>
  <c r="H182" i="3" a="1"/>
  <c r="H182" i="3" s="1"/>
  <c r="H181" i="3" a="1"/>
  <c r="H181" i="3" s="1"/>
  <c r="H180" i="3" a="1"/>
  <c r="H180" i="3" s="1"/>
  <c r="H179" i="3" a="1"/>
  <c r="H179" i="3" s="1"/>
  <c r="H178" i="3" a="1"/>
  <c r="H178" i="3" s="1"/>
  <c r="H177" i="3" a="1"/>
  <c r="H177" i="3" s="1"/>
  <c r="H176" i="3" a="1"/>
  <c r="H176" i="3" s="1"/>
  <c r="H175" i="3" a="1"/>
  <c r="H175" i="3" s="1"/>
  <c r="H174" i="3" a="1"/>
  <c r="H174" i="3" s="1"/>
  <c r="H173" i="3" a="1"/>
  <c r="H173" i="3" s="1"/>
  <c r="H172" i="3" a="1"/>
  <c r="H172" i="3" s="1"/>
  <c r="H171" i="3" a="1"/>
  <c r="H171" i="3" s="1"/>
  <c r="H170" i="3" a="1"/>
  <c r="H170" i="3" s="1"/>
  <c r="H169" i="3" a="1"/>
  <c r="H169" i="3" s="1"/>
  <c r="H168" i="3" a="1"/>
  <c r="H168" i="3" s="1"/>
  <c r="H167" i="3" a="1"/>
  <c r="H167" i="3" s="1"/>
  <c r="H166" i="3" a="1"/>
  <c r="H166" i="3" s="1"/>
  <c r="H165" i="3" a="1"/>
  <c r="H165" i="3" s="1"/>
  <c r="H164" i="3" a="1"/>
  <c r="H164" i="3" s="1"/>
  <c r="H163" i="3" a="1"/>
  <c r="H163" i="3" s="1"/>
  <c r="H162" i="3" a="1"/>
  <c r="H162" i="3" s="1"/>
  <c r="H161" i="3" a="1"/>
  <c r="H161" i="3" s="1"/>
  <c r="H160" i="3" a="1"/>
  <c r="H160" i="3" s="1"/>
  <c r="H159" i="3" a="1"/>
  <c r="H159" i="3" s="1"/>
  <c r="H158" i="3" a="1"/>
  <c r="H158" i="3" s="1"/>
  <c r="H157" i="3" a="1"/>
  <c r="H157" i="3" s="1"/>
  <c r="H156" i="3" a="1"/>
  <c r="H156" i="3" s="1"/>
  <c r="H155" i="3" a="1"/>
  <c r="H155" i="3" s="1"/>
  <c r="H154" i="3" a="1"/>
  <c r="H154" i="3" s="1"/>
  <c r="H153" i="3" a="1"/>
  <c r="H153" i="3" s="1"/>
  <c r="H152" i="3" a="1"/>
  <c r="H152" i="3" s="1"/>
  <c r="H151" i="3" a="1"/>
  <c r="H151" i="3" s="1"/>
  <c r="H150" i="3" a="1"/>
  <c r="H150" i="3" s="1"/>
  <c r="H149" i="3" a="1"/>
  <c r="H149" i="3" s="1"/>
  <c r="H148" i="3" a="1"/>
  <c r="H148" i="3" s="1"/>
  <c r="H147" i="3" a="1"/>
  <c r="H147" i="3" s="1"/>
  <c r="H146" i="3" a="1"/>
  <c r="H146" i="3" s="1"/>
  <c r="H145" i="3" a="1"/>
  <c r="H145" i="3" s="1"/>
  <c r="H144" i="3" a="1"/>
  <c r="H144" i="3" s="1"/>
  <c r="H143" i="3" a="1"/>
  <c r="H143" i="3" s="1"/>
  <c r="H142" i="3" a="1"/>
  <c r="H142" i="3" s="1"/>
  <c r="H141" i="3" a="1"/>
  <c r="H141" i="3" s="1"/>
  <c r="H140" i="3" a="1"/>
  <c r="H140" i="3" s="1"/>
  <c r="H139" i="3" a="1"/>
  <c r="H139" i="3" s="1"/>
  <c r="H138" i="3" a="1"/>
  <c r="H138" i="3" s="1"/>
  <c r="H137" i="3" a="1"/>
  <c r="H137" i="3" s="1"/>
  <c r="H136" i="3" a="1"/>
  <c r="H136" i="3" s="1"/>
  <c r="H135" i="3" a="1"/>
  <c r="H135" i="3" s="1"/>
  <c r="H134" i="3" a="1"/>
  <c r="H134" i="3" s="1"/>
  <c r="H133" i="3" a="1"/>
  <c r="H133" i="3" s="1"/>
  <c r="H132" i="3" a="1"/>
  <c r="H132" i="3" s="1"/>
  <c r="H131" i="3" a="1"/>
  <c r="H131" i="3" s="1"/>
  <c r="H130" i="3" a="1"/>
  <c r="H130" i="3" s="1"/>
  <c r="H129" i="3" a="1"/>
  <c r="H129" i="3" s="1"/>
  <c r="H128" i="3" a="1"/>
  <c r="H128" i="3" s="1"/>
  <c r="H127" i="3" a="1"/>
  <c r="H127" i="3" s="1"/>
  <c r="H126" i="3" a="1"/>
  <c r="H126" i="3" s="1"/>
  <c r="H125" i="3" a="1"/>
  <c r="H125" i="3" s="1"/>
  <c r="H124" i="3" a="1"/>
  <c r="H124" i="3" s="1"/>
  <c r="H123" i="3" a="1"/>
  <c r="H123" i="3" s="1"/>
  <c r="H122" i="3" a="1"/>
  <c r="H122" i="3" s="1"/>
  <c r="H121" i="3" a="1"/>
  <c r="H121" i="3" s="1"/>
  <c r="H120" i="3" a="1"/>
  <c r="H120" i="3" s="1"/>
  <c r="H119" i="3" a="1"/>
  <c r="H119" i="3" s="1"/>
  <c r="H118" i="3" a="1"/>
  <c r="H118" i="3" s="1"/>
  <c r="H117" i="3" a="1"/>
  <c r="H117" i="3" s="1"/>
  <c r="H116" i="3" a="1"/>
  <c r="H116" i="3" s="1"/>
  <c r="H115" i="3" a="1"/>
  <c r="H115" i="3" s="1"/>
  <c r="H114" i="3" a="1"/>
  <c r="H114" i="3" s="1"/>
  <c r="H113" i="3" a="1"/>
  <c r="H113" i="3" s="1"/>
  <c r="H112" i="3" a="1"/>
  <c r="H112" i="3" s="1"/>
  <c r="H111" i="3" a="1"/>
  <c r="H111" i="3" s="1"/>
  <c r="H110" i="3" a="1"/>
  <c r="H110" i="3" s="1"/>
  <c r="H109" i="3" a="1"/>
  <c r="H109" i="3" s="1"/>
  <c r="H108" i="3" a="1"/>
  <c r="H108" i="3" s="1"/>
  <c r="H107" i="3" a="1"/>
  <c r="H107" i="3" s="1"/>
  <c r="H106" i="3" a="1"/>
  <c r="H106" i="3" s="1"/>
  <c r="H105" i="3" a="1"/>
  <c r="H105" i="3" s="1"/>
  <c r="H104" i="3" a="1"/>
  <c r="H104" i="3" s="1"/>
  <c r="H103" i="3" a="1"/>
  <c r="H103" i="3" s="1"/>
  <c r="H102" i="3" a="1"/>
  <c r="H102" i="3" s="1"/>
  <c r="H101" i="3" a="1"/>
  <c r="H101" i="3" s="1"/>
  <c r="H100" i="3" a="1"/>
  <c r="H100" i="3" s="1"/>
  <c r="H99" i="3" a="1"/>
  <c r="H99" i="3" s="1"/>
  <c r="H98" i="3" a="1"/>
  <c r="H98" i="3" s="1"/>
  <c r="H97" i="3" a="1"/>
  <c r="H97" i="3" s="1"/>
  <c r="H96" i="3" a="1"/>
  <c r="H96" i="3" s="1"/>
  <c r="H95" i="3" a="1"/>
  <c r="H95" i="3" s="1"/>
  <c r="H94" i="3" a="1"/>
  <c r="H94" i="3" s="1"/>
  <c r="H93" i="3" a="1"/>
  <c r="H93" i="3" s="1"/>
  <c r="H92" i="3" a="1"/>
  <c r="H92" i="3" s="1"/>
  <c r="H91" i="3" a="1"/>
  <c r="H91" i="3" s="1"/>
  <c r="H90" i="3" a="1"/>
  <c r="H90" i="3" s="1"/>
  <c r="H89" i="3" a="1"/>
  <c r="H89" i="3" s="1"/>
  <c r="H88" i="3" a="1"/>
  <c r="H88" i="3" s="1"/>
  <c r="H87" i="3" a="1"/>
  <c r="H87" i="3" s="1"/>
  <c r="H86" i="3" a="1"/>
  <c r="H86" i="3" s="1"/>
  <c r="H85" i="3" a="1"/>
  <c r="H85" i="3" s="1"/>
  <c r="H84" i="3" a="1"/>
  <c r="H84" i="3" s="1"/>
  <c r="H83" i="3" a="1"/>
  <c r="H83" i="3" s="1"/>
  <c r="H82" i="3" a="1"/>
  <c r="H82" i="3" s="1"/>
  <c r="H81" i="3" a="1"/>
  <c r="H81" i="3" s="1"/>
  <c r="H80" i="3" a="1"/>
  <c r="H80" i="3" s="1"/>
  <c r="H79" i="3" a="1"/>
  <c r="H79" i="3" s="1"/>
  <c r="H78" i="3" a="1"/>
  <c r="H78" i="3" s="1"/>
  <c r="H77" i="3" a="1"/>
  <c r="H77" i="3" s="1"/>
  <c r="H76" i="3" a="1"/>
  <c r="H76" i="3" s="1"/>
  <c r="H75" i="3" a="1"/>
  <c r="H75" i="3" s="1"/>
  <c r="H74" i="3" a="1"/>
  <c r="H74" i="3" s="1"/>
  <c r="H73" i="3" a="1"/>
  <c r="H73" i="3" s="1"/>
  <c r="H72" i="3" a="1"/>
  <c r="H72" i="3" s="1"/>
  <c r="H71" i="3" a="1"/>
  <c r="H71" i="3" s="1"/>
  <c r="H70" i="3" a="1"/>
  <c r="H70" i="3" s="1"/>
  <c r="H69" i="3" a="1"/>
  <c r="H69" i="3" s="1"/>
  <c r="H68" i="3" a="1"/>
  <c r="H68" i="3" s="1"/>
  <c r="H67" i="3" a="1"/>
  <c r="H67" i="3" s="1"/>
  <c r="H66" i="3" a="1"/>
  <c r="H66" i="3" s="1"/>
  <c r="H65" i="3" a="1"/>
  <c r="H65" i="3" s="1"/>
  <c r="H64" i="3" a="1"/>
  <c r="H64" i="3" s="1"/>
  <c r="H63" i="3" a="1"/>
  <c r="H63" i="3" s="1"/>
  <c r="H62" i="3" a="1"/>
  <c r="H62" i="3" s="1"/>
  <c r="H61" i="3" a="1"/>
  <c r="H61" i="3" s="1"/>
  <c r="H60" i="3" a="1"/>
  <c r="H60" i="3" s="1"/>
  <c r="H59" i="3" a="1"/>
  <c r="H59" i="3" s="1"/>
  <c r="H58" i="3" a="1"/>
  <c r="H58" i="3" s="1"/>
  <c r="H57" i="3" a="1"/>
  <c r="H57" i="3" s="1"/>
  <c r="H56" i="3" a="1"/>
  <c r="H56" i="3" s="1"/>
  <c r="H55" i="3" a="1"/>
  <c r="H55" i="3" s="1"/>
  <c r="H54" i="3" a="1"/>
  <c r="H54" i="3" s="1"/>
  <c r="H53" i="3" a="1"/>
  <c r="H53" i="3" s="1"/>
  <c r="H52" i="3" a="1"/>
  <c r="H52" i="3" s="1"/>
  <c r="H51" i="3" a="1"/>
  <c r="H51" i="3" s="1"/>
  <c r="H50" i="3" a="1"/>
  <c r="H50" i="3" s="1"/>
  <c r="H49" i="3" a="1"/>
  <c r="H49" i="3" s="1"/>
  <c r="H48" i="3" a="1"/>
  <c r="H48" i="3" s="1"/>
  <c r="H47" i="3" a="1"/>
  <c r="H47" i="3" s="1"/>
  <c r="H46" i="3" a="1"/>
  <c r="H46" i="3" s="1"/>
  <c r="H45" i="3" a="1"/>
  <c r="H45" i="3" s="1"/>
  <c r="H44" i="3" a="1"/>
  <c r="H44" i="3" s="1"/>
  <c r="H43" i="3" a="1"/>
  <c r="H43" i="3" s="1"/>
  <c r="H42" i="3" a="1"/>
  <c r="H42" i="3" s="1"/>
  <c r="H41" i="3" a="1"/>
  <c r="H41" i="3" s="1"/>
  <c r="H40" i="3" a="1"/>
  <c r="H40" i="3" s="1"/>
  <c r="H39" i="3" a="1"/>
  <c r="H39" i="3" s="1"/>
  <c r="H38" i="3" a="1"/>
  <c r="H38" i="3" s="1"/>
  <c r="H37" i="3" a="1"/>
  <c r="H37" i="3" s="1"/>
  <c r="H36" i="3" a="1"/>
  <c r="H36" i="3" s="1"/>
  <c r="H35" i="3" a="1"/>
  <c r="H35" i="3" s="1"/>
  <c r="H34" i="3" a="1"/>
  <c r="H34" i="3" s="1"/>
  <c r="H33" i="3" a="1"/>
  <c r="H33" i="3" s="1"/>
  <c r="H32" i="3" a="1"/>
  <c r="H32" i="3" s="1"/>
  <c r="H31" i="3" a="1"/>
  <c r="H31" i="3" s="1"/>
  <c r="H30" i="3" a="1"/>
  <c r="H30" i="3" s="1"/>
  <c r="H29" i="3" a="1"/>
  <c r="H29" i="3" s="1"/>
  <c r="H28" i="3" a="1"/>
  <c r="H28" i="3" s="1"/>
  <c r="H27" i="3" a="1"/>
  <c r="H27" i="3" s="1"/>
  <c r="H26" i="3" a="1"/>
  <c r="H26" i="3" s="1"/>
  <c r="H25" i="3" a="1"/>
  <c r="H25" i="3" s="1"/>
  <c r="H24" i="3" a="1"/>
  <c r="H24" i="3" s="1"/>
  <c r="H23" i="3" a="1"/>
  <c r="H23" i="3" s="1"/>
  <c r="H22" i="3" a="1"/>
  <c r="H22" i="3" s="1"/>
  <c r="H21" i="3" a="1"/>
  <c r="H21" i="3" s="1"/>
  <c r="H20" i="3" a="1"/>
  <c r="H20" i="3" s="1"/>
  <c r="H19" i="3" a="1"/>
  <c r="H19" i="3" s="1"/>
  <c r="H18" i="3" a="1"/>
  <c r="H18" i="3" s="1"/>
  <c r="H17" i="3" a="1"/>
  <c r="H17" i="3" s="1"/>
  <c r="H16" i="3" a="1"/>
  <c r="H16" i="3" s="1"/>
  <c r="H15" i="3" a="1"/>
  <c r="H15" i="3" s="1"/>
  <c r="H14" i="3" a="1"/>
  <c r="H14" i="3" s="1"/>
  <c r="H13" i="3" a="1"/>
  <c r="H13" i="3" s="1"/>
  <c r="H12" i="3" a="1"/>
  <c r="H12" i="3" s="1"/>
  <c r="H11" i="3" a="1"/>
  <c r="H11" i="3" s="1"/>
  <c r="H10" i="3" a="1"/>
  <c r="H10" i="3" s="1"/>
  <c r="H9" i="3" a="1"/>
  <c r="H9" i="3" s="1"/>
  <c r="H8" i="3" a="1"/>
  <c r="H8" i="3" s="1"/>
  <c r="H7" i="3" a="1"/>
  <c r="H7" i="3" s="1"/>
  <c r="H6" i="3" a="1"/>
  <c r="H6" i="3" s="1"/>
  <c r="H5" i="3" a="1"/>
  <c r="H5" i="3" s="1"/>
  <c r="H4" i="3" a="1"/>
  <c r="H4" i="3" s="1"/>
  <c r="H3" i="3" a="1"/>
  <c r="H3" i="3" s="1"/>
  <c r="H2" i="3" a="1"/>
  <c r="H2" i="3" s="1"/>
  <c r="G579" i="3" a="1"/>
  <c r="G579" i="3" s="1"/>
  <c r="G578" i="3" a="1"/>
  <c r="G578" i="3" s="1"/>
  <c r="G577" i="3" a="1"/>
  <c r="G577" i="3" s="1"/>
  <c r="G576" i="3" a="1"/>
  <c r="G576" i="3" s="1"/>
  <c r="G575" i="3" a="1"/>
  <c r="G575" i="3" s="1"/>
  <c r="G574" i="3" a="1"/>
  <c r="G574" i="3" s="1"/>
  <c r="G573" i="3" a="1"/>
  <c r="G573" i="3" s="1"/>
  <c r="G572" i="3" a="1"/>
  <c r="G572" i="3" s="1"/>
  <c r="G571" i="3" a="1"/>
  <c r="G571" i="3" s="1"/>
  <c r="G570" i="3" a="1"/>
  <c r="G570" i="3" s="1"/>
  <c r="G569" i="3" a="1"/>
  <c r="G569" i="3" s="1"/>
  <c r="G568" i="3" a="1"/>
  <c r="G568" i="3" s="1"/>
  <c r="G567" i="3" a="1"/>
  <c r="G567" i="3" s="1"/>
  <c r="G566" i="3" a="1"/>
  <c r="G566" i="3" s="1"/>
  <c r="G565" i="3" a="1"/>
  <c r="G565" i="3" s="1"/>
  <c r="G564" i="3" a="1"/>
  <c r="G564" i="3" s="1"/>
  <c r="G563" i="3" a="1"/>
  <c r="G563" i="3" s="1"/>
  <c r="G562" i="3" a="1"/>
  <c r="G562" i="3" s="1"/>
  <c r="G561" i="3" a="1"/>
  <c r="G561" i="3" s="1"/>
  <c r="G560" i="3" a="1"/>
  <c r="G560" i="3" s="1"/>
  <c r="G559" i="3" a="1"/>
  <c r="G559" i="3" s="1"/>
  <c r="G558" i="3" a="1"/>
  <c r="G558" i="3" s="1"/>
  <c r="G557" i="3" a="1"/>
  <c r="G557" i="3" s="1"/>
  <c r="G556" i="3" a="1"/>
  <c r="G556" i="3" s="1"/>
  <c r="G555" i="3" a="1"/>
  <c r="G555" i="3" s="1"/>
  <c r="G554" i="3" a="1"/>
  <c r="G554" i="3" s="1"/>
  <c r="G553" i="3" a="1"/>
  <c r="G553" i="3" s="1"/>
  <c r="G552" i="3" a="1"/>
  <c r="G552" i="3" s="1"/>
  <c r="G551" i="3" a="1"/>
  <c r="G551" i="3" s="1"/>
  <c r="G550" i="3" a="1"/>
  <c r="G550" i="3" s="1"/>
  <c r="G549" i="3" a="1"/>
  <c r="G549" i="3" s="1"/>
  <c r="G548" i="3" a="1"/>
  <c r="G548" i="3" s="1"/>
  <c r="G547" i="3" a="1"/>
  <c r="G547" i="3" s="1"/>
  <c r="G546" i="3" a="1"/>
  <c r="G546" i="3" s="1"/>
  <c r="G545" i="3" a="1"/>
  <c r="G545" i="3" s="1"/>
  <c r="G544" i="3" a="1"/>
  <c r="G544" i="3" s="1"/>
  <c r="G543" i="3" a="1"/>
  <c r="G543" i="3" s="1"/>
  <c r="G542" i="3" a="1"/>
  <c r="G542" i="3" s="1"/>
  <c r="G541" i="3" a="1"/>
  <c r="G541" i="3" s="1"/>
  <c r="G540" i="3" a="1"/>
  <c r="G540" i="3" s="1"/>
  <c r="G539" i="3" a="1"/>
  <c r="G539" i="3" s="1"/>
  <c r="G538" i="3" a="1"/>
  <c r="G538" i="3" s="1"/>
  <c r="G537" i="3" a="1"/>
  <c r="G537" i="3" s="1"/>
  <c r="G536" i="3" a="1"/>
  <c r="G536" i="3" s="1"/>
  <c r="G535" i="3" a="1"/>
  <c r="G535" i="3" s="1"/>
  <c r="G534" i="3" a="1"/>
  <c r="G534" i="3" s="1"/>
  <c r="G533" i="3" a="1"/>
  <c r="G533" i="3" s="1"/>
  <c r="G532" i="3" a="1"/>
  <c r="G532" i="3" s="1"/>
  <c r="G531" i="3" a="1"/>
  <c r="G531" i="3" s="1"/>
  <c r="G530" i="3" a="1"/>
  <c r="G530" i="3" s="1"/>
  <c r="G529" i="3" a="1"/>
  <c r="G529" i="3" s="1"/>
  <c r="G528" i="3" a="1"/>
  <c r="G528" i="3" s="1"/>
  <c r="G527" i="3" a="1"/>
  <c r="G527" i="3" s="1"/>
  <c r="G526" i="3" a="1"/>
  <c r="G526" i="3" s="1"/>
  <c r="G525" i="3" a="1"/>
  <c r="G525" i="3" s="1"/>
  <c r="G524" i="3" a="1"/>
  <c r="G524" i="3" s="1"/>
  <c r="G523" i="3" a="1"/>
  <c r="G523" i="3" s="1"/>
  <c r="G522" i="3" a="1"/>
  <c r="G522" i="3" s="1"/>
  <c r="G521" i="3" a="1"/>
  <c r="G521" i="3" s="1"/>
  <c r="G520" i="3" a="1"/>
  <c r="G520" i="3" s="1"/>
  <c r="G519" i="3" a="1"/>
  <c r="G519" i="3" s="1"/>
  <c r="G518" i="3" a="1"/>
  <c r="G518" i="3" s="1"/>
  <c r="G517" i="3" a="1"/>
  <c r="G517" i="3" s="1"/>
  <c r="G516" i="3" a="1"/>
  <c r="G516" i="3" s="1"/>
  <c r="G515" i="3" a="1"/>
  <c r="G515" i="3" s="1"/>
  <c r="G514" i="3" a="1"/>
  <c r="G514" i="3" s="1"/>
  <c r="G513" i="3" a="1"/>
  <c r="G513" i="3" s="1"/>
  <c r="G512" i="3" a="1"/>
  <c r="G512" i="3" s="1"/>
  <c r="G511" i="3" a="1"/>
  <c r="G511" i="3" s="1"/>
  <c r="G510" i="3" a="1"/>
  <c r="G510" i="3" s="1"/>
  <c r="G509" i="3" a="1"/>
  <c r="G509" i="3" s="1"/>
  <c r="G508" i="3" a="1"/>
  <c r="G508" i="3" s="1"/>
  <c r="G507" i="3" a="1"/>
  <c r="G507" i="3" s="1"/>
  <c r="G506" i="3" a="1"/>
  <c r="G506" i="3" s="1"/>
  <c r="G505" i="3" a="1"/>
  <c r="G505" i="3" s="1"/>
  <c r="G504" i="3" a="1"/>
  <c r="G504" i="3" s="1"/>
  <c r="G503" i="3" a="1"/>
  <c r="G503" i="3" s="1"/>
  <c r="G502" i="3" a="1"/>
  <c r="G502" i="3" s="1"/>
  <c r="G501" i="3" a="1"/>
  <c r="G501" i="3" s="1"/>
  <c r="G500" i="3" a="1"/>
  <c r="G500" i="3" s="1"/>
  <c r="G499" i="3" a="1"/>
  <c r="G499" i="3" s="1"/>
  <c r="G498" i="3" a="1"/>
  <c r="G498" i="3" s="1"/>
  <c r="G497" i="3" a="1"/>
  <c r="G497" i="3" s="1"/>
  <c r="G496" i="3" a="1"/>
  <c r="G496" i="3" s="1"/>
  <c r="G495" i="3" a="1"/>
  <c r="G495" i="3" s="1"/>
  <c r="G494" i="3" a="1"/>
  <c r="G494" i="3" s="1"/>
  <c r="G493" i="3" a="1"/>
  <c r="G493" i="3" s="1"/>
  <c r="G492" i="3" a="1"/>
  <c r="G492" i="3" s="1"/>
  <c r="G491" i="3" a="1"/>
  <c r="G491" i="3" s="1"/>
  <c r="G490" i="3" a="1"/>
  <c r="G490" i="3" s="1"/>
  <c r="G489" i="3" a="1"/>
  <c r="G489" i="3" s="1"/>
  <c r="G488" i="3" a="1"/>
  <c r="G488" i="3" s="1"/>
  <c r="G487" i="3" a="1"/>
  <c r="G487" i="3" s="1"/>
  <c r="G486" i="3" a="1"/>
  <c r="G486" i="3" s="1"/>
  <c r="G485" i="3" a="1"/>
  <c r="G485" i="3" s="1"/>
  <c r="G484" i="3" a="1"/>
  <c r="G484" i="3" s="1"/>
  <c r="G483" i="3" a="1"/>
  <c r="G483" i="3" s="1"/>
  <c r="G482" i="3" a="1"/>
  <c r="G482" i="3" s="1"/>
  <c r="G481" i="3" a="1"/>
  <c r="G481" i="3" s="1"/>
  <c r="G480" i="3" a="1"/>
  <c r="G480" i="3" s="1"/>
  <c r="G479" i="3" a="1"/>
  <c r="G479" i="3" s="1"/>
  <c r="G478" i="3" a="1"/>
  <c r="G478" i="3" s="1"/>
  <c r="G477" i="3" a="1"/>
  <c r="G477" i="3" s="1"/>
  <c r="G476" i="3" a="1"/>
  <c r="G476" i="3" s="1"/>
  <c r="G475" i="3" a="1"/>
  <c r="G475" i="3" s="1"/>
  <c r="G474" i="3" a="1"/>
  <c r="G474" i="3" s="1"/>
  <c r="G473" i="3" a="1"/>
  <c r="G473" i="3" s="1"/>
  <c r="G472" i="3" a="1"/>
  <c r="G472" i="3" s="1"/>
  <c r="G471" i="3" a="1"/>
  <c r="G471" i="3" s="1"/>
  <c r="G470" i="3" a="1"/>
  <c r="G470" i="3" s="1"/>
  <c r="G469" i="3" a="1"/>
  <c r="G469" i="3" s="1"/>
  <c r="G468" i="3" a="1"/>
  <c r="G468" i="3" s="1"/>
  <c r="G467" i="3" a="1"/>
  <c r="G467" i="3" s="1"/>
  <c r="G466" i="3" a="1"/>
  <c r="G466" i="3" s="1"/>
  <c r="G465" i="3" a="1"/>
  <c r="G465" i="3" s="1"/>
  <c r="G464" i="3" a="1"/>
  <c r="G464" i="3" s="1"/>
  <c r="G463" i="3" a="1"/>
  <c r="G463" i="3" s="1"/>
  <c r="G462" i="3" a="1"/>
  <c r="G462" i="3" s="1"/>
  <c r="G461" i="3" a="1"/>
  <c r="G461" i="3" s="1"/>
  <c r="G460" i="3" a="1"/>
  <c r="G460" i="3" s="1"/>
  <c r="G459" i="3" a="1"/>
  <c r="G459" i="3" s="1"/>
  <c r="G458" i="3" a="1"/>
  <c r="G458" i="3" s="1"/>
  <c r="G457" i="3" a="1"/>
  <c r="G457" i="3" s="1"/>
  <c r="G456" i="3" a="1"/>
  <c r="G456" i="3" s="1"/>
  <c r="G455" i="3" a="1"/>
  <c r="G455" i="3" s="1"/>
  <c r="G454" i="3" a="1"/>
  <c r="G454" i="3" s="1"/>
  <c r="G453" i="3" a="1"/>
  <c r="G453" i="3" s="1"/>
  <c r="G452" i="3" a="1"/>
  <c r="G452" i="3" s="1"/>
  <c r="G451" i="3" a="1"/>
  <c r="G451" i="3" s="1"/>
  <c r="G450" i="3" a="1"/>
  <c r="G450" i="3" s="1"/>
  <c r="G449" i="3" a="1"/>
  <c r="G449" i="3" s="1"/>
  <c r="G448" i="3" a="1"/>
  <c r="G448" i="3" s="1"/>
  <c r="G447" i="3" a="1"/>
  <c r="G447" i="3" s="1"/>
  <c r="G446" i="3" a="1"/>
  <c r="G446" i="3" s="1"/>
  <c r="G445" i="3" a="1"/>
  <c r="G445" i="3" s="1"/>
  <c r="G444" i="3" a="1"/>
  <c r="G444" i="3" s="1"/>
  <c r="G443" i="3" a="1"/>
  <c r="G443" i="3" s="1"/>
  <c r="G442" i="3" a="1"/>
  <c r="G442" i="3" s="1"/>
  <c r="G441" i="3" a="1"/>
  <c r="G441" i="3" s="1"/>
  <c r="G440" i="3" a="1"/>
  <c r="G440" i="3" s="1"/>
  <c r="G439" i="3" a="1"/>
  <c r="G439" i="3" s="1"/>
  <c r="G438" i="3" a="1"/>
  <c r="G438" i="3" s="1"/>
  <c r="G437" i="3" a="1"/>
  <c r="G437" i="3" s="1"/>
  <c r="G436" i="3" a="1"/>
  <c r="G436" i="3" s="1"/>
  <c r="G435" i="3" a="1"/>
  <c r="G435" i="3" s="1"/>
  <c r="G434" i="3" a="1"/>
  <c r="G434" i="3" s="1"/>
  <c r="G433" i="3" a="1"/>
  <c r="G433" i="3" s="1"/>
  <c r="G432" i="3" a="1"/>
  <c r="G432" i="3" s="1"/>
  <c r="G431" i="3" a="1"/>
  <c r="G431" i="3" s="1"/>
  <c r="G430" i="3" a="1"/>
  <c r="G430" i="3" s="1"/>
  <c r="G429" i="3" a="1"/>
  <c r="G429" i="3" s="1"/>
  <c r="G428" i="3" a="1"/>
  <c r="G428" i="3" s="1"/>
  <c r="G427" i="3" a="1"/>
  <c r="G427" i="3" s="1"/>
  <c r="G426" i="3" a="1"/>
  <c r="G426" i="3" s="1"/>
  <c r="G425" i="3" a="1"/>
  <c r="G425" i="3" s="1"/>
  <c r="G424" i="3" a="1"/>
  <c r="G424" i="3" s="1"/>
  <c r="G423" i="3" a="1"/>
  <c r="G423" i="3" s="1"/>
  <c r="G422" i="3" a="1"/>
  <c r="G422" i="3" s="1"/>
  <c r="G421" i="3" a="1"/>
  <c r="G421" i="3" s="1"/>
  <c r="G420" i="3" a="1"/>
  <c r="G420" i="3" s="1"/>
  <c r="G419" i="3" a="1"/>
  <c r="G419" i="3" s="1"/>
  <c r="G418" i="3" a="1"/>
  <c r="G418" i="3" s="1"/>
  <c r="G417" i="3" a="1"/>
  <c r="G417" i="3" s="1"/>
  <c r="G416" i="3" a="1"/>
  <c r="G416" i="3" s="1"/>
  <c r="G415" i="3" a="1"/>
  <c r="G415" i="3" s="1"/>
  <c r="G414" i="3" a="1"/>
  <c r="G414" i="3" s="1"/>
  <c r="G413" i="3" a="1"/>
  <c r="G413" i="3" s="1"/>
  <c r="G412" i="3" a="1"/>
  <c r="G412" i="3" s="1"/>
  <c r="G411" i="3" a="1"/>
  <c r="G411" i="3" s="1"/>
  <c r="G410" i="3" a="1"/>
  <c r="G410" i="3" s="1"/>
  <c r="G409" i="3" a="1"/>
  <c r="G409" i="3" s="1"/>
  <c r="G408" i="3" a="1"/>
  <c r="G408" i="3" s="1"/>
  <c r="G407" i="3" a="1"/>
  <c r="G407" i="3" s="1"/>
  <c r="G406" i="3" a="1"/>
  <c r="G406" i="3" s="1"/>
  <c r="G405" i="3" a="1"/>
  <c r="G405" i="3" s="1"/>
  <c r="G404" i="3" a="1"/>
  <c r="G404" i="3" s="1"/>
  <c r="G403" i="3" a="1"/>
  <c r="G403" i="3" s="1"/>
  <c r="G402" i="3" a="1"/>
  <c r="G402" i="3" s="1"/>
  <c r="G401" i="3" a="1"/>
  <c r="G401" i="3" s="1"/>
  <c r="G400" i="3" a="1"/>
  <c r="G400" i="3" s="1"/>
  <c r="G399" i="3" a="1"/>
  <c r="G399" i="3" s="1"/>
  <c r="G398" i="3" a="1"/>
  <c r="G398" i="3" s="1"/>
  <c r="G397" i="3" a="1"/>
  <c r="G397" i="3" s="1"/>
  <c r="G396" i="3" a="1"/>
  <c r="G396" i="3" s="1"/>
  <c r="G395" i="3" a="1"/>
  <c r="G395" i="3" s="1"/>
  <c r="G394" i="3" a="1"/>
  <c r="G394" i="3" s="1"/>
  <c r="G393" i="3" a="1"/>
  <c r="G393" i="3" s="1"/>
  <c r="G392" i="3" a="1"/>
  <c r="G392" i="3" s="1"/>
  <c r="G391" i="3" a="1"/>
  <c r="G391" i="3" s="1"/>
  <c r="G390" i="3" a="1"/>
  <c r="G390" i="3" s="1"/>
  <c r="G389" i="3" a="1"/>
  <c r="G389" i="3" s="1"/>
  <c r="G388" i="3" a="1"/>
  <c r="G388" i="3" s="1"/>
  <c r="G387" i="3" a="1"/>
  <c r="G387" i="3" s="1"/>
  <c r="G386" i="3" a="1"/>
  <c r="G386" i="3" s="1"/>
  <c r="G385" i="3" a="1"/>
  <c r="G385" i="3" s="1"/>
  <c r="G384" i="3" a="1"/>
  <c r="G384" i="3" s="1"/>
  <c r="G383" i="3" a="1"/>
  <c r="G383" i="3" s="1"/>
  <c r="G382" i="3" a="1"/>
  <c r="G382" i="3" s="1"/>
  <c r="G381" i="3" a="1"/>
  <c r="G381" i="3" s="1"/>
  <c r="G380" i="3" a="1"/>
  <c r="G380" i="3" s="1"/>
  <c r="G379" i="3" a="1"/>
  <c r="G379" i="3" s="1"/>
  <c r="G378" i="3" a="1"/>
  <c r="G378" i="3" s="1"/>
  <c r="G377" i="3" a="1"/>
  <c r="G377" i="3" s="1"/>
  <c r="G376" i="3" a="1"/>
  <c r="G376" i="3" s="1"/>
  <c r="G375" i="3" a="1"/>
  <c r="G375" i="3" s="1"/>
  <c r="G374" i="3" a="1"/>
  <c r="G374" i="3" s="1"/>
  <c r="G373" i="3" a="1"/>
  <c r="G373" i="3" s="1"/>
  <c r="G372" i="3" a="1"/>
  <c r="G372" i="3" s="1"/>
  <c r="G371" i="3" a="1"/>
  <c r="G371" i="3" s="1"/>
  <c r="G370" i="3" a="1"/>
  <c r="G370" i="3" s="1"/>
  <c r="G369" i="3" a="1"/>
  <c r="G369" i="3" s="1"/>
  <c r="G368" i="3" a="1"/>
  <c r="G368" i="3" s="1"/>
  <c r="G367" i="3" a="1"/>
  <c r="G367" i="3" s="1"/>
  <c r="G366" i="3" a="1"/>
  <c r="G366" i="3" s="1"/>
  <c r="G365" i="3" a="1"/>
  <c r="G365" i="3" s="1"/>
  <c r="G364" i="3" a="1"/>
  <c r="G364" i="3" s="1"/>
  <c r="G363" i="3" a="1"/>
  <c r="G363" i="3" s="1"/>
  <c r="G362" i="3" a="1"/>
  <c r="G362" i="3" s="1"/>
  <c r="G361" i="3" a="1"/>
  <c r="G361" i="3" s="1"/>
  <c r="G360" i="3" a="1"/>
  <c r="G360" i="3" s="1"/>
  <c r="G359" i="3" a="1"/>
  <c r="G359" i="3" s="1"/>
  <c r="G358" i="3" a="1"/>
  <c r="G358" i="3" s="1"/>
  <c r="G357" i="3" a="1"/>
  <c r="G357" i="3" s="1"/>
  <c r="G356" i="3" a="1"/>
  <c r="G356" i="3" s="1"/>
  <c r="G355" i="3" a="1"/>
  <c r="G355" i="3" s="1"/>
  <c r="G354" i="3" a="1"/>
  <c r="G354" i="3" s="1"/>
  <c r="G353" i="3" a="1"/>
  <c r="G353" i="3" s="1"/>
  <c r="G352" i="3" a="1"/>
  <c r="G352" i="3" s="1"/>
  <c r="G351" i="3" a="1"/>
  <c r="G351" i="3" s="1"/>
  <c r="G350" i="3" a="1"/>
  <c r="G350" i="3" s="1"/>
  <c r="G349" i="3" a="1"/>
  <c r="G349" i="3" s="1"/>
  <c r="G348" i="3" a="1"/>
  <c r="G348" i="3" s="1"/>
  <c r="G347" i="3" a="1"/>
  <c r="G347" i="3" s="1"/>
  <c r="G346" i="3" a="1"/>
  <c r="G346" i="3" s="1"/>
  <c r="G345" i="3" a="1"/>
  <c r="G345" i="3" s="1"/>
  <c r="G344" i="3" a="1"/>
  <c r="G344" i="3" s="1"/>
  <c r="G343" i="3" a="1"/>
  <c r="G343" i="3" s="1"/>
  <c r="G342" i="3" a="1"/>
  <c r="G342" i="3" s="1"/>
  <c r="G341" i="3" a="1"/>
  <c r="G341" i="3" s="1"/>
  <c r="G340" i="3" a="1"/>
  <c r="G340" i="3" s="1"/>
  <c r="G339" i="3" a="1"/>
  <c r="G339" i="3" s="1"/>
  <c r="G338" i="3" a="1"/>
  <c r="G338" i="3" s="1"/>
  <c r="G337" i="3" a="1"/>
  <c r="G337" i="3" s="1"/>
  <c r="G336" i="3" a="1"/>
  <c r="G336" i="3" s="1"/>
  <c r="G335" i="3" a="1"/>
  <c r="G335" i="3" s="1"/>
  <c r="G334" i="3" a="1"/>
  <c r="G334" i="3" s="1"/>
  <c r="G333" i="3" a="1"/>
  <c r="G333" i="3" s="1"/>
  <c r="G332" i="3" a="1"/>
  <c r="G332" i="3" s="1"/>
  <c r="G331" i="3" a="1"/>
  <c r="G331" i="3" s="1"/>
  <c r="G330" i="3" a="1"/>
  <c r="G330" i="3" s="1"/>
  <c r="G329" i="3" a="1"/>
  <c r="G329" i="3" s="1"/>
  <c r="G328" i="3" a="1"/>
  <c r="G328" i="3" s="1"/>
  <c r="G327" i="3" a="1"/>
  <c r="G327" i="3" s="1"/>
  <c r="G326" i="3" a="1"/>
  <c r="G326" i="3" s="1"/>
  <c r="G325" i="3" a="1"/>
  <c r="G325" i="3" s="1"/>
  <c r="G324" i="3" a="1"/>
  <c r="G324" i="3" s="1"/>
  <c r="G323" i="3" a="1"/>
  <c r="G323" i="3" s="1"/>
  <c r="G322" i="3" a="1"/>
  <c r="G322" i="3" s="1"/>
  <c r="G321" i="3" a="1"/>
  <c r="G321" i="3" s="1"/>
  <c r="G320" i="3" a="1"/>
  <c r="G320" i="3" s="1"/>
  <c r="G319" i="3" a="1"/>
  <c r="G319" i="3" s="1"/>
  <c r="G318" i="3" a="1"/>
  <c r="G318" i="3" s="1"/>
  <c r="G317" i="3" a="1"/>
  <c r="G317" i="3" s="1"/>
  <c r="G316" i="3" a="1"/>
  <c r="G316" i="3" s="1"/>
  <c r="G315" i="3" a="1"/>
  <c r="G315" i="3" s="1"/>
  <c r="G314" i="3" a="1"/>
  <c r="G314" i="3" s="1"/>
  <c r="G313" i="3" a="1"/>
  <c r="G313" i="3" s="1"/>
  <c r="G312" i="3" a="1"/>
  <c r="G312" i="3" s="1"/>
  <c r="G311" i="3" a="1"/>
  <c r="G311" i="3" s="1"/>
  <c r="G310" i="3" a="1"/>
  <c r="G310" i="3" s="1"/>
  <c r="G309" i="3" a="1"/>
  <c r="G309" i="3" s="1"/>
  <c r="G308" i="3" a="1"/>
  <c r="G308" i="3" s="1"/>
  <c r="G307" i="3" a="1"/>
  <c r="G307" i="3" s="1"/>
  <c r="G306" i="3" a="1"/>
  <c r="G306" i="3" s="1"/>
  <c r="G305" i="3" a="1"/>
  <c r="G305" i="3" s="1"/>
  <c r="G304" i="3" a="1"/>
  <c r="G304" i="3" s="1"/>
  <c r="G303" i="3" a="1"/>
  <c r="G303" i="3" s="1"/>
  <c r="G302" i="3" a="1"/>
  <c r="G302" i="3" s="1"/>
  <c r="G301" i="3" a="1"/>
  <c r="G301" i="3" s="1"/>
  <c r="G300" i="3" a="1"/>
  <c r="G300" i="3" s="1"/>
  <c r="G299" i="3" a="1"/>
  <c r="G299" i="3" s="1"/>
  <c r="G298" i="3" a="1"/>
  <c r="G298" i="3" s="1"/>
  <c r="G297" i="3" a="1"/>
  <c r="G297" i="3" s="1"/>
  <c r="G296" i="3" a="1"/>
  <c r="G296" i="3" s="1"/>
  <c r="G295" i="3" a="1"/>
  <c r="G295" i="3" s="1"/>
  <c r="G294" i="3" a="1"/>
  <c r="G294" i="3" s="1"/>
  <c r="G293" i="3" a="1"/>
  <c r="G293" i="3" s="1"/>
  <c r="G292" i="3" a="1"/>
  <c r="G292" i="3" s="1"/>
  <c r="G291" i="3" a="1"/>
  <c r="G291" i="3" s="1"/>
  <c r="G290" i="3" a="1"/>
  <c r="G290" i="3" s="1"/>
  <c r="G289" i="3" a="1"/>
  <c r="G289" i="3" s="1"/>
  <c r="G288" i="3" a="1"/>
  <c r="G288" i="3" s="1"/>
  <c r="G287" i="3" a="1"/>
  <c r="G287" i="3" s="1"/>
  <c r="G286" i="3" a="1"/>
  <c r="G286" i="3" s="1"/>
  <c r="G285" i="3" a="1"/>
  <c r="G285" i="3" s="1"/>
  <c r="G284" i="3" a="1"/>
  <c r="G284" i="3" s="1"/>
  <c r="G283" i="3" a="1"/>
  <c r="G283" i="3" s="1"/>
  <c r="G282" i="3" a="1"/>
  <c r="G282" i="3" s="1"/>
  <c r="G281" i="3" a="1"/>
  <c r="G281" i="3" s="1"/>
  <c r="G280" i="3" a="1"/>
  <c r="G280" i="3" s="1"/>
  <c r="G279" i="3" a="1"/>
  <c r="G279" i="3" s="1"/>
  <c r="G278" i="3" a="1"/>
  <c r="G278" i="3" s="1"/>
  <c r="G277" i="3" a="1"/>
  <c r="G277" i="3" s="1"/>
  <c r="G276" i="3" a="1"/>
  <c r="G276" i="3" s="1"/>
  <c r="G275" i="3" a="1"/>
  <c r="G275" i="3" s="1"/>
  <c r="G274" i="3" a="1"/>
  <c r="G274" i="3" s="1"/>
  <c r="G273" i="3" a="1"/>
  <c r="G273" i="3" s="1"/>
  <c r="G272" i="3" a="1"/>
  <c r="G272" i="3" s="1"/>
  <c r="G271" i="3" a="1"/>
  <c r="G271" i="3" s="1"/>
  <c r="G270" i="3" a="1"/>
  <c r="G270" i="3" s="1"/>
  <c r="G269" i="3" a="1"/>
  <c r="G269" i="3" s="1"/>
  <c r="G268" i="3" a="1"/>
  <c r="G268" i="3" s="1"/>
  <c r="G267" i="3" a="1"/>
  <c r="G267" i="3" s="1"/>
  <c r="G266" i="3" a="1"/>
  <c r="G266" i="3" s="1"/>
  <c r="G265" i="3" a="1"/>
  <c r="G265" i="3" s="1"/>
  <c r="G264" i="3" a="1"/>
  <c r="G264" i="3" s="1"/>
  <c r="G263" i="3" a="1"/>
  <c r="G263" i="3" s="1"/>
  <c r="G262" i="3" a="1"/>
  <c r="G262" i="3" s="1"/>
  <c r="G261" i="3" a="1"/>
  <c r="G261" i="3" s="1"/>
  <c r="G260" i="3" a="1"/>
  <c r="G260" i="3" s="1"/>
  <c r="G259" i="3" a="1"/>
  <c r="G259" i="3" s="1"/>
  <c r="G258" i="3" a="1"/>
  <c r="G258" i="3" s="1"/>
  <c r="G257" i="3" a="1"/>
  <c r="G257" i="3" s="1"/>
  <c r="G256" i="3" a="1"/>
  <c r="G256" i="3" s="1"/>
  <c r="G255" i="3" a="1"/>
  <c r="G255" i="3" s="1"/>
  <c r="G254" i="3" a="1"/>
  <c r="G254" i="3" s="1"/>
  <c r="G253" i="3" a="1"/>
  <c r="G253" i="3" s="1"/>
  <c r="G252" i="3" a="1"/>
  <c r="G252" i="3" s="1"/>
  <c r="G251" i="3" a="1"/>
  <c r="G251" i="3" s="1"/>
  <c r="G250" i="3" a="1"/>
  <c r="G250" i="3" s="1"/>
  <c r="G249" i="3" a="1"/>
  <c r="G249" i="3" s="1"/>
  <c r="G248" i="3" a="1"/>
  <c r="G248" i="3" s="1"/>
  <c r="G247" i="3" a="1"/>
  <c r="G247" i="3" s="1"/>
  <c r="G246" i="3" a="1"/>
  <c r="G246" i="3" s="1"/>
  <c r="G245" i="3" a="1"/>
  <c r="G245" i="3" s="1"/>
  <c r="G244" i="3" a="1"/>
  <c r="G244" i="3" s="1"/>
  <c r="G243" i="3" a="1"/>
  <c r="G243" i="3" s="1"/>
  <c r="G242" i="3" a="1"/>
  <c r="G242" i="3" s="1"/>
  <c r="G241" i="3" a="1"/>
  <c r="G241" i="3" s="1"/>
  <c r="G240" i="3" a="1"/>
  <c r="G240" i="3" s="1"/>
  <c r="G239" i="3" a="1"/>
  <c r="G239" i="3" s="1"/>
  <c r="G238" i="3" a="1"/>
  <c r="G238" i="3" s="1"/>
  <c r="G237" i="3" a="1"/>
  <c r="G237" i="3" s="1"/>
  <c r="G236" i="3" a="1"/>
  <c r="G236" i="3" s="1"/>
  <c r="G235" i="3" a="1"/>
  <c r="G235" i="3" s="1"/>
  <c r="G234" i="3" a="1"/>
  <c r="G234" i="3" s="1"/>
  <c r="G233" i="3" a="1"/>
  <c r="G233" i="3" s="1"/>
  <c r="G232" i="3" a="1"/>
  <c r="G232" i="3" s="1"/>
  <c r="G231" i="3" a="1"/>
  <c r="G231" i="3" s="1"/>
  <c r="G230" i="3" a="1"/>
  <c r="G230" i="3" s="1"/>
  <c r="G229" i="3" a="1"/>
  <c r="G229" i="3" s="1"/>
  <c r="G228" i="3" a="1"/>
  <c r="G228" i="3" s="1"/>
  <c r="G227" i="3" a="1"/>
  <c r="G227" i="3" s="1"/>
  <c r="G226" i="3" a="1"/>
  <c r="G226" i="3" s="1"/>
  <c r="G225" i="3" a="1"/>
  <c r="G225" i="3" s="1"/>
  <c r="G224" i="3" a="1"/>
  <c r="G224" i="3" s="1"/>
  <c r="G223" i="3" a="1"/>
  <c r="G223" i="3" s="1"/>
  <c r="G222" i="3" a="1"/>
  <c r="G222" i="3" s="1"/>
  <c r="G221" i="3" a="1"/>
  <c r="G221" i="3" s="1"/>
  <c r="G220" i="3" a="1"/>
  <c r="G220" i="3" s="1"/>
  <c r="G219" i="3" a="1"/>
  <c r="G219" i="3" s="1"/>
  <c r="G218" i="3" a="1"/>
  <c r="G218" i="3" s="1"/>
  <c r="G217" i="3" a="1"/>
  <c r="G217" i="3" s="1"/>
  <c r="G216" i="3" a="1"/>
  <c r="G216" i="3" s="1"/>
  <c r="G215" i="3" a="1"/>
  <c r="G215" i="3" s="1"/>
  <c r="G214" i="3" a="1"/>
  <c r="G214" i="3" s="1"/>
  <c r="G213" i="3" a="1"/>
  <c r="G213" i="3" s="1"/>
  <c r="G212" i="3" a="1"/>
  <c r="G212" i="3" s="1"/>
  <c r="G211" i="3" a="1"/>
  <c r="G211" i="3" s="1"/>
  <c r="G210" i="3" a="1"/>
  <c r="G210" i="3" s="1"/>
  <c r="G209" i="3" a="1"/>
  <c r="G209" i="3" s="1"/>
  <c r="G208" i="3" a="1"/>
  <c r="G208" i="3" s="1"/>
  <c r="G207" i="3" a="1"/>
  <c r="G207" i="3" s="1"/>
  <c r="G206" i="3" a="1"/>
  <c r="G206" i="3" s="1"/>
  <c r="G205" i="3" a="1"/>
  <c r="G205" i="3" s="1"/>
  <c r="G204" i="3" a="1"/>
  <c r="G204" i="3" s="1"/>
  <c r="G203" i="3" a="1"/>
  <c r="G203" i="3" s="1"/>
  <c r="G202" i="3" a="1"/>
  <c r="G202" i="3" s="1"/>
  <c r="G201" i="3" a="1"/>
  <c r="G201" i="3" s="1"/>
  <c r="G200" i="3" a="1"/>
  <c r="G200" i="3" s="1"/>
  <c r="G199" i="3" a="1"/>
  <c r="G199" i="3" s="1"/>
  <c r="G198" i="3" a="1"/>
  <c r="G198" i="3" s="1"/>
  <c r="G197" i="3" a="1"/>
  <c r="G197" i="3" s="1"/>
  <c r="G196" i="3" a="1"/>
  <c r="G196" i="3" s="1"/>
  <c r="G195" i="3" a="1"/>
  <c r="G195" i="3" s="1"/>
  <c r="G194" i="3" a="1"/>
  <c r="G194" i="3" s="1"/>
  <c r="G193" i="3" a="1"/>
  <c r="G193" i="3" s="1"/>
  <c r="G192" i="3" a="1"/>
  <c r="G192" i="3" s="1"/>
  <c r="G191" i="3" a="1"/>
  <c r="G191" i="3" s="1"/>
  <c r="G190" i="3" a="1"/>
  <c r="G190" i="3" s="1"/>
  <c r="G189" i="3" a="1"/>
  <c r="G189" i="3" s="1"/>
  <c r="G188" i="3" a="1"/>
  <c r="G188" i="3" s="1"/>
  <c r="G187" i="3" a="1"/>
  <c r="G187" i="3" s="1"/>
  <c r="G186" i="3" a="1"/>
  <c r="G186" i="3" s="1"/>
  <c r="G185" i="3" a="1"/>
  <c r="G185" i="3" s="1"/>
  <c r="G184" i="3" a="1"/>
  <c r="G184" i="3" s="1"/>
  <c r="G183" i="3" a="1"/>
  <c r="G183" i="3" s="1"/>
  <c r="G182" i="3" a="1"/>
  <c r="G182" i="3" s="1"/>
  <c r="G181" i="3" a="1"/>
  <c r="G181" i="3" s="1"/>
  <c r="G180" i="3" a="1"/>
  <c r="G180" i="3" s="1"/>
  <c r="G179" i="3" a="1"/>
  <c r="G179" i="3" s="1"/>
  <c r="G178" i="3" a="1"/>
  <c r="G178" i="3" s="1"/>
  <c r="G177" i="3" a="1"/>
  <c r="G177" i="3" s="1"/>
  <c r="G176" i="3" a="1"/>
  <c r="G176" i="3" s="1"/>
  <c r="G175" i="3" a="1"/>
  <c r="G175" i="3" s="1"/>
  <c r="G174" i="3" a="1"/>
  <c r="G174" i="3" s="1"/>
  <c r="G173" i="3" a="1"/>
  <c r="G173" i="3" s="1"/>
  <c r="G172" i="3" a="1"/>
  <c r="G172" i="3" s="1"/>
  <c r="G171" i="3" a="1"/>
  <c r="G171" i="3" s="1"/>
  <c r="G170" i="3" a="1"/>
  <c r="G170" i="3" s="1"/>
  <c r="G169" i="3" a="1"/>
  <c r="G169" i="3" s="1"/>
  <c r="G168" i="3" a="1"/>
  <c r="G168" i="3" s="1"/>
  <c r="G167" i="3" a="1"/>
  <c r="G167" i="3" s="1"/>
  <c r="G166" i="3" a="1"/>
  <c r="G166" i="3" s="1"/>
  <c r="G165" i="3" a="1"/>
  <c r="G165" i="3" s="1"/>
  <c r="G164" i="3" a="1"/>
  <c r="G164" i="3" s="1"/>
  <c r="G163" i="3" a="1"/>
  <c r="G163" i="3" s="1"/>
  <c r="G162" i="3" a="1"/>
  <c r="G162" i="3" s="1"/>
  <c r="G161" i="3" a="1"/>
  <c r="G161" i="3" s="1"/>
  <c r="G160" i="3" a="1"/>
  <c r="G160" i="3" s="1"/>
  <c r="G159" i="3" a="1"/>
  <c r="G159" i="3" s="1"/>
  <c r="G158" i="3" a="1"/>
  <c r="G158" i="3" s="1"/>
  <c r="G157" i="3" a="1"/>
  <c r="G157" i="3" s="1"/>
  <c r="G156" i="3" a="1"/>
  <c r="G156" i="3" s="1"/>
  <c r="G155" i="3" a="1"/>
  <c r="G155" i="3" s="1"/>
  <c r="G154" i="3" a="1"/>
  <c r="G154" i="3" s="1"/>
  <c r="G153" i="3" a="1"/>
  <c r="G153" i="3" s="1"/>
  <c r="G152" i="3" a="1"/>
  <c r="G152" i="3" s="1"/>
  <c r="G151" i="3" a="1"/>
  <c r="G151" i="3" s="1"/>
  <c r="G150" i="3" a="1"/>
  <c r="G150" i="3" s="1"/>
  <c r="G149" i="3" a="1"/>
  <c r="G149" i="3" s="1"/>
  <c r="G148" i="3" a="1"/>
  <c r="G148" i="3" s="1"/>
  <c r="G147" i="3" a="1"/>
  <c r="G147" i="3" s="1"/>
  <c r="G146" i="3" a="1"/>
  <c r="G146" i="3" s="1"/>
  <c r="G145" i="3" a="1"/>
  <c r="G145" i="3" s="1"/>
  <c r="G144" i="3" a="1"/>
  <c r="G144" i="3" s="1"/>
  <c r="G143" i="3" a="1"/>
  <c r="G143" i="3" s="1"/>
  <c r="G142" i="3" a="1"/>
  <c r="G142" i="3" s="1"/>
  <c r="G141" i="3" a="1"/>
  <c r="G141" i="3" s="1"/>
  <c r="G140" i="3" a="1"/>
  <c r="G140" i="3" s="1"/>
  <c r="G139" i="3" a="1"/>
  <c r="G139" i="3" s="1"/>
  <c r="G138" i="3" a="1"/>
  <c r="G138" i="3" s="1"/>
  <c r="G137" i="3" a="1"/>
  <c r="G137" i="3" s="1"/>
  <c r="G136" i="3" a="1"/>
  <c r="G136" i="3" s="1"/>
  <c r="G135" i="3" a="1"/>
  <c r="G135" i="3" s="1"/>
  <c r="G134" i="3" a="1"/>
  <c r="G134" i="3" s="1"/>
  <c r="G133" i="3" a="1"/>
  <c r="G133" i="3" s="1"/>
  <c r="G132" i="3" a="1"/>
  <c r="G132" i="3" s="1"/>
  <c r="G131" i="3" a="1"/>
  <c r="G131" i="3" s="1"/>
  <c r="G130" i="3" a="1"/>
  <c r="G130" i="3" s="1"/>
  <c r="G129" i="3" a="1"/>
  <c r="G129" i="3" s="1"/>
  <c r="G128" i="3" a="1"/>
  <c r="G128" i="3" s="1"/>
  <c r="G127" i="3" a="1"/>
  <c r="G127" i="3" s="1"/>
  <c r="G126" i="3" a="1"/>
  <c r="G126" i="3" s="1"/>
  <c r="G125" i="3" a="1"/>
  <c r="G125" i="3" s="1"/>
  <c r="G124" i="3" a="1"/>
  <c r="G124" i="3" s="1"/>
  <c r="G123" i="3" a="1"/>
  <c r="G123" i="3" s="1"/>
  <c r="G122" i="3" a="1"/>
  <c r="G122" i="3" s="1"/>
  <c r="G121" i="3" a="1"/>
  <c r="G121" i="3" s="1"/>
  <c r="G120" i="3" a="1"/>
  <c r="G120" i="3" s="1"/>
  <c r="G119" i="3" a="1"/>
  <c r="G119" i="3" s="1"/>
  <c r="G118" i="3" a="1"/>
  <c r="G118" i="3" s="1"/>
  <c r="G117" i="3" a="1"/>
  <c r="G117" i="3" s="1"/>
  <c r="G116" i="3" a="1"/>
  <c r="G116" i="3" s="1"/>
  <c r="G115" i="3" a="1"/>
  <c r="G115" i="3" s="1"/>
  <c r="G114" i="3" a="1"/>
  <c r="G114" i="3" s="1"/>
  <c r="G113" i="3" a="1"/>
  <c r="G113" i="3" s="1"/>
  <c r="G112" i="3" a="1"/>
  <c r="G112" i="3" s="1"/>
  <c r="G111" i="3" a="1"/>
  <c r="G111" i="3" s="1"/>
  <c r="G110" i="3" a="1"/>
  <c r="G110" i="3" s="1"/>
  <c r="G109" i="3" a="1"/>
  <c r="G109" i="3" s="1"/>
  <c r="G108" i="3" a="1"/>
  <c r="G108" i="3" s="1"/>
  <c r="G107" i="3" a="1"/>
  <c r="G107" i="3" s="1"/>
  <c r="G106" i="3" a="1"/>
  <c r="G106" i="3" s="1"/>
  <c r="G105" i="3" a="1"/>
  <c r="G105" i="3" s="1"/>
  <c r="G104" i="3" a="1"/>
  <c r="G104" i="3" s="1"/>
  <c r="G103" i="3" a="1"/>
  <c r="G103" i="3" s="1"/>
  <c r="G102" i="3" a="1"/>
  <c r="G102" i="3" s="1"/>
  <c r="G101" i="3" a="1"/>
  <c r="G101" i="3" s="1"/>
  <c r="G100" i="3" a="1"/>
  <c r="G100" i="3" s="1"/>
  <c r="G99" i="3" a="1"/>
  <c r="G99" i="3" s="1"/>
  <c r="G98" i="3" a="1"/>
  <c r="G98" i="3" s="1"/>
  <c r="G97" i="3" a="1"/>
  <c r="G97" i="3" s="1"/>
  <c r="G96" i="3" a="1"/>
  <c r="G96" i="3" s="1"/>
  <c r="G95" i="3" a="1"/>
  <c r="G95" i="3" s="1"/>
  <c r="G94" i="3" a="1"/>
  <c r="G94" i="3" s="1"/>
  <c r="G93" i="3" a="1"/>
  <c r="G93" i="3" s="1"/>
  <c r="G92" i="3" a="1"/>
  <c r="G92" i="3" s="1"/>
  <c r="G91" i="3" a="1"/>
  <c r="G91" i="3" s="1"/>
  <c r="G90" i="3" a="1"/>
  <c r="G90" i="3" s="1"/>
  <c r="G89" i="3" a="1"/>
  <c r="G89" i="3" s="1"/>
  <c r="G88" i="3" a="1"/>
  <c r="G88" i="3" s="1"/>
  <c r="G87" i="3" a="1"/>
  <c r="G87" i="3" s="1"/>
  <c r="G86" i="3" a="1"/>
  <c r="G86" i="3" s="1"/>
  <c r="G85" i="3" a="1"/>
  <c r="G85" i="3" s="1"/>
  <c r="G84" i="3" a="1"/>
  <c r="G84" i="3" s="1"/>
  <c r="G83" i="3" a="1"/>
  <c r="G83" i="3" s="1"/>
  <c r="G82" i="3" a="1"/>
  <c r="G82" i="3" s="1"/>
  <c r="G81" i="3" a="1"/>
  <c r="G81" i="3" s="1"/>
  <c r="G80" i="3" a="1"/>
  <c r="G80" i="3" s="1"/>
  <c r="G79" i="3" a="1"/>
  <c r="G79" i="3" s="1"/>
  <c r="G78" i="3" a="1"/>
  <c r="G78" i="3" s="1"/>
  <c r="G77" i="3" a="1"/>
  <c r="G77" i="3" s="1"/>
  <c r="G76" i="3" a="1"/>
  <c r="G76" i="3" s="1"/>
  <c r="G75" i="3" a="1"/>
  <c r="G75" i="3" s="1"/>
  <c r="G74" i="3" a="1"/>
  <c r="G74" i="3" s="1"/>
  <c r="G73" i="3" a="1"/>
  <c r="G73" i="3" s="1"/>
  <c r="G72" i="3" a="1"/>
  <c r="G72" i="3" s="1"/>
  <c r="G71" i="3" a="1"/>
  <c r="G71" i="3" s="1"/>
  <c r="G70" i="3" a="1"/>
  <c r="G70" i="3" s="1"/>
  <c r="G69" i="3" a="1"/>
  <c r="G69" i="3" s="1"/>
  <c r="G68" i="3" a="1"/>
  <c r="G68" i="3" s="1"/>
  <c r="G67" i="3" a="1"/>
  <c r="G67" i="3" s="1"/>
  <c r="G66" i="3" a="1"/>
  <c r="G66" i="3" s="1"/>
  <c r="G65" i="3" a="1"/>
  <c r="G65" i="3" s="1"/>
  <c r="G64" i="3" a="1"/>
  <c r="G64" i="3" s="1"/>
  <c r="G63" i="3" a="1"/>
  <c r="G63" i="3" s="1"/>
  <c r="G62" i="3" a="1"/>
  <c r="G62" i="3" s="1"/>
  <c r="G61" i="3" a="1"/>
  <c r="G61" i="3" s="1"/>
  <c r="G60" i="3" a="1"/>
  <c r="G60" i="3" s="1"/>
  <c r="G59" i="3" a="1"/>
  <c r="G59" i="3" s="1"/>
  <c r="G58" i="3" a="1"/>
  <c r="G58" i="3" s="1"/>
  <c r="G57" i="3" a="1"/>
  <c r="G57" i="3" s="1"/>
  <c r="G56" i="3" a="1"/>
  <c r="G56" i="3" s="1"/>
  <c r="G55" i="3" a="1"/>
  <c r="G55" i="3" s="1"/>
  <c r="G54" i="3" a="1"/>
  <c r="G54" i="3" s="1"/>
  <c r="G53" i="3" a="1"/>
  <c r="G53" i="3" s="1"/>
  <c r="G52" i="3" a="1"/>
  <c r="G52" i="3" s="1"/>
  <c r="G51" i="3" a="1"/>
  <c r="G51" i="3" s="1"/>
  <c r="G50" i="3" a="1"/>
  <c r="G50" i="3" s="1"/>
  <c r="G49" i="3" a="1"/>
  <c r="G49" i="3" s="1"/>
  <c r="G48" i="3" a="1"/>
  <c r="G48" i="3" s="1"/>
  <c r="G47" i="3" a="1"/>
  <c r="G47" i="3" s="1"/>
  <c r="G46" i="3" a="1"/>
  <c r="G46" i="3" s="1"/>
  <c r="G45" i="3" a="1"/>
  <c r="G45" i="3" s="1"/>
  <c r="G44" i="3" a="1"/>
  <c r="G44" i="3" s="1"/>
  <c r="G43" i="3" a="1"/>
  <c r="G43" i="3" s="1"/>
  <c r="G42" i="3" a="1"/>
  <c r="G42" i="3" s="1"/>
  <c r="G41" i="3" a="1"/>
  <c r="G41" i="3" s="1"/>
  <c r="G40" i="3" a="1"/>
  <c r="G40" i="3" s="1"/>
  <c r="G39" i="3" a="1"/>
  <c r="G39" i="3" s="1"/>
  <c r="G38" i="3" a="1"/>
  <c r="G38" i="3" s="1"/>
  <c r="G37" i="3" a="1"/>
  <c r="G37" i="3" s="1"/>
  <c r="G36" i="3" a="1"/>
  <c r="G36" i="3" s="1"/>
  <c r="G35" i="3" a="1"/>
  <c r="G35" i="3" s="1"/>
  <c r="G34" i="3" a="1"/>
  <c r="G34" i="3" s="1"/>
  <c r="G33" i="3" a="1"/>
  <c r="G33" i="3" s="1"/>
  <c r="G32" i="3" a="1"/>
  <c r="G32" i="3" s="1"/>
  <c r="G31" i="3" a="1"/>
  <c r="G31" i="3" s="1"/>
  <c r="G30" i="3" a="1"/>
  <c r="G30" i="3" s="1"/>
  <c r="G29" i="3" a="1"/>
  <c r="G29" i="3" s="1"/>
  <c r="G28" i="3" a="1"/>
  <c r="G28" i="3" s="1"/>
  <c r="G27" i="3" a="1"/>
  <c r="G27" i="3" s="1"/>
  <c r="G26" i="3" a="1"/>
  <c r="G26" i="3" s="1"/>
  <c r="G25" i="3" a="1"/>
  <c r="G25" i="3" s="1"/>
  <c r="G24" i="3" a="1"/>
  <c r="G24" i="3" s="1"/>
  <c r="G23" i="3" a="1"/>
  <c r="G23" i="3" s="1"/>
  <c r="G22" i="3" a="1"/>
  <c r="G22" i="3" s="1"/>
  <c r="G21" i="3" a="1"/>
  <c r="G21" i="3" s="1"/>
  <c r="G20" i="3" a="1"/>
  <c r="G20" i="3" s="1"/>
  <c r="G19" i="3" a="1"/>
  <c r="G19" i="3" s="1"/>
  <c r="G18" i="3" a="1"/>
  <c r="G18" i="3" s="1"/>
  <c r="G17" i="3" a="1"/>
  <c r="G17" i="3" s="1"/>
  <c r="G16" i="3" a="1"/>
  <c r="G16" i="3" s="1"/>
  <c r="G15" i="3" a="1"/>
  <c r="G15" i="3" s="1"/>
  <c r="G14" i="3" a="1"/>
  <c r="G14" i="3" s="1"/>
  <c r="G13" i="3" a="1"/>
  <c r="G13" i="3" s="1"/>
  <c r="G12" i="3" a="1"/>
  <c r="G12" i="3" s="1"/>
  <c r="G11" i="3" a="1"/>
  <c r="G11" i="3" s="1"/>
  <c r="G10" i="3" a="1"/>
  <c r="G10" i="3" s="1"/>
  <c r="G9" i="3" a="1"/>
  <c r="G9" i="3" s="1"/>
  <c r="G8" i="3" a="1"/>
  <c r="G8" i="3" s="1"/>
  <c r="G7" i="3" a="1"/>
  <c r="G7" i="3" s="1"/>
  <c r="G6" i="3" a="1"/>
  <c r="G6" i="3" s="1"/>
  <c r="G5" i="3" a="1"/>
  <c r="G5" i="3" s="1"/>
  <c r="G4" i="3" a="1"/>
  <c r="G4" i="3" s="1"/>
  <c r="G3" i="3" a="1"/>
  <c r="G3" i="3" s="1"/>
  <c r="G2" i="3" a="1"/>
  <c r="G2" i="3" s="1"/>
  <c r="F579" i="3" a="1"/>
  <c r="F579" i="3" s="1"/>
  <c r="F578" i="3" a="1"/>
  <c r="F578" i="3" s="1"/>
  <c r="F577" i="3" a="1"/>
  <c r="F577" i="3" s="1"/>
  <c r="F576" i="3" a="1"/>
  <c r="F576" i="3" s="1"/>
  <c r="F575" i="3" a="1"/>
  <c r="F575" i="3" s="1"/>
  <c r="F574" i="3" a="1"/>
  <c r="F574" i="3" s="1"/>
  <c r="F573" i="3" a="1"/>
  <c r="F573" i="3" s="1"/>
  <c r="F572" i="3" a="1"/>
  <c r="F572" i="3" s="1"/>
  <c r="F571" i="3" a="1"/>
  <c r="F571" i="3" s="1"/>
  <c r="F570" i="3" a="1"/>
  <c r="F570" i="3" s="1"/>
  <c r="F569" i="3" a="1"/>
  <c r="F569" i="3" s="1"/>
  <c r="F568" i="3" a="1"/>
  <c r="F568" i="3" s="1"/>
  <c r="F567" i="3" a="1"/>
  <c r="F567" i="3" s="1"/>
  <c r="F566" i="3" a="1"/>
  <c r="F566" i="3" s="1"/>
  <c r="F565" i="3" a="1"/>
  <c r="F565" i="3" s="1"/>
  <c r="F564" i="3" a="1"/>
  <c r="F564" i="3" s="1"/>
  <c r="F563" i="3" a="1"/>
  <c r="F563" i="3" s="1"/>
  <c r="F562" i="3" a="1"/>
  <c r="F562" i="3" s="1"/>
  <c r="F561" i="3" a="1"/>
  <c r="F561" i="3" s="1"/>
  <c r="F560" i="3" a="1"/>
  <c r="F560" i="3" s="1"/>
  <c r="F559" i="3" a="1"/>
  <c r="F559" i="3" s="1"/>
  <c r="F558" i="3" a="1"/>
  <c r="F558" i="3" s="1"/>
  <c r="F557" i="3" a="1"/>
  <c r="F557" i="3" s="1"/>
  <c r="F556" i="3" a="1"/>
  <c r="F556" i="3" s="1"/>
  <c r="F555" i="3" a="1"/>
  <c r="F555" i="3" s="1"/>
  <c r="F554" i="3" a="1"/>
  <c r="F554" i="3" s="1"/>
  <c r="F553" i="3" a="1"/>
  <c r="F553" i="3" s="1"/>
  <c r="F552" i="3" a="1"/>
  <c r="F552" i="3" s="1"/>
  <c r="F551" i="3" a="1"/>
  <c r="F551" i="3" s="1"/>
  <c r="F550" i="3" a="1"/>
  <c r="F550" i="3" s="1"/>
  <c r="F549" i="3" a="1"/>
  <c r="F549" i="3" s="1"/>
  <c r="F548" i="3" a="1"/>
  <c r="F548" i="3" s="1"/>
  <c r="F547" i="3" a="1"/>
  <c r="F547" i="3" s="1"/>
  <c r="F546" i="3" a="1"/>
  <c r="F546" i="3" s="1"/>
  <c r="F545" i="3" a="1"/>
  <c r="F545" i="3" s="1"/>
  <c r="F544" i="3" a="1"/>
  <c r="F544" i="3" s="1"/>
  <c r="F543" i="3" a="1"/>
  <c r="F543" i="3" s="1"/>
  <c r="F542" i="3" a="1"/>
  <c r="F542" i="3" s="1"/>
  <c r="F541" i="3" a="1"/>
  <c r="F541" i="3" s="1"/>
  <c r="F540" i="3" a="1"/>
  <c r="F540" i="3" s="1"/>
  <c r="F539" i="3" a="1"/>
  <c r="F539" i="3" s="1"/>
  <c r="F538" i="3" a="1"/>
  <c r="F538" i="3" s="1"/>
  <c r="F537" i="3" a="1"/>
  <c r="F537" i="3" s="1"/>
  <c r="F536" i="3" a="1"/>
  <c r="F536" i="3" s="1"/>
  <c r="F535" i="3" a="1"/>
  <c r="F535" i="3" s="1"/>
  <c r="F534" i="3" a="1"/>
  <c r="F534" i="3" s="1"/>
  <c r="F533" i="3" a="1"/>
  <c r="F533" i="3" s="1"/>
  <c r="F532" i="3" a="1"/>
  <c r="F532" i="3" s="1"/>
  <c r="F531" i="3" a="1"/>
  <c r="F531" i="3" s="1"/>
  <c r="F530" i="3" a="1"/>
  <c r="F530" i="3" s="1"/>
  <c r="F529" i="3" a="1"/>
  <c r="F529" i="3" s="1"/>
  <c r="F528" i="3" a="1"/>
  <c r="F528" i="3" s="1"/>
  <c r="F527" i="3" a="1"/>
  <c r="F527" i="3" s="1"/>
  <c r="F526" i="3" a="1"/>
  <c r="F526" i="3" s="1"/>
  <c r="F525" i="3" a="1"/>
  <c r="F525" i="3" s="1"/>
  <c r="F524" i="3" a="1"/>
  <c r="F524" i="3" s="1"/>
  <c r="F523" i="3" a="1"/>
  <c r="F523" i="3" s="1"/>
  <c r="F522" i="3" a="1"/>
  <c r="F522" i="3" s="1"/>
  <c r="F521" i="3" a="1"/>
  <c r="F521" i="3" s="1"/>
  <c r="F520" i="3" a="1"/>
  <c r="F520" i="3" s="1"/>
  <c r="F519" i="3" a="1"/>
  <c r="F519" i="3" s="1"/>
  <c r="F518" i="3" a="1"/>
  <c r="F518" i="3" s="1"/>
  <c r="F517" i="3" a="1"/>
  <c r="F517" i="3" s="1"/>
  <c r="F516" i="3" a="1"/>
  <c r="F516" i="3" s="1"/>
  <c r="F515" i="3" a="1"/>
  <c r="F515" i="3" s="1"/>
  <c r="F514" i="3" a="1"/>
  <c r="F514" i="3" s="1"/>
  <c r="F513" i="3" a="1"/>
  <c r="F513" i="3" s="1"/>
  <c r="F512" i="3" a="1"/>
  <c r="F512" i="3" s="1"/>
  <c r="F511" i="3" a="1"/>
  <c r="F511" i="3" s="1"/>
  <c r="F510" i="3" a="1"/>
  <c r="F510" i="3" s="1"/>
  <c r="F509" i="3" a="1"/>
  <c r="F509" i="3" s="1"/>
  <c r="F508" i="3" a="1"/>
  <c r="F508" i="3" s="1"/>
  <c r="F507" i="3" a="1"/>
  <c r="F507" i="3" s="1"/>
  <c r="F506" i="3" a="1"/>
  <c r="F506" i="3" s="1"/>
  <c r="F505" i="3" a="1"/>
  <c r="F505" i="3" s="1"/>
  <c r="F504" i="3" a="1"/>
  <c r="F504" i="3" s="1"/>
  <c r="F503" i="3" a="1"/>
  <c r="F503" i="3" s="1"/>
  <c r="F502" i="3" a="1"/>
  <c r="F502" i="3" s="1"/>
  <c r="F501" i="3" a="1"/>
  <c r="F501" i="3" s="1"/>
  <c r="F500" i="3" a="1"/>
  <c r="F500" i="3" s="1"/>
  <c r="F499" i="3" a="1"/>
  <c r="F499" i="3" s="1"/>
  <c r="F498" i="3" a="1"/>
  <c r="F498" i="3" s="1"/>
  <c r="F497" i="3" a="1"/>
  <c r="F497" i="3" s="1"/>
  <c r="F496" i="3" a="1"/>
  <c r="F496" i="3" s="1"/>
  <c r="F495" i="3" a="1"/>
  <c r="F495" i="3" s="1"/>
  <c r="F494" i="3" a="1"/>
  <c r="F494" i="3" s="1"/>
  <c r="F493" i="3" a="1"/>
  <c r="F493" i="3" s="1"/>
  <c r="F492" i="3" a="1"/>
  <c r="F492" i="3" s="1"/>
  <c r="F491" i="3" a="1"/>
  <c r="F491" i="3" s="1"/>
  <c r="F490" i="3" a="1"/>
  <c r="F490" i="3" s="1"/>
  <c r="F489" i="3" a="1"/>
  <c r="F489" i="3" s="1"/>
  <c r="F488" i="3" a="1"/>
  <c r="F488" i="3" s="1"/>
  <c r="F487" i="3" a="1"/>
  <c r="F487" i="3" s="1"/>
  <c r="F486" i="3" a="1"/>
  <c r="F486" i="3" s="1"/>
  <c r="F485" i="3" a="1"/>
  <c r="F485" i="3" s="1"/>
  <c r="F484" i="3" a="1"/>
  <c r="F484" i="3" s="1"/>
  <c r="F483" i="3" a="1"/>
  <c r="F483" i="3" s="1"/>
  <c r="F482" i="3" a="1"/>
  <c r="F482" i="3" s="1"/>
  <c r="F481" i="3" a="1"/>
  <c r="F481" i="3" s="1"/>
  <c r="F480" i="3" a="1"/>
  <c r="F480" i="3" s="1"/>
  <c r="F479" i="3" a="1"/>
  <c r="F479" i="3" s="1"/>
  <c r="F478" i="3" a="1"/>
  <c r="F478" i="3" s="1"/>
  <c r="F477" i="3" a="1"/>
  <c r="F477" i="3" s="1"/>
  <c r="F476" i="3" a="1"/>
  <c r="F476" i="3" s="1"/>
  <c r="F475" i="3" a="1"/>
  <c r="F475" i="3" s="1"/>
  <c r="F474" i="3" a="1"/>
  <c r="F474" i="3" s="1"/>
  <c r="F473" i="3" a="1"/>
  <c r="F473" i="3" s="1"/>
  <c r="F472" i="3" a="1"/>
  <c r="F472" i="3" s="1"/>
  <c r="F471" i="3" a="1"/>
  <c r="F471" i="3" s="1"/>
  <c r="F470" i="3" a="1"/>
  <c r="F470" i="3" s="1"/>
  <c r="F469" i="3" a="1"/>
  <c r="F469" i="3" s="1"/>
  <c r="F468" i="3" a="1"/>
  <c r="F468" i="3" s="1"/>
  <c r="F467" i="3" a="1"/>
  <c r="F467" i="3" s="1"/>
  <c r="F466" i="3" a="1"/>
  <c r="F466" i="3" s="1"/>
  <c r="F465" i="3" a="1"/>
  <c r="F465" i="3" s="1"/>
  <c r="F464" i="3" a="1"/>
  <c r="F464" i="3" s="1"/>
  <c r="F463" i="3" a="1"/>
  <c r="F463" i="3" s="1"/>
  <c r="F462" i="3" a="1"/>
  <c r="F462" i="3" s="1"/>
  <c r="F461" i="3" a="1"/>
  <c r="F461" i="3" s="1"/>
  <c r="F460" i="3" a="1"/>
  <c r="F460" i="3" s="1"/>
  <c r="F459" i="3" a="1"/>
  <c r="F459" i="3" s="1"/>
  <c r="F458" i="3" a="1"/>
  <c r="F458" i="3" s="1"/>
  <c r="F457" i="3" a="1"/>
  <c r="F457" i="3" s="1"/>
  <c r="F456" i="3" a="1"/>
  <c r="F456" i="3" s="1"/>
  <c r="F455" i="3" a="1"/>
  <c r="F455" i="3" s="1"/>
  <c r="F454" i="3" a="1"/>
  <c r="F454" i="3" s="1"/>
  <c r="F453" i="3" a="1"/>
  <c r="F453" i="3" s="1"/>
  <c r="F452" i="3" a="1"/>
  <c r="F452" i="3" s="1"/>
  <c r="F451" i="3" a="1"/>
  <c r="F451" i="3" s="1"/>
  <c r="F450" i="3" a="1"/>
  <c r="F450" i="3" s="1"/>
  <c r="F449" i="3" a="1"/>
  <c r="F449" i="3" s="1"/>
  <c r="F448" i="3" a="1"/>
  <c r="F448" i="3" s="1"/>
  <c r="F447" i="3" a="1"/>
  <c r="F447" i="3" s="1"/>
  <c r="F446" i="3" a="1"/>
  <c r="F446" i="3" s="1"/>
  <c r="F445" i="3" a="1"/>
  <c r="F445" i="3" s="1"/>
  <c r="F444" i="3" a="1"/>
  <c r="F444" i="3" s="1"/>
  <c r="F443" i="3" a="1"/>
  <c r="F443" i="3" s="1"/>
  <c r="F442" i="3" a="1"/>
  <c r="F442" i="3" s="1"/>
  <c r="F441" i="3" a="1"/>
  <c r="F441" i="3" s="1"/>
  <c r="F440" i="3" a="1"/>
  <c r="F440" i="3" s="1"/>
  <c r="F439" i="3" a="1"/>
  <c r="F439" i="3" s="1"/>
  <c r="F438" i="3" a="1"/>
  <c r="F438" i="3" s="1"/>
  <c r="F437" i="3" a="1"/>
  <c r="F437" i="3" s="1"/>
  <c r="F436" i="3" a="1"/>
  <c r="F436" i="3" s="1"/>
  <c r="F435" i="3" a="1"/>
  <c r="F435" i="3" s="1"/>
  <c r="F434" i="3" a="1"/>
  <c r="F434" i="3" s="1"/>
  <c r="F433" i="3" a="1"/>
  <c r="F433" i="3" s="1"/>
  <c r="F432" i="3" a="1"/>
  <c r="F432" i="3" s="1"/>
  <c r="F431" i="3" a="1"/>
  <c r="F431" i="3" s="1"/>
  <c r="F430" i="3" a="1"/>
  <c r="F430" i="3" s="1"/>
  <c r="F429" i="3" a="1"/>
  <c r="F429" i="3" s="1"/>
  <c r="F428" i="3" a="1"/>
  <c r="F428" i="3" s="1"/>
  <c r="F427" i="3" a="1"/>
  <c r="F427" i="3" s="1"/>
  <c r="F426" i="3" a="1"/>
  <c r="F426" i="3" s="1"/>
  <c r="F425" i="3" a="1"/>
  <c r="F425" i="3" s="1"/>
  <c r="F424" i="3" a="1"/>
  <c r="F424" i="3" s="1"/>
  <c r="F423" i="3" a="1"/>
  <c r="F423" i="3" s="1"/>
  <c r="F422" i="3" a="1"/>
  <c r="F422" i="3" s="1"/>
  <c r="F421" i="3" a="1"/>
  <c r="F421" i="3" s="1"/>
  <c r="F420" i="3" a="1"/>
  <c r="F420" i="3" s="1"/>
  <c r="F419" i="3" a="1"/>
  <c r="F419" i="3" s="1"/>
  <c r="F418" i="3" a="1"/>
  <c r="F418" i="3" s="1"/>
  <c r="F417" i="3" a="1"/>
  <c r="F417" i="3" s="1"/>
  <c r="F416" i="3" a="1"/>
  <c r="F416" i="3" s="1"/>
  <c r="F415" i="3" a="1"/>
  <c r="F415" i="3" s="1"/>
  <c r="F414" i="3" a="1"/>
  <c r="F414" i="3" s="1"/>
  <c r="F413" i="3" a="1"/>
  <c r="F413" i="3" s="1"/>
  <c r="F412" i="3" a="1"/>
  <c r="F412" i="3" s="1"/>
  <c r="F411" i="3" a="1"/>
  <c r="F411" i="3" s="1"/>
  <c r="F410" i="3" a="1"/>
  <c r="F410" i="3" s="1"/>
  <c r="F409" i="3" a="1"/>
  <c r="F409" i="3" s="1"/>
  <c r="F408" i="3" a="1"/>
  <c r="F408" i="3" s="1"/>
  <c r="F407" i="3" a="1"/>
  <c r="F407" i="3" s="1"/>
  <c r="F406" i="3" a="1"/>
  <c r="F406" i="3" s="1"/>
  <c r="F405" i="3" a="1"/>
  <c r="F405" i="3" s="1"/>
  <c r="F404" i="3" a="1"/>
  <c r="F404" i="3" s="1"/>
  <c r="F403" i="3" a="1"/>
  <c r="F403" i="3" s="1"/>
  <c r="F402" i="3" a="1"/>
  <c r="F402" i="3" s="1"/>
  <c r="F401" i="3" a="1"/>
  <c r="F401" i="3" s="1"/>
  <c r="F400" i="3" a="1"/>
  <c r="F400" i="3" s="1"/>
  <c r="F399" i="3" a="1"/>
  <c r="F399" i="3" s="1"/>
  <c r="F398" i="3" a="1"/>
  <c r="F398" i="3" s="1"/>
  <c r="F397" i="3" a="1"/>
  <c r="F397" i="3" s="1"/>
  <c r="F396" i="3" a="1"/>
  <c r="F396" i="3" s="1"/>
  <c r="F395" i="3" a="1"/>
  <c r="F395" i="3" s="1"/>
  <c r="F394" i="3" a="1"/>
  <c r="F394" i="3" s="1"/>
  <c r="F393" i="3" a="1"/>
  <c r="F393" i="3" s="1"/>
  <c r="F392" i="3" a="1"/>
  <c r="F392" i="3" s="1"/>
  <c r="F391" i="3" a="1"/>
  <c r="F391" i="3" s="1"/>
  <c r="F390" i="3" a="1"/>
  <c r="F390" i="3" s="1"/>
  <c r="F389" i="3" a="1"/>
  <c r="F389" i="3" s="1"/>
  <c r="F388" i="3" a="1"/>
  <c r="F388" i="3" s="1"/>
  <c r="F387" i="3" a="1"/>
  <c r="F387" i="3" s="1"/>
  <c r="F386" i="3" a="1"/>
  <c r="F386" i="3" s="1"/>
  <c r="F385" i="3" a="1"/>
  <c r="F385" i="3" s="1"/>
  <c r="F384" i="3" a="1"/>
  <c r="F384" i="3" s="1"/>
  <c r="F383" i="3" a="1"/>
  <c r="F383" i="3" s="1"/>
  <c r="F382" i="3" a="1"/>
  <c r="F382" i="3" s="1"/>
  <c r="F381" i="3" a="1"/>
  <c r="F381" i="3" s="1"/>
  <c r="F380" i="3" a="1"/>
  <c r="F380" i="3" s="1"/>
  <c r="F379" i="3" a="1"/>
  <c r="F379" i="3" s="1"/>
  <c r="F378" i="3" a="1"/>
  <c r="F378" i="3" s="1"/>
  <c r="F377" i="3" a="1"/>
  <c r="F377" i="3" s="1"/>
  <c r="F376" i="3" a="1"/>
  <c r="F376" i="3" s="1"/>
  <c r="F375" i="3" a="1"/>
  <c r="F375" i="3" s="1"/>
  <c r="F374" i="3" a="1"/>
  <c r="F374" i="3" s="1"/>
  <c r="F373" i="3" a="1"/>
  <c r="F373" i="3" s="1"/>
  <c r="F372" i="3" a="1"/>
  <c r="F372" i="3" s="1"/>
  <c r="F371" i="3" a="1"/>
  <c r="F371" i="3" s="1"/>
  <c r="F370" i="3" a="1"/>
  <c r="F370" i="3" s="1"/>
  <c r="F369" i="3" a="1"/>
  <c r="F369" i="3" s="1"/>
  <c r="F368" i="3" a="1"/>
  <c r="F368" i="3" s="1"/>
  <c r="F367" i="3" a="1"/>
  <c r="F367" i="3" s="1"/>
  <c r="F366" i="3" a="1"/>
  <c r="F366" i="3" s="1"/>
  <c r="F365" i="3" a="1"/>
  <c r="F365" i="3" s="1"/>
  <c r="F364" i="3" a="1"/>
  <c r="F364" i="3" s="1"/>
  <c r="F363" i="3" a="1"/>
  <c r="F363" i="3" s="1"/>
  <c r="F362" i="3" a="1"/>
  <c r="F362" i="3" s="1"/>
  <c r="F361" i="3" a="1"/>
  <c r="F361" i="3" s="1"/>
  <c r="F360" i="3" a="1"/>
  <c r="F360" i="3" s="1"/>
  <c r="F359" i="3" a="1"/>
  <c r="F359" i="3" s="1"/>
  <c r="F358" i="3" a="1"/>
  <c r="F358" i="3" s="1"/>
  <c r="F357" i="3" a="1"/>
  <c r="F357" i="3" s="1"/>
  <c r="F356" i="3" a="1"/>
  <c r="F356" i="3" s="1"/>
  <c r="F355" i="3" a="1"/>
  <c r="F355" i="3" s="1"/>
  <c r="F354" i="3" a="1"/>
  <c r="F354" i="3" s="1"/>
  <c r="F353" i="3" a="1"/>
  <c r="F353" i="3" s="1"/>
  <c r="F352" i="3" a="1"/>
  <c r="F352" i="3" s="1"/>
  <c r="F351" i="3" a="1"/>
  <c r="F351" i="3" s="1"/>
  <c r="F350" i="3" a="1"/>
  <c r="F350" i="3" s="1"/>
  <c r="F349" i="3" a="1"/>
  <c r="F349" i="3" s="1"/>
  <c r="F348" i="3" a="1"/>
  <c r="F348" i="3" s="1"/>
  <c r="F347" i="3" a="1"/>
  <c r="F347" i="3" s="1"/>
  <c r="F346" i="3" a="1"/>
  <c r="F346" i="3" s="1"/>
  <c r="F345" i="3" a="1"/>
  <c r="F345" i="3" s="1"/>
  <c r="F344" i="3" a="1"/>
  <c r="F344" i="3" s="1"/>
  <c r="F343" i="3" a="1"/>
  <c r="F343" i="3" s="1"/>
  <c r="F342" i="3" a="1"/>
  <c r="F342" i="3" s="1"/>
  <c r="F341" i="3" a="1"/>
  <c r="F341" i="3" s="1"/>
  <c r="F340" i="3" a="1"/>
  <c r="F340" i="3" s="1"/>
  <c r="F339" i="3" a="1"/>
  <c r="F339" i="3" s="1"/>
  <c r="F338" i="3" a="1"/>
  <c r="F338" i="3" s="1"/>
  <c r="F337" i="3" a="1"/>
  <c r="F337" i="3" s="1"/>
  <c r="F336" i="3" a="1"/>
  <c r="F336" i="3" s="1"/>
  <c r="F335" i="3" a="1"/>
  <c r="F335" i="3" s="1"/>
  <c r="F334" i="3" a="1"/>
  <c r="F334" i="3" s="1"/>
  <c r="F333" i="3" a="1"/>
  <c r="F333" i="3" s="1"/>
  <c r="F332" i="3" a="1"/>
  <c r="F332" i="3" s="1"/>
  <c r="F331" i="3" a="1"/>
  <c r="F331" i="3" s="1"/>
  <c r="F330" i="3" a="1"/>
  <c r="F330" i="3" s="1"/>
  <c r="F329" i="3" a="1"/>
  <c r="F329" i="3" s="1"/>
  <c r="F328" i="3" a="1"/>
  <c r="F328" i="3" s="1"/>
  <c r="F327" i="3" a="1"/>
  <c r="F327" i="3" s="1"/>
  <c r="F326" i="3" a="1"/>
  <c r="F326" i="3" s="1"/>
  <c r="F325" i="3" a="1"/>
  <c r="F325" i="3" s="1"/>
  <c r="F324" i="3" a="1"/>
  <c r="F324" i="3" s="1"/>
  <c r="F323" i="3" a="1"/>
  <c r="F323" i="3" s="1"/>
  <c r="F322" i="3" a="1"/>
  <c r="F322" i="3" s="1"/>
  <c r="F321" i="3" a="1"/>
  <c r="F321" i="3" s="1"/>
  <c r="F320" i="3" a="1"/>
  <c r="F320" i="3" s="1"/>
  <c r="F319" i="3" a="1"/>
  <c r="F319" i="3" s="1"/>
  <c r="F318" i="3" a="1"/>
  <c r="F318" i="3" s="1"/>
  <c r="F317" i="3" a="1"/>
  <c r="F317" i="3" s="1"/>
  <c r="F316" i="3" a="1"/>
  <c r="F316" i="3" s="1"/>
  <c r="F315" i="3" a="1"/>
  <c r="F315" i="3" s="1"/>
  <c r="F314" i="3" a="1"/>
  <c r="F314" i="3" s="1"/>
  <c r="F313" i="3" a="1"/>
  <c r="F313" i="3" s="1"/>
  <c r="F312" i="3" a="1"/>
  <c r="F312" i="3" s="1"/>
  <c r="F311" i="3" a="1"/>
  <c r="F311" i="3" s="1"/>
  <c r="F310" i="3" a="1"/>
  <c r="F310" i="3" s="1"/>
  <c r="F309" i="3" a="1"/>
  <c r="F309" i="3" s="1"/>
  <c r="F308" i="3" a="1"/>
  <c r="F308" i="3" s="1"/>
  <c r="F307" i="3" a="1"/>
  <c r="F307" i="3" s="1"/>
  <c r="F306" i="3" a="1"/>
  <c r="F306" i="3" s="1"/>
  <c r="F305" i="3" a="1"/>
  <c r="F305" i="3" s="1"/>
  <c r="F304" i="3" a="1"/>
  <c r="F304" i="3" s="1"/>
  <c r="F303" i="3" a="1"/>
  <c r="F303" i="3" s="1"/>
  <c r="F302" i="3" a="1"/>
  <c r="F302" i="3" s="1"/>
  <c r="F301" i="3" a="1"/>
  <c r="F301" i="3" s="1"/>
  <c r="F300" i="3" a="1"/>
  <c r="F300" i="3" s="1"/>
  <c r="F299" i="3" a="1"/>
  <c r="F299" i="3" s="1"/>
  <c r="F298" i="3" a="1"/>
  <c r="F298" i="3" s="1"/>
  <c r="F297" i="3" a="1"/>
  <c r="F297" i="3" s="1"/>
  <c r="F296" i="3" a="1"/>
  <c r="F296" i="3" s="1"/>
  <c r="F295" i="3" a="1"/>
  <c r="F295" i="3" s="1"/>
  <c r="F294" i="3" a="1"/>
  <c r="F294" i="3" s="1"/>
  <c r="F293" i="3" a="1"/>
  <c r="F293" i="3" s="1"/>
  <c r="F292" i="3" a="1"/>
  <c r="F292" i="3" s="1"/>
  <c r="F291" i="3" a="1"/>
  <c r="F291" i="3" s="1"/>
  <c r="F290" i="3" a="1"/>
  <c r="F290" i="3" s="1"/>
  <c r="F289" i="3" a="1"/>
  <c r="F289" i="3" s="1"/>
  <c r="F288" i="3" a="1"/>
  <c r="F288" i="3" s="1"/>
  <c r="F287" i="3" a="1"/>
  <c r="F287" i="3" s="1"/>
  <c r="F286" i="3" a="1"/>
  <c r="F286" i="3" s="1"/>
  <c r="F285" i="3" a="1"/>
  <c r="F285" i="3" s="1"/>
  <c r="F284" i="3" a="1"/>
  <c r="F284" i="3" s="1"/>
  <c r="F283" i="3" a="1"/>
  <c r="F283" i="3" s="1"/>
  <c r="F282" i="3" a="1"/>
  <c r="F282" i="3" s="1"/>
  <c r="F281" i="3" a="1"/>
  <c r="F281" i="3" s="1"/>
  <c r="F280" i="3" a="1"/>
  <c r="F280" i="3" s="1"/>
  <c r="F279" i="3" a="1"/>
  <c r="F279" i="3" s="1"/>
  <c r="F278" i="3" a="1"/>
  <c r="F278" i="3" s="1"/>
  <c r="F277" i="3" a="1"/>
  <c r="F277" i="3" s="1"/>
  <c r="F276" i="3" a="1"/>
  <c r="F276" i="3" s="1"/>
  <c r="F275" i="3" a="1"/>
  <c r="F275" i="3" s="1"/>
  <c r="F274" i="3" a="1"/>
  <c r="F274" i="3" s="1"/>
  <c r="F273" i="3" a="1"/>
  <c r="F273" i="3" s="1"/>
  <c r="F272" i="3" a="1"/>
  <c r="F272" i="3" s="1"/>
  <c r="F271" i="3" a="1"/>
  <c r="F271" i="3" s="1"/>
  <c r="F270" i="3" a="1"/>
  <c r="F270" i="3" s="1"/>
  <c r="F269" i="3" a="1"/>
  <c r="F269" i="3" s="1"/>
  <c r="F268" i="3" a="1"/>
  <c r="F268" i="3" s="1"/>
  <c r="F267" i="3" a="1"/>
  <c r="F267" i="3" s="1"/>
  <c r="F266" i="3" a="1"/>
  <c r="F266" i="3" s="1"/>
  <c r="F265" i="3" a="1"/>
  <c r="F265" i="3" s="1"/>
  <c r="F264" i="3" a="1"/>
  <c r="F264" i="3" s="1"/>
  <c r="F263" i="3" a="1"/>
  <c r="F263" i="3" s="1"/>
  <c r="F262" i="3" a="1"/>
  <c r="F262" i="3" s="1"/>
  <c r="F261" i="3" a="1"/>
  <c r="F261" i="3" s="1"/>
  <c r="F260" i="3" a="1"/>
  <c r="F260" i="3" s="1"/>
  <c r="F259" i="3" a="1"/>
  <c r="F259" i="3" s="1"/>
  <c r="F258" i="3" a="1"/>
  <c r="F258" i="3" s="1"/>
  <c r="F257" i="3" a="1"/>
  <c r="F257" i="3" s="1"/>
  <c r="F256" i="3" a="1"/>
  <c r="F256" i="3" s="1"/>
  <c r="F255" i="3" a="1"/>
  <c r="F255" i="3" s="1"/>
  <c r="F254" i="3" a="1"/>
  <c r="F254" i="3" s="1"/>
  <c r="F253" i="3" a="1"/>
  <c r="F253" i="3" s="1"/>
  <c r="F252" i="3" a="1"/>
  <c r="F252" i="3" s="1"/>
  <c r="F251" i="3" a="1"/>
  <c r="F251" i="3" s="1"/>
  <c r="F250" i="3" a="1"/>
  <c r="F250" i="3" s="1"/>
  <c r="F249" i="3" a="1"/>
  <c r="F249" i="3" s="1"/>
  <c r="F248" i="3" a="1"/>
  <c r="F248" i="3" s="1"/>
  <c r="F247" i="3" a="1"/>
  <c r="F247" i="3" s="1"/>
  <c r="F246" i="3" a="1"/>
  <c r="F246" i="3" s="1"/>
  <c r="F245" i="3" a="1"/>
  <c r="F245" i="3" s="1"/>
  <c r="F244" i="3" a="1"/>
  <c r="F244" i="3" s="1"/>
  <c r="F243" i="3" a="1"/>
  <c r="F243" i="3" s="1"/>
  <c r="F242" i="3" a="1"/>
  <c r="F242" i="3" s="1"/>
  <c r="F241" i="3" a="1"/>
  <c r="F241" i="3" s="1"/>
  <c r="F240" i="3" a="1"/>
  <c r="F240" i="3" s="1"/>
  <c r="F239" i="3" a="1"/>
  <c r="F239" i="3" s="1"/>
  <c r="F238" i="3" a="1"/>
  <c r="F238" i="3" s="1"/>
  <c r="F237" i="3" a="1"/>
  <c r="F237" i="3" s="1"/>
  <c r="F236" i="3" a="1"/>
  <c r="F236" i="3" s="1"/>
  <c r="F235" i="3" a="1"/>
  <c r="F235" i="3" s="1"/>
  <c r="F234" i="3" a="1"/>
  <c r="F234" i="3" s="1"/>
  <c r="F233" i="3" a="1"/>
  <c r="F233" i="3" s="1"/>
  <c r="F232" i="3" a="1"/>
  <c r="F232" i="3" s="1"/>
  <c r="F231" i="3" a="1"/>
  <c r="F231" i="3" s="1"/>
  <c r="F230" i="3" a="1"/>
  <c r="F230" i="3" s="1"/>
  <c r="F229" i="3" a="1"/>
  <c r="F229" i="3" s="1"/>
  <c r="F228" i="3" a="1"/>
  <c r="F228" i="3" s="1"/>
  <c r="F227" i="3" a="1"/>
  <c r="F227" i="3" s="1"/>
  <c r="F226" i="3" a="1"/>
  <c r="F226" i="3" s="1"/>
  <c r="F225" i="3" a="1"/>
  <c r="F225" i="3" s="1"/>
  <c r="F224" i="3" a="1"/>
  <c r="F224" i="3" s="1"/>
  <c r="F223" i="3" a="1"/>
  <c r="F223" i="3" s="1"/>
  <c r="F222" i="3" a="1"/>
  <c r="F222" i="3" s="1"/>
  <c r="F221" i="3" a="1"/>
  <c r="F221" i="3" s="1"/>
  <c r="F220" i="3" a="1"/>
  <c r="F220" i="3" s="1"/>
  <c r="F219" i="3" a="1"/>
  <c r="F219" i="3" s="1"/>
  <c r="F218" i="3" a="1"/>
  <c r="F218" i="3" s="1"/>
  <c r="F217" i="3" a="1"/>
  <c r="F217" i="3" s="1"/>
  <c r="F216" i="3" a="1"/>
  <c r="F216" i="3" s="1"/>
  <c r="F215" i="3" a="1"/>
  <c r="F215" i="3" s="1"/>
  <c r="F214" i="3" a="1"/>
  <c r="F214" i="3" s="1"/>
  <c r="F213" i="3" a="1"/>
  <c r="F213" i="3" s="1"/>
  <c r="F212" i="3" a="1"/>
  <c r="F212" i="3" s="1"/>
  <c r="F211" i="3" a="1"/>
  <c r="F211" i="3" s="1"/>
  <c r="F210" i="3" a="1"/>
  <c r="F210" i="3" s="1"/>
  <c r="F209" i="3" a="1"/>
  <c r="F209" i="3" s="1"/>
  <c r="F208" i="3" a="1"/>
  <c r="F208" i="3" s="1"/>
  <c r="F207" i="3" a="1"/>
  <c r="F207" i="3" s="1"/>
  <c r="F206" i="3" a="1"/>
  <c r="F206" i="3" s="1"/>
  <c r="F205" i="3" a="1"/>
  <c r="F205" i="3" s="1"/>
  <c r="F204" i="3" a="1"/>
  <c r="F204" i="3" s="1"/>
  <c r="F203" i="3" a="1"/>
  <c r="F203" i="3" s="1"/>
  <c r="F202" i="3" a="1"/>
  <c r="F202" i="3" s="1"/>
  <c r="F201" i="3" a="1"/>
  <c r="F201" i="3" s="1"/>
  <c r="F200" i="3" a="1"/>
  <c r="F200" i="3" s="1"/>
  <c r="F199" i="3" a="1"/>
  <c r="F199" i="3" s="1"/>
  <c r="F198" i="3" a="1"/>
  <c r="F198" i="3" s="1"/>
  <c r="F197" i="3" a="1"/>
  <c r="F197" i="3" s="1"/>
  <c r="F196" i="3" a="1"/>
  <c r="F196" i="3" s="1"/>
  <c r="F195" i="3" a="1"/>
  <c r="F195" i="3" s="1"/>
  <c r="F194" i="3" a="1"/>
  <c r="F194" i="3" s="1"/>
  <c r="F193" i="3" a="1"/>
  <c r="F193" i="3" s="1"/>
  <c r="F192" i="3" a="1"/>
  <c r="F192" i="3" s="1"/>
  <c r="F191" i="3" a="1"/>
  <c r="F191" i="3" s="1"/>
  <c r="F190" i="3" a="1"/>
  <c r="F190" i="3" s="1"/>
  <c r="F189" i="3" a="1"/>
  <c r="F189" i="3" s="1"/>
  <c r="F188" i="3" a="1"/>
  <c r="F188" i="3" s="1"/>
  <c r="F187" i="3" a="1"/>
  <c r="F187" i="3" s="1"/>
  <c r="F186" i="3" a="1"/>
  <c r="F186" i="3" s="1"/>
  <c r="F185" i="3" a="1"/>
  <c r="F185" i="3" s="1"/>
  <c r="F184" i="3" a="1"/>
  <c r="F184" i="3" s="1"/>
  <c r="F183" i="3" a="1"/>
  <c r="F183" i="3" s="1"/>
  <c r="F182" i="3" a="1"/>
  <c r="F182" i="3" s="1"/>
  <c r="F181" i="3" a="1"/>
  <c r="F181" i="3" s="1"/>
  <c r="F180" i="3" a="1"/>
  <c r="F180" i="3" s="1"/>
  <c r="F179" i="3" a="1"/>
  <c r="F179" i="3" s="1"/>
  <c r="F178" i="3" a="1"/>
  <c r="F178" i="3" s="1"/>
  <c r="F177" i="3" a="1"/>
  <c r="F177" i="3" s="1"/>
  <c r="F176" i="3" a="1"/>
  <c r="F176" i="3" s="1"/>
  <c r="F175" i="3" a="1"/>
  <c r="F175" i="3" s="1"/>
  <c r="F174" i="3" a="1"/>
  <c r="F174" i="3" s="1"/>
  <c r="F173" i="3" a="1"/>
  <c r="F173" i="3" s="1"/>
  <c r="F172" i="3" a="1"/>
  <c r="F172" i="3" s="1"/>
  <c r="F171" i="3" a="1"/>
  <c r="F171" i="3" s="1"/>
  <c r="F170" i="3" a="1"/>
  <c r="F170" i="3" s="1"/>
  <c r="F169" i="3" a="1"/>
  <c r="F169" i="3" s="1"/>
  <c r="F168" i="3" a="1"/>
  <c r="F168" i="3" s="1"/>
  <c r="F167" i="3" a="1"/>
  <c r="F167" i="3" s="1"/>
  <c r="F166" i="3" a="1"/>
  <c r="F166" i="3" s="1"/>
  <c r="F165" i="3" a="1"/>
  <c r="F165" i="3" s="1"/>
  <c r="F164" i="3" a="1"/>
  <c r="F164" i="3" s="1"/>
  <c r="F163" i="3" a="1"/>
  <c r="F163" i="3" s="1"/>
  <c r="F162" i="3" a="1"/>
  <c r="F162" i="3" s="1"/>
  <c r="F161" i="3" a="1"/>
  <c r="F161" i="3" s="1"/>
  <c r="F160" i="3" a="1"/>
  <c r="F160" i="3" s="1"/>
  <c r="F159" i="3" a="1"/>
  <c r="F159" i="3" s="1"/>
  <c r="F158" i="3" a="1"/>
  <c r="F158" i="3" s="1"/>
  <c r="F157" i="3" a="1"/>
  <c r="F157" i="3" s="1"/>
  <c r="F156" i="3" a="1"/>
  <c r="F156" i="3" s="1"/>
  <c r="F155" i="3" a="1"/>
  <c r="F155" i="3" s="1"/>
  <c r="F154" i="3" a="1"/>
  <c r="F154" i="3" s="1"/>
  <c r="F153" i="3" a="1"/>
  <c r="F153" i="3" s="1"/>
  <c r="F152" i="3" a="1"/>
  <c r="F152" i="3" s="1"/>
  <c r="F151" i="3" a="1"/>
  <c r="F151" i="3" s="1"/>
  <c r="F150" i="3" a="1"/>
  <c r="F150" i="3" s="1"/>
  <c r="F149" i="3" a="1"/>
  <c r="F149" i="3" s="1"/>
  <c r="F148" i="3" a="1"/>
  <c r="F148" i="3" s="1"/>
  <c r="F147" i="3" a="1"/>
  <c r="F147" i="3" s="1"/>
  <c r="F146" i="3" a="1"/>
  <c r="F146" i="3" s="1"/>
  <c r="F145" i="3" a="1"/>
  <c r="F145" i="3" s="1"/>
  <c r="F144" i="3" a="1"/>
  <c r="F144" i="3" s="1"/>
  <c r="F143" i="3" a="1"/>
  <c r="F143" i="3" s="1"/>
  <c r="F142" i="3" a="1"/>
  <c r="F142" i="3" s="1"/>
  <c r="F141" i="3" a="1"/>
  <c r="F141" i="3" s="1"/>
  <c r="F140" i="3" a="1"/>
  <c r="F140" i="3" s="1"/>
  <c r="F139" i="3" a="1"/>
  <c r="F139" i="3" s="1"/>
  <c r="F138" i="3" a="1"/>
  <c r="F138" i="3" s="1"/>
  <c r="F137" i="3" a="1"/>
  <c r="F137" i="3" s="1"/>
  <c r="F136" i="3" a="1"/>
  <c r="F136" i="3" s="1"/>
  <c r="F135" i="3" a="1"/>
  <c r="F135" i="3" s="1"/>
  <c r="F134" i="3" a="1"/>
  <c r="F134" i="3" s="1"/>
  <c r="F133" i="3" a="1"/>
  <c r="F133" i="3" s="1"/>
  <c r="F132" i="3" a="1"/>
  <c r="F132" i="3" s="1"/>
  <c r="F131" i="3" a="1"/>
  <c r="F131" i="3" s="1"/>
  <c r="F130" i="3" a="1"/>
  <c r="F130" i="3" s="1"/>
  <c r="F129" i="3" a="1"/>
  <c r="F129" i="3" s="1"/>
  <c r="F128" i="3" a="1"/>
  <c r="F128" i="3" s="1"/>
  <c r="F127" i="3" a="1"/>
  <c r="F127" i="3" s="1"/>
  <c r="F126" i="3" a="1"/>
  <c r="F126" i="3" s="1"/>
  <c r="F125" i="3" a="1"/>
  <c r="F125" i="3" s="1"/>
  <c r="F124" i="3" a="1"/>
  <c r="F124" i="3" s="1"/>
  <c r="F123" i="3" a="1"/>
  <c r="F123" i="3" s="1"/>
  <c r="F122" i="3" a="1"/>
  <c r="F122" i="3" s="1"/>
  <c r="F121" i="3" a="1"/>
  <c r="F121" i="3" s="1"/>
  <c r="F120" i="3" a="1"/>
  <c r="F120" i="3" s="1"/>
  <c r="F119" i="3" a="1"/>
  <c r="F119" i="3" s="1"/>
  <c r="F118" i="3" a="1"/>
  <c r="F118" i="3" s="1"/>
  <c r="F117" i="3" a="1"/>
  <c r="F117" i="3" s="1"/>
  <c r="F116" i="3" a="1"/>
  <c r="F116" i="3" s="1"/>
  <c r="F115" i="3" a="1"/>
  <c r="F115" i="3" s="1"/>
  <c r="F114" i="3" a="1"/>
  <c r="F114" i="3" s="1"/>
  <c r="F113" i="3" a="1"/>
  <c r="F113" i="3" s="1"/>
  <c r="F112" i="3" a="1"/>
  <c r="F112" i="3" s="1"/>
  <c r="F111" i="3" a="1"/>
  <c r="F111" i="3" s="1"/>
  <c r="F110" i="3" a="1"/>
  <c r="F110" i="3" s="1"/>
  <c r="F109" i="3" a="1"/>
  <c r="F109" i="3" s="1"/>
  <c r="F108" i="3" a="1"/>
  <c r="F108" i="3" s="1"/>
  <c r="F107" i="3" a="1"/>
  <c r="F107" i="3" s="1"/>
  <c r="F106" i="3" a="1"/>
  <c r="F106" i="3" s="1"/>
  <c r="F105" i="3" a="1"/>
  <c r="F105" i="3" s="1"/>
  <c r="F104" i="3" a="1"/>
  <c r="F104" i="3" s="1"/>
  <c r="F103" i="3" a="1"/>
  <c r="F103" i="3" s="1"/>
  <c r="F102" i="3" a="1"/>
  <c r="F102" i="3" s="1"/>
  <c r="F101" i="3" a="1"/>
  <c r="F101" i="3" s="1"/>
  <c r="F100" i="3" a="1"/>
  <c r="F100" i="3" s="1"/>
  <c r="F99" i="3" a="1"/>
  <c r="F99" i="3" s="1"/>
  <c r="F98" i="3" a="1"/>
  <c r="F98" i="3" s="1"/>
  <c r="F97" i="3" a="1"/>
  <c r="F97" i="3" s="1"/>
  <c r="F96" i="3" a="1"/>
  <c r="F96" i="3" s="1"/>
  <c r="F95" i="3" a="1"/>
  <c r="F95" i="3" s="1"/>
  <c r="F94" i="3" a="1"/>
  <c r="F94" i="3" s="1"/>
  <c r="F93" i="3" a="1"/>
  <c r="F93" i="3" s="1"/>
  <c r="F92" i="3" a="1"/>
  <c r="F92" i="3" s="1"/>
  <c r="F91" i="3" a="1"/>
  <c r="F91" i="3" s="1"/>
  <c r="F90" i="3" a="1"/>
  <c r="F90" i="3" s="1"/>
  <c r="F89" i="3" a="1"/>
  <c r="F89" i="3" s="1"/>
  <c r="F88" i="3" a="1"/>
  <c r="F88" i="3" s="1"/>
  <c r="F87" i="3" a="1"/>
  <c r="F87" i="3" s="1"/>
  <c r="F86" i="3" a="1"/>
  <c r="F86" i="3" s="1"/>
  <c r="F85" i="3" a="1"/>
  <c r="F85" i="3" s="1"/>
  <c r="F84" i="3" a="1"/>
  <c r="F84" i="3" s="1"/>
  <c r="F83" i="3" a="1"/>
  <c r="F83" i="3" s="1"/>
  <c r="F82" i="3" a="1"/>
  <c r="F82" i="3" s="1"/>
  <c r="F81" i="3" a="1"/>
  <c r="F81" i="3" s="1"/>
  <c r="F80" i="3" a="1"/>
  <c r="F80" i="3" s="1"/>
  <c r="F79" i="3" a="1"/>
  <c r="F79" i="3" s="1"/>
  <c r="F78" i="3" a="1"/>
  <c r="F78" i="3" s="1"/>
  <c r="F77" i="3" a="1"/>
  <c r="F77" i="3" s="1"/>
  <c r="F76" i="3" a="1"/>
  <c r="F76" i="3" s="1"/>
  <c r="F75" i="3" a="1"/>
  <c r="F75" i="3" s="1"/>
  <c r="F74" i="3" a="1"/>
  <c r="F74" i="3" s="1"/>
  <c r="F73" i="3" a="1"/>
  <c r="F73" i="3" s="1"/>
  <c r="F72" i="3" a="1"/>
  <c r="F72" i="3" s="1"/>
  <c r="F71" i="3" a="1"/>
  <c r="F71" i="3" s="1"/>
  <c r="F70" i="3" a="1"/>
  <c r="F70" i="3" s="1"/>
  <c r="F69" i="3" a="1"/>
  <c r="F69" i="3" s="1"/>
  <c r="F68" i="3" a="1"/>
  <c r="F68" i="3" s="1"/>
  <c r="F67" i="3" a="1"/>
  <c r="F67" i="3" s="1"/>
  <c r="F66" i="3" a="1"/>
  <c r="F66" i="3" s="1"/>
  <c r="F65" i="3" a="1"/>
  <c r="F65" i="3" s="1"/>
  <c r="F64" i="3" a="1"/>
  <c r="F64" i="3" s="1"/>
  <c r="F63" i="3" a="1"/>
  <c r="F63" i="3" s="1"/>
  <c r="F62" i="3" a="1"/>
  <c r="F62" i="3" s="1"/>
  <c r="F61" i="3" a="1"/>
  <c r="F61" i="3" s="1"/>
  <c r="F60" i="3" a="1"/>
  <c r="F60" i="3" s="1"/>
  <c r="F59" i="3" a="1"/>
  <c r="F59" i="3" s="1"/>
  <c r="F58" i="3" a="1"/>
  <c r="F58" i="3" s="1"/>
  <c r="F57" i="3" a="1"/>
  <c r="F57" i="3" s="1"/>
  <c r="F56" i="3" a="1"/>
  <c r="F56" i="3" s="1"/>
  <c r="F55" i="3" a="1"/>
  <c r="F55" i="3" s="1"/>
  <c r="F54" i="3" a="1"/>
  <c r="F54" i="3" s="1"/>
  <c r="F53" i="3" a="1"/>
  <c r="F53" i="3" s="1"/>
  <c r="F52" i="3" a="1"/>
  <c r="F52" i="3" s="1"/>
  <c r="F51" i="3" a="1"/>
  <c r="F51" i="3" s="1"/>
  <c r="F50" i="3" a="1"/>
  <c r="F50" i="3" s="1"/>
  <c r="F49" i="3" a="1"/>
  <c r="F49" i="3" s="1"/>
  <c r="F48" i="3" a="1"/>
  <c r="F48" i="3" s="1"/>
  <c r="F47" i="3" a="1"/>
  <c r="F47" i="3" s="1"/>
  <c r="F46" i="3" a="1"/>
  <c r="F46" i="3" s="1"/>
  <c r="F45" i="3" a="1"/>
  <c r="F45" i="3" s="1"/>
  <c r="F44" i="3" a="1"/>
  <c r="F44" i="3" s="1"/>
  <c r="F43" i="3" a="1"/>
  <c r="F43" i="3" s="1"/>
  <c r="F42" i="3" a="1"/>
  <c r="F42" i="3" s="1"/>
  <c r="F41" i="3" a="1"/>
  <c r="F41" i="3" s="1"/>
  <c r="F40" i="3" a="1"/>
  <c r="F40" i="3" s="1"/>
  <c r="F39" i="3" a="1"/>
  <c r="F39" i="3" s="1"/>
  <c r="F38" i="3" a="1"/>
  <c r="F38" i="3" s="1"/>
  <c r="F37" i="3" a="1"/>
  <c r="F37" i="3" s="1"/>
  <c r="F36" i="3" a="1"/>
  <c r="F36" i="3" s="1"/>
  <c r="F35" i="3" a="1"/>
  <c r="F35" i="3" s="1"/>
  <c r="F34" i="3" a="1"/>
  <c r="F34" i="3" s="1"/>
  <c r="F33" i="3" a="1"/>
  <c r="F33" i="3" s="1"/>
  <c r="F32" i="3" a="1"/>
  <c r="F32" i="3" s="1"/>
  <c r="F31" i="3" a="1"/>
  <c r="F31" i="3" s="1"/>
  <c r="F30" i="3" a="1"/>
  <c r="F30" i="3" s="1"/>
  <c r="F29" i="3" a="1"/>
  <c r="F29" i="3" s="1"/>
  <c r="F28" i="3" a="1"/>
  <c r="F28" i="3" s="1"/>
  <c r="F27" i="3" a="1"/>
  <c r="F27" i="3" s="1"/>
  <c r="F26" i="3" a="1"/>
  <c r="F26" i="3" s="1"/>
  <c r="F25" i="3" a="1"/>
  <c r="F25" i="3" s="1"/>
  <c r="F24" i="3" a="1"/>
  <c r="F24" i="3" s="1"/>
  <c r="F23" i="3" a="1"/>
  <c r="F23" i="3" s="1"/>
  <c r="F22" i="3" a="1"/>
  <c r="F22" i="3" s="1"/>
  <c r="F21" i="3" a="1"/>
  <c r="F21" i="3" s="1"/>
  <c r="F20" i="3" a="1"/>
  <c r="F20" i="3" s="1"/>
  <c r="F19" i="3" a="1"/>
  <c r="F19" i="3" s="1"/>
  <c r="F18" i="3" a="1"/>
  <c r="F18" i="3" s="1"/>
  <c r="F17" i="3" a="1"/>
  <c r="F17" i="3" s="1"/>
  <c r="F16" i="3" a="1"/>
  <c r="F16" i="3" s="1"/>
  <c r="F15" i="3" a="1"/>
  <c r="F15" i="3" s="1"/>
  <c r="F14" i="3" a="1"/>
  <c r="F14" i="3" s="1"/>
  <c r="F13" i="3" a="1"/>
  <c r="F13" i="3" s="1"/>
  <c r="F12" i="3" a="1"/>
  <c r="F12" i="3" s="1"/>
  <c r="F11" i="3" a="1"/>
  <c r="F11" i="3" s="1"/>
  <c r="F10" i="3" a="1"/>
  <c r="F10" i="3" s="1"/>
  <c r="F9" i="3" a="1"/>
  <c r="F9" i="3" s="1"/>
  <c r="F8" i="3" a="1"/>
  <c r="F8" i="3" s="1"/>
  <c r="F7" i="3" a="1"/>
  <c r="F7" i="3" s="1"/>
  <c r="F6" i="3" a="1"/>
  <c r="F6" i="3" s="1"/>
  <c r="F5" i="3" a="1"/>
  <c r="F5" i="3" s="1"/>
  <c r="F4" i="3" a="1"/>
  <c r="F4" i="3" s="1"/>
  <c r="F3" i="3" a="1"/>
  <c r="F3" i="3" s="1"/>
  <c r="F2" i="3" a="1"/>
  <c r="F2" i="3" s="1"/>
  <c r="E579" i="3" a="1"/>
  <c r="E579" i="3" s="1"/>
  <c r="E578" i="3" a="1"/>
  <c r="E578" i="3" s="1"/>
  <c r="E576" i="3" a="1"/>
  <c r="E576" i="3" s="1"/>
  <c r="E575" i="3" a="1"/>
  <c r="E575" i="3" s="1"/>
  <c r="E573" i="3" a="1"/>
  <c r="E573" i="3" s="1"/>
  <c r="E572" i="3" a="1"/>
  <c r="E572" i="3" s="1"/>
  <c r="E571" i="3" a="1"/>
  <c r="E571" i="3" s="1"/>
  <c r="E570" i="3" a="1"/>
  <c r="E570" i="3" s="1"/>
  <c r="E569" i="3" a="1"/>
  <c r="E569" i="3" s="1"/>
  <c r="E567" i="3" a="1"/>
  <c r="E567" i="3" s="1"/>
  <c r="E566" i="3" a="1"/>
  <c r="E566" i="3" s="1"/>
  <c r="E563" i="3" a="1"/>
  <c r="E563" i="3" s="1"/>
  <c r="E562" i="3" a="1"/>
  <c r="E562" i="3" s="1"/>
  <c r="E561" i="3" a="1"/>
  <c r="E561" i="3" s="1"/>
  <c r="E560" i="3" a="1"/>
  <c r="E560" i="3" s="1"/>
  <c r="E559" i="3" a="1"/>
  <c r="E559" i="3" s="1"/>
  <c r="E558" i="3" a="1"/>
  <c r="E558" i="3" s="1"/>
  <c r="E557" i="3" a="1"/>
  <c r="E557" i="3" s="1"/>
  <c r="E556" i="3" a="1"/>
  <c r="E556" i="3" s="1"/>
  <c r="E552" i="3" a="1"/>
  <c r="E552" i="3" s="1"/>
  <c r="E550" i="3" a="1"/>
  <c r="E550" i="3" s="1"/>
  <c r="E548" i="3" a="1"/>
  <c r="E548" i="3" s="1"/>
  <c r="E547" i="3" a="1"/>
  <c r="E547" i="3" s="1"/>
  <c r="E546" i="3" a="1"/>
  <c r="E546" i="3" s="1"/>
  <c r="E545" i="3" a="1"/>
  <c r="E545" i="3" s="1"/>
  <c r="E544" i="3" a="1"/>
  <c r="E544" i="3" s="1"/>
  <c r="E543" i="3" a="1"/>
  <c r="E543" i="3" s="1"/>
  <c r="E542" i="3" a="1"/>
  <c r="E542" i="3" s="1"/>
  <c r="E541" i="3" a="1"/>
  <c r="E541" i="3" s="1"/>
  <c r="E540" i="3" a="1"/>
  <c r="E540" i="3" s="1"/>
  <c r="E539" i="3" a="1"/>
  <c r="E539" i="3" s="1"/>
  <c r="E538" i="3" a="1"/>
  <c r="E538" i="3" s="1"/>
  <c r="E537" i="3" a="1"/>
  <c r="E537" i="3" s="1"/>
  <c r="E536" i="3" a="1"/>
  <c r="E536" i="3" s="1"/>
  <c r="E535" i="3" a="1"/>
  <c r="E535" i="3" s="1"/>
  <c r="E534" i="3" a="1"/>
  <c r="E534" i="3" s="1"/>
  <c r="E533" i="3" a="1"/>
  <c r="E533" i="3" s="1"/>
  <c r="E532" i="3" a="1"/>
  <c r="E532" i="3" s="1"/>
  <c r="E531" i="3" a="1"/>
  <c r="E531" i="3" s="1"/>
  <c r="E530" i="3" a="1"/>
  <c r="E530" i="3" s="1"/>
  <c r="E529" i="3" a="1"/>
  <c r="E529" i="3" s="1"/>
  <c r="E528" i="3" a="1"/>
  <c r="E528" i="3" s="1"/>
  <c r="E527" i="3" a="1"/>
  <c r="E527" i="3" s="1"/>
  <c r="E526" i="3" a="1"/>
  <c r="E526" i="3" s="1"/>
  <c r="E523" i="3" a="1"/>
  <c r="E523" i="3" s="1"/>
  <c r="E522" i="3" a="1"/>
  <c r="E522" i="3" s="1"/>
  <c r="E521" i="3" a="1"/>
  <c r="E521" i="3" s="1"/>
  <c r="E520" i="3" a="1"/>
  <c r="E520" i="3" s="1"/>
  <c r="E519" i="3" a="1"/>
  <c r="E519" i="3" s="1"/>
  <c r="E518" i="3" a="1"/>
  <c r="E518" i="3" s="1"/>
  <c r="E517" i="3" a="1"/>
  <c r="E517" i="3" s="1"/>
  <c r="E514" i="3" a="1"/>
  <c r="E514" i="3" s="1"/>
  <c r="E513" i="3" a="1"/>
  <c r="E513" i="3" s="1"/>
  <c r="E512" i="3" a="1"/>
  <c r="E512" i="3" s="1"/>
  <c r="E511" i="3" a="1"/>
  <c r="E511" i="3" s="1"/>
  <c r="E510" i="3" a="1"/>
  <c r="E510" i="3" s="1"/>
  <c r="E509" i="3" a="1"/>
  <c r="E509" i="3" s="1"/>
  <c r="E508" i="3" a="1"/>
  <c r="E508" i="3" s="1"/>
  <c r="E507" i="3" a="1"/>
  <c r="E507" i="3" s="1"/>
  <c r="E506" i="3" a="1"/>
  <c r="E506" i="3" s="1"/>
  <c r="E505" i="3" a="1"/>
  <c r="E505" i="3" s="1"/>
  <c r="E504" i="3" a="1"/>
  <c r="E504" i="3" s="1"/>
  <c r="E503" i="3" a="1"/>
  <c r="E503" i="3" s="1"/>
  <c r="E502" i="3" a="1"/>
  <c r="E502" i="3" s="1"/>
  <c r="E501" i="3" a="1"/>
  <c r="E501" i="3" s="1"/>
  <c r="E500" i="3" a="1"/>
  <c r="E500" i="3" s="1"/>
  <c r="E499" i="3" a="1"/>
  <c r="E499" i="3" s="1"/>
  <c r="E497" i="3" a="1"/>
  <c r="E497" i="3" s="1"/>
  <c r="E496" i="3" a="1"/>
  <c r="E496" i="3" s="1"/>
  <c r="E495" i="3" a="1"/>
  <c r="E495" i="3" s="1"/>
  <c r="E494" i="3" a="1"/>
  <c r="E494" i="3" s="1"/>
  <c r="E493" i="3" a="1"/>
  <c r="E493" i="3" s="1"/>
  <c r="E492" i="3" a="1"/>
  <c r="E492" i="3" s="1"/>
  <c r="E491" i="3" a="1"/>
  <c r="E491" i="3" s="1"/>
  <c r="E490" i="3" a="1"/>
  <c r="E490" i="3" s="1"/>
  <c r="E489" i="3" a="1"/>
  <c r="E489" i="3" s="1"/>
  <c r="E488" i="3" a="1"/>
  <c r="E488" i="3" s="1"/>
  <c r="E487" i="3" a="1"/>
  <c r="E487" i="3" s="1"/>
  <c r="E486" i="3" a="1"/>
  <c r="E486" i="3" s="1"/>
  <c r="E485" i="3" a="1"/>
  <c r="E485" i="3" s="1"/>
  <c r="E484" i="3" a="1"/>
  <c r="E484" i="3" s="1"/>
  <c r="E483" i="3" a="1"/>
  <c r="E483" i="3" s="1"/>
  <c r="E482" i="3" a="1"/>
  <c r="E482" i="3" s="1"/>
  <c r="E481" i="3" a="1"/>
  <c r="E481" i="3" s="1"/>
  <c r="E480" i="3" a="1"/>
  <c r="E480" i="3" s="1"/>
  <c r="E479" i="3" a="1"/>
  <c r="E479" i="3" s="1"/>
  <c r="E478" i="3" a="1"/>
  <c r="E478" i="3" s="1"/>
  <c r="E477" i="3" a="1"/>
  <c r="E477" i="3" s="1"/>
  <c r="E476" i="3" a="1"/>
  <c r="E476" i="3" s="1"/>
  <c r="E475" i="3" a="1"/>
  <c r="E475" i="3" s="1"/>
  <c r="E474" i="3" a="1"/>
  <c r="E474" i="3" s="1"/>
  <c r="E473" i="3" a="1"/>
  <c r="E473" i="3" s="1"/>
  <c r="E472" i="3" a="1"/>
  <c r="E472" i="3" s="1"/>
  <c r="E471" i="3" a="1"/>
  <c r="E471" i="3" s="1"/>
  <c r="E470" i="3" a="1"/>
  <c r="E470" i="3" s="1"/>
  <c r="E469" i="3" a="1"/>
  <c r="E469" i="3" s="1"/>
  <c r="E468" i="3" a="1"/>
  <c r="E468" i="3" s="1"/>
  <c r="E467" i="3" a="1"/>
  <c r="E467" i="3" s="1"/>
  <c r="E466" i="3" a="1"/>
  <c r="E466" i="3" s="1"/>
  <c r="E465" i="3" a="1"/>
  <c r="E465" i="3" s="1"/>
  <c r="E464" i="3" a="1"/>
  <c r="E464" i="3" s="1"/>
  <c r="E463" i="3" a="1"/>
  <c r="E463" i="3" s="1"/>
  <c r="E462" i="3" a="1"/>
  <c r="E462" i="3" s="1"/>
  <c r="E461" i="3" a="1"/>
  <c r="E461" i="3" s="1"/>
  <c r="E460" i="3" a="1"/>
  <c r="E460" i="3" s="1"/>
  <c r="E459" i="3" a="1"/>
  <c r="E459" i="3" s="1"/>
  <c r="E458" i="3" a="1"/>
  <c r="E458" i="3" s="1"/>
  <c r="E457" i="3" a="1"/>
  <c r="E457" i="3" s="1"/>
  <c r="E456" i="3" a="1"/>
  <c r="E456" i="3" s="1"/>
  <c r="E455" i="3" a="1"/>
  <c r="E455" i="3" s="1"/>
  <c r="E454" i="3" a="1"/>
  <c r="E454" i="3" s="1"/>
  <c r="E453" i="3" a="1"/>
  <c r="E453" i="3" s="1"/>
  <c r="E452" i="3" a="1"/>
  <c r="E452" i="3" s="1"/>
  <c r="E451" i="3" a="1"/>
  <c r="E451" i="3" s="1"/>
  <c r="E450" i="3" a="1"/>
  <c r="E450" i="3" s="1"/>
  <c r="E449" i="3" a="1"/>
  <c r="E449" i="3" s="1"/>
  <c r="E448" i="3" a="1"/>
  <c r="E448" i="3" s="1"/>
  <c r="E447" i="3" a="1"/>
  <c r="E447" i="3" s="1"/>
  <c r="E446" i="3" a="1"/>
  <c r="E446" i="3" s="1"/>
  <c r="E445" i="3" a="1"/>
  <c r="E445" i="3" s="1"/>
  <c r="E444" i="3" a="1"/>
  <c r="E444" i="3" s="1"/>
  <c r="E443" i="3" a="1"/>
  <c r="E443" i="3" s="1"/>
  <c r="E442" i="3" a="1"/>
  <c r="E442" i="3" s="1"/>
  <c r="E441" i="3" a="1"/>
  <c r="E441" i="3" s="1"/>
  <c r="E440" i="3" a="1"/>
  <c r="E440" i="3" s="1"/>
  <c r="E439" i="3" a="1"/>
  <c r="E439" i="3" s="1"/>
  <c r="E438" i="3" a="1"/>
  <c r="E438" i="3" s="1"/>
  <c r="E437" i="3" a="1"/>
  <c r="E437" i="3" s="1"/>
  <c r="E436" i="3" a="1"/>
  <c r="E436" i="3" s="1"/>
  <c r="E435" i="3" a="1"/>
  <c r="E435" i="3" s="1"/>
  <c r="E434" i="3" a="1"/>
  <c r="E434" i="3" s="1"/>
  <c r="E433" i="3" a="1"/>
  <c r="E433" i="3" s="1"/>
  <c r="E432" i="3" a="1"/>
  <c r="E432" i="3" s="1"/>
  <c r="E431" i="3" a="1"/>
  <c r="E431" i="3" s="1"/>
  <c r="E430" i="3" a="1"/>
  <c r="E430" i="3" s="1"/>
  <c r="E429" i="3" a="1"/>
  <c r="E429" i="3" s="1"/>
  <c r="E428" i="3" a="1"/>
  <c r="E428" i="3" s="1"/>
  <c r="E427" i="3" a="1"/>
  <c r="E427" i="3" s="1"/>
  <c r="E426" i="3" a="1"/>
  <c r="E426" i="3" s="1"/>
  <c r="E425" i="3" a="1"/>
  <c r="E425" i="3" s="1"/>
  <c r="E424" i="3" a="1"/>
  <c r="E424" i="3" s="1"/>
  <c r="E423" i="3" a="1"/>
  <c r="E423" i="3" s="1"/>
  <c r="E422" i="3" a="1"/>
  <c r="E422" i="3" s="1"/>
  <c r="E421" i="3" a="1"/>
  <c r="E421" i="3" s="1"/>
  <c r="E420" i="3" a="1"/>
  <c r="E420" i="3" s="1"/>
  <c r="E419" i="3" a="1"/>
  <c r="E419" i="3" s="1"/>
  <c r="E418" i="3" a="1"/>
  <c r="E418" i="3" s="1"/>
  <c r="E417" i="3" a="1"/>
  <c r="E417" i="3" s="1"/>
  <c r="E416" i="3" a="1"/>
  <c r="E416" i="3" s="1"/>
  <c r="E415" i="3" a="1"/>
  <c r="E415" i="3" s="1"/>
  <c r="E414" i="3" a="1"/>
  <c r="E414" i="3" s="1"/>
  <c r="E413" i="3" a="1"/>
  <c r="E413" i="3" s="1"/>
  <c r="E412" i="3" a="1"/>
  <c r="E412" i="3" s="1"/>
  <c r="E411" i="3" a="1"/>
  <c r="E411" i="3" s="1"/>
  <c r="E410" i="3" a="1"/>
  <c r="E410" i="3" s="1"/>
  <c r="E409" i="3" a="1"/>
  <c r="E409" i="3" s="1"/>
  <c r="E408" i="3" a="1"/>
  <c r="E408" i="3" s="1"/>
  <c r="E407" i="3" a="1"/>
  <c r="E407" i="3" s="1"/>
  <c r="E406" i="3" a="1"/>
  <c r="E406" i="3" s="1"/>
  <c r="E405" i="3" a="1"/>
  <c r="E405" i="3" s="1"/>
  <c r="E404" i="3" a="1"/>
  <c r="E404" i="3" s="1"/>
  <c r="E403" i="3" a="1"/>
  <c r="E403" i="3" s="1"/>
  <c r="E402" i="3" a="1"/>
  <c r="E402" i="3" s="1"/>
  <c r="E401" i="3" a="1"/>
  <c r="E401" i="3" s="1"/>
  <c r="E400" i="3" a="1"/>
  <c r="E400" i="3" s="1"/>
  <c r="E399" i="3" a="1"/>
  <c r="E399" i="3" s="1"/>
  <c r="E398" i="3" a="1"/>
  <c r="E398" i="3" s="1"/>
  <c r="E397" i="3" a="1"/>
  <c r="E397" i="3" s="1"/>
  <c r="E396" i="3" a="1"/>
  <c r="E396" i="3" s="1"/>
  <c r="E395" i="3" a="1"/>
  <c r="E395" i="3" s="1"/>
  <c r="E394" i="3" a="1"/>
  <c r="E394" i="3" s="1"/>
  <c r="E393" i="3" a="1"/>
  <c r="E393" i="3" s="1"/>
  <c r="E392" i="3" a="1"/>
  <c r="E392" i="3" s="1"/>
  <c r="E391" i="3" a="1"/>
  <c r="E391" i="3" s="1"/>
  <c r="E390" i="3" a="1"/>
  <c r="E390" i="3" s="1"/>
  <c r="E389" i="3" a="1"/>
  <c r="E389" i="3" s="1"/>
  <c r="E388" i="3" a="1"/>
  <c r="E388" i="3" s="1"/>
  <c r="E387" i="3" a="1"/>
  <c r="E387" i="3" s="1"/>
  <c r="E386" i="3" a="1"/>
  <c r="E386" i="3" s="1"/>
  <c r="E385" i="3" a="1"/>
  <c r="E385" i="3" s="1"/>
  <c r="E384" i="3" a="1"/>
  <c r="E384" i="3" s="1"/>
  <c r="E383" i="3" a="1"/>
  <c r="E383" i="3" s="1"/>
  <c r="E382" i="3" a="1"/>
  <c r="E382" i="3" s="1"/>
  <c r="E381" i="3" a="1"/>
  <c r="E381" i="3" s="1"/>
  <c r="E380" i="3" a="1"/>
  <c r="E380" i="3" s="1"/>
  <c r="E379" i="3" a="1"/>
  <c r="E379" i="3" s="1"/>
  <c r="E378" i="3" a="1"/>
  <c r="E378" i="3" s="1"/>
  <c r="E377" i="3" a="1"/>
  <c r="E377" i="3" s="1"/>
  <c r="E376" i="3" a="1"/>
  <c r="E376" i="3" s="1"/>
  <c r="E375" i="3" a="1"/>
  <c r="E375" i="3" s="1"/>
  <c r="E374" i="3" a="1"/>
  <c r="E374" i="3" s="1"/>
  <c r="E373" i="3" a="1"/>
  <c r="E373" i="3" s="1"/>
  <c r="E372" i="3" a="1"/>
  <c r="E372" i="3" s="1"/>
  <c r="E371" i="3" a="1"/>
  <c r="E371" i="3" s="1"/>
  <c r="E370" i="3" a="1"/>
  <c r="E370" i="3" s="1"/>
  <c r="E369" i="3" a="1"/>
  <c r="E369" i="3" s="1"/>
  <c r="E368" i="3" a="1"/>
  <c r="E368" i="3" s="1"/>
  <c r="E367" i="3" a="1"/>
  <c r="E367" i="3" s="1"/>
  <c r="E366" i="3" a="1"/>
  <c r="E366" i="3" s="1"/>
  <c r="E365" i="3" a="1"/>
  <c r="E365" i="3" s="1"/>
  <c r="E364" i="3" a="1"/>
  <c r="E364" i="3" s="1"/>
  <c r="E363" i="3" a="1"/>
  <c r="E363" i="3" s="1"/>
  <c r="E362" i="3" a="1"/>
  <c r="E362" i="3" s="1"/>
  <c r="E361" i="3" a="1"/>
  <c r="E361" i="3" s="1"/>
  <c r="E360" i="3" a="1"/>
  <c r="E360" i="3" s="1"/>
  <c r="E359" i="3" a="1"/>
  <c r="E359" i="3" s="1"/>
  <c r="E358" i="3" a="1"/>
  <c r="E358" i="3" s="1"/>
  <c r="E357" i="3" a="1"/>
  <c r="E357" i="3" s="1"/>
  <c r="E356" i="3" a="1"/>
  <c r="E356" i="3" s="1"/>
  <c r="E355" i="3" a="1"/>
  <c r="E355" i="3" s="1"/>
  <c r="E354" i="3" a="1"/>
  <c r="E354" i="3" s="1"/>
  <c r="E353" i="3" a="1"/>
  <c r="E353" i="3" s="1"/>
  <c r="E352" i="3" a="1"/>
  <c r="E352" i="3" s="1"/>
  <c r="E351" i="3" a="1"/>
  <c r="E351" i="3" s="1"/>
  <c r="E350" i="3" a="1"/>
  <c r="E350" i="3" s="1"/>
  <c r="E349" i="3" a="1"/>
  <c r="E349" i="3" s="1"/>
  <c r="E348" i="3" a="1"/>
  <c r="E348" i="3" s="1"/>
  <c r="E347" i="3" a="1"/>
  <c r="E347" i="3" s="1"/>
  <c r="E346" i="3" a="1"/>
  <c r="E346" i="3" s="1"/>
  <c r="E345" i="3" a="1"/>
  <c r="E345" i="3" s="1"/>
  <c r="E344" i="3" a="1"/>
  <c r="E344" i="3" s="1"/>
  <c r="E343" i="3" a="1"/>
  <c r="E343" i="3" s="1"/>
  <c r="E342" i="3" a="1"/>
  <c r="E342" i="3" s="1"/>
  <c r="E341" i="3" a="1"/>
  <c r="E341" i="3" s="1"/>
  <c r="E340" i="3" a="1"/>
  <c r="E340" i="3" s="1"/>
  <c r="E339" i="3" a="1"/>
  <c r="E339" i="3" s="1"/>
  <c r="E338" i="3" a="1"/>
  <c r="E338" i="3" s="1"/>
  <c r="E337" i="3" a="1"/>
  <c r="E337" i="3" s="1"/>
  <c r="E336" i="3" a="1"/>
  <c r="E336" i="3" s="1"/>
  <c r="E335" i="3" a="1"/>
  <c r="E335" i="3" s="1"/>
  <c r="E334" i="3" a="1"/>
  <c r="E334" i="3" s="1"/>
  <c r="E333" i="3" a="1"/>
  <c r="E333" i="3" s="1"/>
  <c r="E332" i="3" a="1"/>
  <c r="E332" i="3" s="1"/>
  <c r="E331" i="3" a="1"/>
  <c r="E331" i="3" s="1"/>
  <c r="E330" i="3" a="1"/>
  <c r="E330" i="3" s="1"/>
  <c r="E329" i="3" a="1"/>
  <c r="E329" i="3" s="1"/>
  <c r="E328" i="3" a="1"/>
  <c r="E328" i="3" s="1"/>
  <c r="E327" i="3" a="1"/>
  <c r="E327" i="3" s="1"/>
  <c r="E326" i="3" a="1"/>
  <c r="E326" i="3" s="1"/>
  <c r="E325" i="3" a="1"/>
  <c r="E325" i="3" s="1"/>
  <c r="E324" i="3" a="1"/>
  <c r="E324" i="3" s="1"/>
  <c r="E323" i="3" a="1"/>
  <c r="E323" i="3" s="1"/>
  <c r="E322" i="3" a="1"/>
  <c r="E322" i="3" s="1"/>
  <c r="E321" i="3" a="1"/>
  <c r="E321" i="3" s="1"/>
  <c r="E320" i="3" a="1"/>
  <c r="E320" i="3" s="1"/>
  <c r="E319" i="3" a="1"/>
  <c r="E319" i="3" s="1"/>
  <c r="E318" i="3" a="1"/>
  <c r="E318" i="3" s="1"/>
  <c r="E317" i="3" a="1"/>
  <c r="E317" i="3" s="1"/>
  <c r="E316" i="3" a="1"/>
  <c r="E316" i="3" s="1"/>
  <c r="E315" i="3" a="1"/>
  <c r="E315" i="3" s="1"/>
  <c r="E314" i="3" a="1"/>
  <c r="E314" i="3" s="1"/>
  <c r="E313" i="3" a="1"/>
  <c r="E313" i="3" s="1"/>
  <c r="E312" i="3" a="1"/>
  <c r="E312" i="3" s="1"/>
  <c r="E311" i="3" a="1"/>
  <c r="E311" i="3" s="1"/>
  <c r="E310" i="3" a="1"/>
  <c r="E310" i="3" s="1"/>
  <c r="E309" i="3" a="1"/>
  <c r="E309" i="3" s="1"/>
  <c r="E308" i="3" a="1"/>
  <c r="E308" i="3" s="1"/>
  <c r="E307" i="3" a="1"/>
  <c r="E307" i="3" s="1"/>
  <c r="E306" i="3" a="1"/>
  <c r="E306" i="3" s="1"/>
  <c r="E305" i="3" a="1"/>
  <c r="E305" i="3" s="1"/>
  <c r="E304" i="3" a="1"/>
  <c r="E304" i="3" s="1"/>
  <c r="E303" i="3" a="1"/>
  <c r="E303" i="3" s="1"/>
  <c r="E302" i="3" a="1"/>
  <c r="E302" i="3" s="1"/>
  <c r="E301" i="3" a="1"/>
  <c r="E301" i="3" s="1"/>
  <c r="E300" i="3" a="1"/>
  <c r="E300" i="3" s="1"/>
  <c r="E299" i="3" a="1"/>
  <c r="E299" i="3" s="1"/>
  <c r="E298" i="3" a="1"/>
  <c r="E298" i="3" s="1"/>
  <c r="E297" i="3" a="1"/>
  <c r="E297" i="3" s="1"/>
  <c r="E296" i="3" a="1"/>
  <c r="E296" i="3" s="1"/>
  <c r="E295" i="3" a="1"/>
  <c r="E295" i="3" s="1"/>
  <c r="E294" i="3" a="1"/>
  <c r="E294" i="3" s="1"/>
  <c r="E293" i="3" a="1"/>
  <c r="E293" i="3" s="1"/>
  <c r="E292" i="3" a="1"/>
  <c r="E292" i="3" s="1"/>
  <c r="E291" i="3" a="1"/>
  <c r="E291" i="3" s="1"/>
  <c r="E290" i="3" a="1"/>
  <c r="E290" i="3" s="1"/>
  <c r="E289" i="3" a="1"/>
  <c r="E289" i="3" s="1"/>
  <c r="E288" i="3" a="1"/>
  <c r="E288" i="3" s="1"/>
  <c r="E287" i="3" a="1"/>
  <c r="E287" i="3" s="1"/>
  <c r="E286" i="3" a="1"/>
  <c r="E286" i="3" s="1"/>
  <c r="E285" i="3" a="1"/>
  <c r="E285" i="3" s="1"/>
  <c r="E284" i="3" a="1"/>
  <c r="E284" i="3" s="1"/>
  <c r="E283" i="3" a="1"/>
  <c r="E283" i="3" s="1"/>
  <c r="E282" i="3" a="1"/>
  <c r="E282" i="3" s="1"/>
  <c r="E281" i="3" a="1"/>
  <c r="E281" i="3" s="1"/>
  <c r="E280" i="3" a="1"/>
  <c r="E280" i="3" s="1"/>
  <c r="E279" i="3" a="1"/>
  <c r="E279" i="3" s="1"/>
  <c r="E278" i="3" a="1"/>
  <c r="E278" i="3" s="1"/>
  <c r="E277" i="3" a="1"/>
  <c r="E277" i="3" s="1"/>
  <c r="E276" i="3" a="1"/>
  <c r="E276" i="3" s="1"/>
  <c r="E275" i="3" a="1"/>
  <c r="E275" i="3" s="1"/>
  <c r="E274" i="3" a="1"/>
  <c r="E274" i="3" s="1"/>
  <c r="E273" i="3" a="1"/>
  <c r="E273" i="3" s="1"/>
  <c r="E272" i="3" a="1"/>
  <c r="E272" i="3" s="1"/>
  <c r="E271" i="3" a="1"/>
  <c r="E271" i="3" s="1"/>
  <c r="E270" i="3" a="1"/>
  <c r="E270" i="3" s="1"/>
  <c r="E269" i="3" a="1"/>
  <c r="E269" i="3" s="1"/>
  <c r="E268" i="3" a="1"/>
  <c r="E268" i="3" s="1"/>
  <c r="E267" i="3" a="1"/>
  <c r="E267" i="3" s="1"/>
  <c r="E266" i="3" a="1"/>
  <c r="E266" i="3" s="1"/>
  <c r="E265" i="3" a="1"/>
  <c r="E265" i="3" s="1"/>
  <c r="E264" i="3" a="1"/>
  <c r="E264" i="3" s="1"/>
  <c r="E263" i="3" a="1"/>
  <c r="E263" i="3" s="1"/>
  <c r="E262" i="3" a="1"/>
  <c r="E262" i="3" s="1"/>
  <c r="E261" i="3" a="1"/>
  <c r="E261" i="3" s="1"/>
  <c r="E260" i="3" a="1"/>
  <c r="E260" i="3" s="1"/>
  <c r="E259" i="3" a="1"/>
  <c r="E259" i="3" s="1"/>
  <c r="E258" i="3" a="1"/>
  <c r="E258" i="3" s="1"/>
  <c r="E257" i="3" a="1"/>
  <c r="E257" i="3" s="1"/>
  <c r="E256" i="3" a="1"/>
  <c r="E256" i="3" s="1"/>
  <c r="E255" i="3" a="1"/>
  <c r="E255" i="3" s="1"/>
  <c r="E254" i="3" a="1"/>
  <c r="E254" i="3" s="1"/>
  <c r="E253" i="3" a="1"/>
  <c r="E253" i="3" s="1"/>
  <c r="E252" i="3" a="1"/>
  <c r="E252" i="3" s="1"/>
  <c r="E251" i="3" a="1"/>
  <c r="E251" i="3" s="1"/>
  <c r="E250" i="3" a="1"/>
  <c r="E250" i="3" s="1"/>
  <c r="E249" i="3" a="1"/>
  <c r="E249" i="3" s="1"/>
  <c r="E248" i="3" a="1"/>
  <c r="E248" i="3" s="1"/>
  <c r="E247" i="3" a="1"/>
  <c r="E247" i="3" s="1"/>
  <c r="E246" i="3" a="1"/>
  <c r="E246" i="3" s="1"/>
  <c r="E245" i="3" a="1"/>
  <c r="E245" i="3" s="1"/>
  <c r="E244" i="3" a="1"/>
  <c r="E244" i="3" s="1"/>
  <c r="E243" i="3" a="1"/>
  <c r="E243" i="3" s="1"/>
  <c r="E242" i="3" a="1"/>
  <c r="E242" i="3" s="1"/>
  <c r="E241" i="3" a="1"/>
  <c r="E241" i="3" s="1"/>
  <c r="E240" i="3" a="1"/>
  <c r="E240" i="3" s="1"/>
  <c r="E239" i="3" a="1"/>
  <c r="E239" i="3" s="1"/>
  <c r="E238" i="3" a="1"/>
  <c r="E238" i="3" s="1"/>
  <c r="E237" i="3" a="1"/>
  <c r="E237" i="3" s="1"/>
  <c r="E236" i="3" a="1"/>
  <c r="E236" i="3" s="1"/>
  <c r="E235" i="3" a="1"/>
  <c r="E235" i="3" s="1"/>
  <c r="E234" i="3" a="1"/>
  <c r="E234" i="3" s="1"/>
  <c r="E233" i="3" a="1"/>
  <c r="E233" i="3" s="1"/>
  <c r="E232" i="3" a="1"/>
  <c r="E232" i="3" s="1"/>
  <c r="E231" i="3" a="1"/>
  <c r="E231" i="3" s="1"/>
  <c r="E230" i="3" a="1"/>
  <c r="E230" i="3" s="1"/>
  <c r="E229" i="3" a="1"/>
  <c r="E229" i="3" s="1"/>
  <c r="E228" i="3" a="1"/>
  <c r="E228" i="3" s="1"/>
  <c r="E227" i="3" a="1"/>
  <c r="E227" i="3" s="1"/>
  <c r="E226" i="3" a="1"/>
  <c r="E226" i="3" s="1"/>
  <c r="E225" i="3" a="1"/>
  <c r="E225" i="3" s="1"/>
  <c r="E224" i="3" a="1"/>
  <c r="E224" i="3" s="1"/>
  <c r="E223" i="3" a="1"/>
  <c r="E223" i="3" s="1"/>
  <c r="E222" i="3" a="1"/>
  <c r="E222" i="3" s="1"/>
  <c r="E221" i="3" a="1"/>
  <c r="E221" i="3" s="1"/>
  <c r="E220" i="3" a="1"/>
  <c r="E220" i="3" s="1"/>
  <c r="E219" i="3" a="1"/>
  <c r="E219" i="3" s="1"/>
  <c r="E218" i="3" a="1"/>
  <c r="E218" i="3" s="1"/>
  <c r="E217" i="3" a="1"/>
  <c r="E217" i="3" s="1"/>
  <c r="E216" i="3" a="1"/>
  <c r="E216" i="3" s="1"/>
  <c r="E215" i="3" a="1"/>
  <c r="E215" i="3" s="1"/>
  <c r="E214" i="3" a="1"/>
  <c r="E214" i="3" s="1"/>
  <c r="E213" i="3" a="1"/>
  <c r="E213" i="3" s="1"/>
  <c r="E212" i="3" a="1"/>
  <c r="E212" i="3" s="1"/>
  <c r="E211" i="3" a="1"/>
  <c r="E211" i="3" s="1"/>
  <c r="E210" i="3" a="1"/>
  <c r="E210" i="3" s="1"/>
  <c r="E209" i="3" a="1"/>
  <c r="E209" i="3" s="1"/>
  <c r="E208" i="3" a="1"/>
  <c r="E208" i="3" s="1"/>
  <c r="E207" i="3" a="1"/>
  <c r="E207" i="3" s="1"/>
  <c r="E206" i="3" a="1"/>
  <c r="E206" i="3" s="1"/>
  <c r="E205" i="3" a="1"/>
  <c r="E205" i="3" s="1"/>
  <c r="E204" i="3" a="1"/>
  <c r="E204" i="3" s="1"/>
  <c r="E203" i="3" a="1"/>
  <c r="E203" i="3" s="1"/>
  <c r="E202" i="3" a="1"/>
  <c r="E202" i="3" s="1"/>
  <c r="E201" i="3" a="1"/>
  <c r="E201" i="3" s="1"/>
  <c r="E200" i="3" a="1"/>
  <c r="E200" i="3" s="1"/>
  <c r="E199" i="3" a="1"/>
  <c r="E199" i="3" s="1"/>
  <c r="E198" i="3" a="1"/>
  <c r="E198" i="3" s="1"/>
  <c r="E197" i="3" a="1"/>
  <c r="E197" i="3" s="1"/>
  <c r="E196" i="3" a="1"/>
  <c r="E196" i="3" s="1"/>
  <c r="E195" i="3" a="1"/>
  <c r="E195" i="3" s="1"/>
  <c r="E194" i="3" a="1"/>
  <c r="E194" i="3" s="1"/>
  <c r="E193" i="3" a="1"/>
  <c r="E193" i="3" s="1"/>
  <c r="E192" i="3" a="1"/>
  <c r="E192" i="3" s="1"/>
  <c r="E191" i="3" a="1"/>
  <c r="E191" i="3" s="1"/>
  <c r="E190" i="3" a="1"/>
  <c r="E190" i="3" s="1"/>
  <c r="E189" i="3" a="1"/>
  <c r="E189" i="3" s="1"/>
  <c r="E188" i="3" a="1"/>
  <c r="E188" i="3" s="1"/>
  <c r="E187" i="3" a="1"/>
  <c r="E187" i="3" s="1"/>
  <c r="E186" i="3" a="1"/>
  <c r="E186" i="3" s="1"/>
  <c r="E185" i="3" a="1"/>
  <c r="E185" i="3" s="1"/>
  <c r="E184" i="3" a="1"/>
  <c r="E184" i="3" s="1"/>
  <c r="E183" i="3" a="1"/>
  <c r="E183" i="3" s="1"/>
  <c r="E182" i="3" a="1"/>
  <c r="E182" i="3" s="1"/>
  <c r="E181" i="3" a="1"/>
  <c r="E181" i="3" s="1"/>
  <c r="E180" i="3" a="1"/>
  <c r="E180" i="3" s="1"/>
  <c r="E179" i="3" a="1"/>
  <c r="E179" i="3" s="1"/>
  <c r="E178" i="3" a="1"/>
  <c r="E178" i="3" s="1"/>
  <c r="E177" i="3" a="1"/>
  <c r="E177" i="3" s="1"/>
  <c r="E176" i="3" a="1"/>
  <c r="E176" i="3" s="1"/>
  <c r="E175" i="3" a="1"/>
  <c r="E175" i="3" s="1"/>
  <c r="E174" i="3" a="1"/>
  <c r="E174" i="3" s="1"/>
  <c r="E173" i="3" a="1"/>
  <c r="E173" i="3" s="1"/>
  <c r="E172" i="3" a="1"/>
  <c r="E172" i="3" s="1"/>
  <c r="E171" i="3" a="1"/>
  <c r="E171" i="3" s="1"/>
  <c r="E170" i="3" a="1"/>
  <c r="E170" i="3" s="1"/>
  <c r="E169" i="3" a="1"/>
  <c r="E169" i="3" s="1"/>
  <c r="E168" i="3" a="1"/>
  <c r="E168" i="3" s="1"/>
  <c r="E167" i="3" a="1"/>
  <c r="E167" i="3" s="1"/>
  <c r="E166" i="3" a="1"/>
  <c r="E166" i="3" s="1"/>
  <c r="E165" i="3" a="1"/>
  <c r="E165" i="3" s="1"/>
  <c r="E164" i="3" a="1"/>
  <c r="E164" i="3" s="1"/>
  <c r="E163" i="3" a="1"/>
  <c r="E163" i="3" s="1"/>
  <c r="E162" i="3" a="1"/>
  <c r="E162" i="3" s="1"/>
  <c r="E161" i="3" a="1"/>
  <c r="E161" i="3" s="1"/>
  <c r="E160" i="3" a="1"/>
  <c r="E160" i="3" s="1"/>
  <c r="E159" i="3" a="1"/>
  <c r="E159" i="3" s="1"/>
  <c r="E158" i="3" a="1"/>
  <c r="E158" i="3" s="1"/>
  <c r="E157" i="3" a="1"/>
  <c r="E157" i="3" s="1"/>
  <c r="E156" i="3" a="1"/>
  <c r="E156" i="3" s="1"/>
  <c r="E155" i="3" a="1"/>
  <c r="E155" i="3" s="1"/>
  <c r="E154" i="3" a="1"/>
  <c r="E154" i="3" s="1"/>
  <c r="E153" i="3" a="1"/>
  <c r="E153" i="3" s="1"/>
  <c r="E152" i="3" a="1"/>
  <c r="E152" i="3" s="1"/>
  <c r="E151" i="3" a="1"/>
  <c r="E151" i="3" s="1"/>
  <c r="E150" i="3" a="1"/>
  <c r="E150" i="3" s="1"/>
  <c r="E149" i="3" a="1"/>
  <c r="E149" i="3" s="1"/>
  <c r="E148" i="3" a="1"/>
  <c r="E148" i="3" s="1"/>
  <c r="E147" i="3" a="1"/>
  <c r="E147" i="3" s="1"/>
  <c r="E146" i="3" a="1"/>
  <c r="E146" i="3" s="1"/>
  <c r="E145" i="3" a="1"/>
  <c r="E145" i="3" s="1"/>
  <c r="E144" i="3" a="1"/>
  <c r="E144" i="3" s="1"/>
  <c r="E143" i="3" a="1"/>
  <c r="E143" i="3" s="1"/>
  <c r="E142" i="3" a="1"/>
  <c r="E142" i="3" s="1"/>
  <c r="E141" i="3" a="1"/>
  <c r="E141" i="3" s="1"/>
  <c r="E140" i="3" a="1"/>
  <c r="E140" i="3" s="1"/>
  <c r="E139" i="3" a="1"/>
  <c r="E139" i="3" s="1"/>
  <c r="E138" i="3" a="1"/>
  <c r="E138" i="3" s="1"/>
  <c r="E137" i="3" a="1"/>
  <c r="E137" i="3" s="1"/>
  <c r="E136" i="3" a="1"/>
  <c r="E136" i="3" s="1"/>
  <c r="E135" i="3" a="1"/>
  <c r="E135" i="3" s="1"/>
  <c r="E134" i="3" a="1"/>
  <c r="E134" i="3" s="1"/>
  <c r="E133" i="3" a="1"/>
  <c r="E133" i="3" s="1"/>
  <c r="E132" i="3" a="1"/>
  <c r="E132" i="3" s="1"/>
  <c r="E131" i="3" a="1"/>
  <c r="E131" i="3" s="1"/>
  <c r="E130" i="3" a="1"/>
  <c r="E130" i="3" s="1"/>
  <c r="E129" i="3" a="1"/>
  <c r="E129" i="3" s="1"/>
  <c r="E128" i="3" a="1"/>
  <c r="E128" i="3" s="1"/>
  <c r="E127" i="3" a="1"/>
  <c r="E127" i="3" s="1"/>
  <c r="E126" i="3" a="1"/>
  <c r="E126" i="3" s="1"/>
  <c r="E125" i="3" a="1"/>
  <c r="E125" i="3" s="1"/>
  <c r="E124" i="3" a="1"/>
  <c r="E124" i="3" s="1"/>
  <c r="E123" i="3" a="1"/>
  <c r="E123" i="3" s="1"/>
  <c r="E122" i="3" a="1"/>
  <c r="E122" i="3" s="1"/>
  <c r="E121" i="3" a="1"/>
  <c r="E121" i="3" s="1"/>
  <c r="E120" i="3" a="1"/>
  <c r="E120" i="3" s="1"/>
  <c r="E119" i="3" a="1"/>
  <c r="E119" i="3" s="1"/>
  <c r="E118" i="3" a="1"/>
  <c r="E118" i="3" s="1"/>
  <c r="E117" i="3" a="1"/>
  <c r="E117" i="3" s="1"/>
  <c r="E116" i="3" a="1"/>
  <c r="E116" i="3" s="1"/>
  <c r="E115" i="3" a="1"/>
  <c r="E115" i="3" s="1"/>
  <c r="E114" i="3" a="1"/>
  <c r="E114" i="3" s="1"/>
  <c r="E113" i="3" a="1"/>
  <c r="E113" i="3" s="1"/>
  <c r="E112" i="3" a="1"/>
  <c r="E112" i="3" s="1"/>
  <c r="E111" i="3" a="1"/>
  <c r="E111" i="3" s="1"/>
  <c r="E110" i="3" a="1"/>
  <c r="E110" i="3" s="1"/>
  <c r="E109" i="3" a="1"/>
  <c r="E109" i="3" s="1"/>
  <c r="E108" i="3" a="1"/>
  <c r="E108" i="3" s="1"/>
  <c r="E107" i="3" a="1"/>
  <c r="E107" i="3" s="1"/>
  <c r="E106" i="3" a="1"/>
  <c r="E106" i="3" s="1"/>
  <c r="E105" i="3" a="1"/>
  <c r="E105" i="3" s="1"/>
  <c r="E104" i="3" a="1"/>
  <c r="E104" i="3" s="1"/>
  <c r="E103" i="3" a="1"/>
  <c r="E103" i="3" s="1"/>
  <c r="E102" i="3" a="1"/>
  <c r="E102" i="3" s="1"/>
  <c r="E101" i="3" a="1"/>
  <c r="E101" i="3" s="1"/>
  <c r="E100" i="3" a="1"/>
  <c r="E100" i="3" s="1"/>
  <c r="E99" i="3" a="1"/>
  <c r="E99" i="3" s="1"/>
  <c r="E98" i="3" a="1"/>
  <c r="E98" i="3" s="1"/>
  <c r="E97" i="3" a="1"/>
  <c r="E97" i="3" s="1"/>
  <c r="E96" i="3" a="1"/>
  <c r="E96" i="3" s="1"/>
  <c r="E95" i="3" a="1"/>
  <c r="E95" i="3" s="1"/>
  <c r="E94" i="3" a="1"/>
  <c r="E94" i="3" s="1"/>
  <c r="E93" i="3" a="1"/>
  <c r="E93" i="3" s="1"/>
  <c r="E92" i="3" a="1"/>
  <c r="E92" i="3" s="1"/>
  <c r="E91" i="3" a="1"/>
  <c r="E91" i="3" s="1"/>
  <c r="E90" i="3" a="1"/>
  <c r="E90" i="3" s="1"/>
  <c r="E89" i="3" a="1"/>
  <c r="E89" i="3" s="1"/>
  <c r="E88" i="3" a="1"/>
  <c r="E88" i="3" s="1"/>
  <c r="E87" i="3" a="1"/>
  <c r="E87" i="3" s="1"/>
  <c r="E86" i="3" a="1"/>
  <c r="E86" i="3" s="1"/>
  <c r="E85" i="3" a="1"/>
  <c r="E85" i="3" s="1"/>
  <c r="E84" i="3" a="1"/>
  <c r="E84" i="3" s="1"/>
  <c r="E83" i="3" a="1"/>
  <c r="E83" i="3" s="1"/>
  <c r="E82" i="3" a="1"/>
  <c r="E82" i="3" s="1"/>
  <c r="E81" i="3" a="1"/>
  <c r="E81" i="3" s="1"/>
  <c r="E80" i="3" a="1"/>
  <c r="E80" i="3" s="1"/>
  <c r="E79" i="3" a="1"/>
  <c r="E79" i="3" s="1"/>
  <c r="E78" i="3" a="1"/>
  <c r="E78" i="3" s="1"/>
  <c r="E77" i="3" a="1"/>
  <c r="E77" i="3" s="1"/>
  <c r="E76" i="3" a="1"/>
  <c r="E76" i="3" s="1"/>
  <c r="E75" i="3" a="1"/>
  <c r="E75" i="3" s="1"/>
  <c r="E74" i="3" a="1"/>
  <c r="E74" i="3" s="1"/>
  <c r="E73" i="3" a="1"/>
  <c r="E73" i="3" s="1"/>
  <c r="E72" i="3" a="1"/>
  <c r="E72" i="3" s="1"/>
  <c r="E71" i="3" a="1"/>
  <c r="E71" i="3" s="1"/>
  <c r="E70" i="3" a="1"/>
  <c r="E70" i="3" s="1"/>
  <c r="E69" i="3" a="1"/>
  <c r="E69" i="3" s="1"/>
  <c r="E68" i="3" a="1"/>
  <c r="E68" i="3" s="1"/>
  <c r="E67" i="3" a="1"/>
  <c r="E67" i="3" s="1"/>
  <c r="E66" i="3" a="1"/>
  <c r="E66" i="3" s="1"/>
  <c r="E65" i="3" a="1"/>
  <c r="E65" i="3" s="1"/>
  <c r="E64" i="3" a="1"/>
  <c r="E64" i="3" s="1"/>
  <c r="E63" i="3" a="1"/>
  <c r="E63" i="3" s="1"/>
  <c r="E62" i="3" a="1"/>
  <c r="E62" i="3" s="1"/>
  <c r="E61" i="3" a="1"/>
  <c r="E61" i="3" s="1"/>
  <c r="E60" i="3" a="1"/>
  <c r="E60" i="3" s="1"/>
  <c r="E59" i="3" a="1"/>
  <c r="E59" i="3" s="1"/>
  <c r="E58" i="3" a="1"/>
  <c r="E58" i="3" s="1"/>
  <c r="E57" i="3" a="1"/>
  <c r="E57" i="3" s="1"/>
  <c r="E56" i="3" a="1"/>
  <c r="E56" i="3" s="1"/>
  <c r="E55" i="3" a="1"/>
  <c r="E55" i="3" s="1"/>
  <c r="E54" i="3" a="1"/>
  <c r="E54" i="3" s="1"/>
  <c r="E53" i="3" a="1"/>
  <c r="E53" i="3" s="1"/>
  <c r="E52" i="3" a="1"/>
  <c r="E52" i="3" s="1"/>
  <c r="E51" i="3" a="1"/>
  <c r="E51" i="3" s="1"/>
  <c r="E50" i="3" a="1"/>
  <c r="E50" i="3" s="1"/>
  <c r="E49" i="3" a="1"/>
  <c r="E49" i="3" s="1"/>
  <c r="E48" i="3" a="1"/>
  <c r="E48" i="3" s="1"/>
  <c r="E47" i="3" a="1"/>
  <c r="E47" i="3" s="1"/>
  <c r="E46" i="3" a="1"/>
  <c r="E46" i="3" s="1"/>
  <c r="E45" i="3" a="1"/>
  <c r="E45" i="3" s="1"/>
  <c r="E44" i="3" a="1"/>
  <c r="E44" i="3" s="1"/>
  <c r="E43" i="3" a="1"/>
  <c r="E43" i="3" s="1"/>
  <c r="E42" i="3" a="1"/>
  <c r="E42" i="3" s="1"/>
  <c r="E41" i="3" a="1"/>
  <c r="E41" i="3" s="1"/>
  <c r="E40" i="3" a="1"/>
  <c r="E40" i="3" s="1"/>
  <c r="E39" i="3" a="1"/>
  <c r="E39" i="3" s="1"/>
  <c r="E38" i="3" a="1"/>
  <c r="E38" i="3" s="1"/>
  <c r="E37" i="3" a="1"/>
  <c r="E37" i="3" s="1"/>
  <c r="E36" i="3" a="1"/>
  <c r="E36" i="3" s="1"/>
  <c r="E35" i="3" a="1"/>
  <c r="E35" i="3" s="1"/>
  <c r="E34" i="3" a="1"/>
  <c r="E34" i="3" s="1"/>
  <c r="E33" i="3" a="1"/>
  <c r="E33" i="3" s="1"/>
  <c r="E32" i="3" a="1"/>
  <c r="E32" i="3" s="1"/>
  <c r="E31" i="3" a="1"/>
  <c r="E31" i="3" s="1"/>
  <c r="E30" i="3" a="1"/>
  <c r="E30" i="3" s="1"/>
  <c r="E29" i="3" a="1"/>
  <c r="E29" i="3" s="1"/>
  <c r="E28" i="3" a="1"/>
  <c r="E28" i="3" s="1"/>
  <c r="E27" i="3" a="1"/>
  <c r="E27" i="3" s="1"/>
  <c r="E26" i="3" a="1"/>
  <c r="E26" i="3" s="1"/>
  <c r="E25" i="3" a="1"/>
  <c r="E25" i="3" s="1"/>
  <c r="E24" i="3" a="1"/>
  <c r="E24" i="3" s="1"/>
  <c r="E23" i="3" a="1"/>
  <c r="E23" i="3" s="1"/>
  <c r="E22" i="3" a="1"/>
  <c r="E22" i="3" s="1"/>
  <c r="E21" i="3" a="1"/>
  <c r="E21" i="3" s="1"/>
  <c r="E20" i="3" a="1"/>
  <c r="E20" i="3" s="1"/>
  <c r="E19" i="3" a="1"/>
  <c r="E19" i="3" s="1"/>
  <c r="E18" i="3" a="1"/>
  <c r="E18" i="3" s="1"/>
  <c r="E17" i="3" a="1"/>
  <c r="E17" i="3" s="1"/>
  <c r="E16" i="3" a="1"/>
  <c r="E16" i="3" s="1"/>
  <c r="E15" i="3" a="1"/>
  <c r="E15" i="3" s="1"/>
  <c r="E14" i="3" a="1"/>
  <c r="E14" i="3" s="1"/>
  <c r="E13" i="3" a="1"/>
  <c r="E13" i="3" s="1"/>
  <c r="E12" i="3" a="1"/>
  <c r="E12" i="3" s="1"/>
  <c r="E11" i="3" a="1"/>
  <c r="E11" i="3" s="1"/>
  <c r="E10" i="3" a="1"/>
  <c r="E10" i="3" s="1"/>
  <c r="E9" i="3" a="1"/>
  <c r="E9" i="3" s="1"/>
  <c r="E8" i="3" a="1"/>
  <c r="E8" i="3" s="1"/>
  <c r="E7" i="3" a="1"/>
  <c r="E7" i="3" s="1"/>
  <c r="E6" i="3" a="1"/>
  <c r="E6" i="3" s="1"/>
  <c r="E5" i="3" a="1"/>
  <c r="E5" i="3" s="1"/>
  <c r="E4" i="3" a="1"/>
  <c r="E4" i="3" s="1"/>
  <c r="E3" i="3" a="1"/>
  <c r="E3" i="3" s="1"/>
  <c r="E2" i="3" a="1"/>
  <c r="E2" i="3" s="1"/>
  <c r="D579" i="3" a="1"/>
  <c r="D579" i="3" s="1"/>
  <c r="D578" i="3" a="1"/>
  <c r="D578" i="3" s="1"/>
  <c r="D577" i="3" a="1"/>
  <c r="D577" i="3" s="1"/>
  <c r="D576" i="3" a="1"/>
  <c r="D576" i="3" s="1"/>
  <c r="D575" i="3" a="1"/>
  <c r="D575" i="3" s="1"/>
  <c r="D574" i="3" a="1"/>
  <c r="D574" i="3" s="1"/>
  <c r="D573" i="3" a="1"/>
  <c r="D573" i="3" s="1"/>
  <c r="D572" i="3" a="1"/>
  <c r="D572" i="3" s="1"/>
  <c r="D571" i="3" a="1"/>
  <c r="D571" i="3" s="1"/>
  <c r="D570" i="3" a="1"/>
  <c r="D570" i="3" s="1"/>
  <c r="D569" i="3" a="1"/>
  <c r="D569" i="3" s="1"/>
  <c r="D568" i="3" a="1"/>
  <c r="D568" i="3" s="1"/>
  <c r="D567" i="3" a="1"/>
  <c r="D567" i="3" s="1"/>
  <c r="D566" i="3" a="1"/>
  <c r="D566" i="3" s="1"/>
  <c r="D565" i="3" a="1"/>
  <c r="D565" i="3" s="1"/>
  <c r="D564" i="3" a="1"/>
  <c r="D564" i="3" s="1"/>
  <c r="D563" i="3" a="1"/>
  <c r="D563" i="3" s="1"/>
  <c r="D562" i="3" a="1"/>
  <c r="D562" i="3" s="1"/>
  <c r="D561" i="3" a="1"/>
  <c r="D561" i="3" s="1"/>
  <c r="D560" i="3" a="1"/>
  <c r="D560" i="3" s="1"/>
  <c r="D559" i="3" a="1"/>
  <c r="D559" i="3" s="1"/>
  <c r="D558" i="3" a="1"/>
  <c r="D558" i="3" s="1"/>
  <c r="D557" i="3" a="1"/>
  <c r="D557" i="3" s="1"/>
  <c r="D555" i="3" a="1"/>
  <c r="D555" i="3" s="1"/>
  <c r="D554" i="3" a="1"/>
  <c r="D554" i="3" s="1"/>
  <c r="D553" i="3" a="1"/>
  <c r="D553" i="3" s="1"/>
  <c r="D552" i="3" a="1"/>
  <c r="D552" i="3" s="1"/>
  <c r="D551" i="3" a="1"/>
  <c r="D551" i="3" s="1"/>
  <c r="D550" i="3" a="1"/>
  <c r="D550" i="3" s="1"/>
  <c r="D549" i="3" a="1"/>
  <c r="D549" i="3" s="1"/>
  <c r="D548" i="3" a="1"/>
  <c r="D548" i="3" s="1"/>
  <c r="D547" i="3" a="1"/>
  <c r="D547" i="3" s="1"/>
  <c r="D546" i="3" a="1"/>
  <c r="D546" i="3" s="1"/>
  <c r="D545" i="3" a="1"/>
  <c r="D545" i="3" s="1"/>
  <c r="D544" i="3" a="1"/>
  <c r="D544" i="3" s="1"/>
  <c r="D543" i="3" a="1"/>
  <c r="D543" i="3" s="1"/>
  <c r="D542" i="3" a="1"/>
  <c r="D542" i="3" s="1"/>
  <c r="D541" i="3" a="1"/>
  <c r="D541" i="3" s="1"/>
  <c r="D540" i="3" a="1"/>
  <c r="D540" i="3" s="1"/>
  <c r="D539" i="3" a="1"/>
  <c r="D539" i="3" s="1"/>
  <c r="D538" i="3" a="1"/>
  <c r="D538" i="3" s="1"/>
  <c r="D537" i="3" a="1"/>
  <c r="D537" i="3" s="1"/>
  <c r="D536" i="3" a="1"/>
  <c r="D536" i="3" s="1"/>
  <c r="D535" i="3" a="1"/>
  <c r="D535" i="3" s="1"/>
  <c r="D534" i="3" a="1"/>
  <c r="D534" i="3" s="1"/>
  <c r="D533" i="3" a="1"/>
  <c r="D533" i="3" s="1"/>
  <c r="D532" i="3" a="1"/>
  <c r="D532" i="3" s="1"/>
  <c r="D531" i="3" a="1"/>
  <c r="D531" i="3" s="1"/>
  <c r="D530" i="3" a="1"/>
  <c r="D530" i="3" s="1"/>
  <c r="D529" i="3" a="1"/>
  <c r="D529" i="3" s="1"/>
  <c r="D528" i="3" a="1"/>
  <c r="D528" i="3" s="1"/>
  <c r="D527" i="3" a="1"/>
  <c r="D527" i="3" s="1"/>
  <c r="D526" i="3" a="1"/>
  <c r="D526" i="3" s="1"/>
  <c r="D525" i="3" a="1"/>
  <c r="D525" i="3" s="1"/>
  <c r="D524" i="3" a="1"/>
  <c r="D524" i="3" s="1"/>
  <c r="D523" i="3" a="1"/>
  <c r="D523" i="3" s="1"/>
  <c r="D522" i="3" a="1"/>
  <c r="D522" i="3" s="1"/>
  <c r="D521" i="3" a="1"/>
  <c r="D521" i="3" s="1"/>
  <c r="D520" i="3" a="1"/>
  <c r="D520" i="3" s="1"/>
  <c r="D519" i="3" a="1"/>
  <c r="D519" i="3" s="1"/>
  <c r="D518" i="3" a="1"/>
  <c r="D518" i="3" s="1"/>
  <c r="D517" i="3" a="1"/>
  <c r="D517" i="3" s="1"/>
  <c r="D516" i="3" a="1"/>
  <c r="D516" i="3" s="1"/>
  <c r="D515" i="3" a="1"/>
  <c r="D515" i="3" s="1"/>
  <c r="D514" i="3" a="1"/>
  <c r="D514" i="3" s="1"/>
  <c r="D513" i="3" a="1"/>
  <c r="D513" i="3" s="1"/>
  <c r="D512" i="3" a="1"/>
  <c r="D512" i="3" s="1"/>
  <c r="D511" i="3" a="1"/>
  <c r="D511" i="3" s="1"/>
  <c r="D510" i="3" a="1"/>
  <c r="D510" i="3" s="1"/>
  <c r="D509" i="3" a="1"/>
  <c r="D509" i="3" s="1"/>
  <c r="D508" i="3" a="1"/>
  <c r="D508" i="3" s="1"/>
  <c r="D507" i="3" a="1"/>
  <c r="D507" i="3" s="1"/>
  <c r="D506" i="3" a="1"/>
  <c r="D506" i="3" s="1"/>
  <c r="D505" i="3" a="1"/>
  <c r="D505" i="3" s="1"/>
  <c r="D504" i="3" a="1"/>
  <c r="D504" i="3" s="1"/>
  <c r="D503" i="3" a="1"/>
  <c r="D503" i="3" s="1"/>
  <c r="D502" i="3" a="1"/>
  <c r="D502" i="3" s="1"/>
  <c r="D501" i="3" a="1"/>
  <c r="D501" i="3" s="1"/>
  <c r="D500" i="3" a="1"/>
  <c r="D500" i="3" s="1"/>
  <c r="D499" i="3" a="1"/>
  <c r="D499" i="3" s="1"/>
  <c r="D498" i="3" a="1"/>
  <c r="D498" i="3" s="1"/>
  <c r="D497" i="3" a="1"/>
  <c r="D497" i="3" s="1"/>
  <c r="D496" i="3" a="1"/>
  <c r="D496" i="3" s="1"/>
  <c r="D495" i="3" a="1"/>
  <c r="D495" i="3" s="1"/>
  <c r="D494" i="3" a="1"/>
  <c r="D494" i="3" s="1"/>
  <c r="D493" i="3" a="1"/>
  <c r="D493" i="3" s="1"/>
  <c r="D492" i="3" a="1"/>
  <c r="D492" i="3" s="1"/>
  <c r="D491" i="3" a="1"/>
  <c r="D491" i="3" s="1"/>
  <c r="D490" i="3" a="1"/>
  <c r="D490" i="3" s="1"/>
  <c r="D489" i="3" a="1"/>
  <c r="D489" i="3" s="1"/>
  <c r="D488" i="3" a="1"/>
  <c r="D488" i="3" s="1"/>
  <c r="D487" i="3" a="1"/>
  <c r="D487" i="3" s="1"/>
  <c r="D486" i="3" a="1"/>
  <c r="D486" i="3" s="1"/>
  <c r="D485" i="3" a="1"/>
  <c r="D485" i="3" s="1"/>
  <c r="D484" i="3" a="1"/>
  <c r="D484" i="3" s="1"/>
  <c r="D483" i="3" a="1"/>
  <c r="D483" i="3" s="1"/>
  <c r="D482" i="3" a="1"/>
  <c r="D482" i="3" s="1"/>
  <c r="D481" i="3" a="1"/>
  <c r="D481" i="3" s="1"/>
  <c r="D480" i="3" a="1"/>
  <c r="D480" i="3" s="1"/>
  <c r="D479" i="3" a="1"/>
  <c r="D479" i="3" s="1"/>
  <c r="D478" i="3" a="1"/>
  <c r="D478" i="3" s="1"/>
  <c r="D477" i="3" a="1"/>
  <c r="D477" i="3" s="1"/>
  <c r="D476" i="3" a="1"/>
  <c r="D476" i="3" s="1"/>
  <c r="D475" i="3" a="1"/>
  <c r="D475" i="3" s="1"/>
  <c r="D474" i="3" a="1"/>
  <c r="D474" i="3" s="1"/>
  <c r="D473" i="3" a="1"/>
  <c r="D473" i="3" s="1"/>
  <c r="D472" i="3" a="1"/>
  <c r="D472" i="3" s="1"/>
  <c r="D471" i="3" a="1"/>
  <c r="D471" i="3" s="1"/>
  <c r="D470" i="3" a="1"/>
  <c r="D470" i="3" s="1"/>
  <c r="D469" i="3" a="1"/>
  <c r="D469" i="3" s="1"/>
  <c r="D468" i="3" a="1"/>
  <c r="D468" i="3" s="1"/>
  <c r="D467" i="3" a="1"/>
  <c r="D467" i="3" s="1"/>
  <c r="D466" i="3" a="1"/>
  <c r="D466" i="3" s="1"/>
  <c r="D465" i="3" a="1"/>
  <c r="D465" i="3" s="1"/>
  <c r="D464" i="3" a="1"/>
  <c r="D464" i="3" s="1"/>
  <c r="D463" i="3" a="1"/>
  <c r="D463" i="3" s="1"/>
  <c r="D462" i="3" a="1"/>
  <c r="D462" i="3" s="1"/>
  <c r="D461" i="3" a="1"/>
  <c r="D461" i="3" s="1"/>
  <c r="D460" i="3" a="1"/>
  <c r="D460" i="3" s="1"/>
  <c r="D459" i="3" a="1"/>
  <c r="D459" i="3" s="1"/>
  <c r="D458" i="3" a="1"/>
  <c r="D458" i="3" s="1"/>
  <c r="D457" i="3" a="1"/>
  <c r="D457" i="3" s="1"/>
  <c r="D456" i="3" a="1"/>
  <c r="D456" i="3" s="1"/>
  <c r="D455" i="3" a="1"/>
  <c r="D455" i="3" s="1"/>
  <c r="D454" i="3" a="1"/>
  <c r="D454" i="3" s="1"/>
  <c r="D453" i="3" a="1"/>
  <c r="D453" i="3" s="1"/>
  <c r="D452" i="3" a="1"/>
  <c r="D452" i="3" s="1"/>
  <c r="D451" i="3" a="1"/>
  <c r="D451" i="3" s="1"/>
  <c r="D450" i="3" a="1"/>
  <c r="D450" i="3" s="1"/>
  <c r="D449" i="3" a="1"/>
  <c r="D449" i="3" s="1"/>
  <c r="D448" i="3" a="1"/>
  <c r="D448" i="3" s="1"/>
  <c r="D447" i="3" a="1"/>
  <c r="D447" i="3" s="1"/>
  <c r="D446" i="3" a="1"/>
  <c r="D446" i="3" s="1"/>
  <c r="D445" i="3" a="1"/>
  <c r="D445" i="3" s="1"/>
  <c r="D444" i="3" a="1"/>
  <c r="D444" i="3" s="1"/>
  <c r="D443" i="3" a="1"/>
  <c r="D443" i="3" s="1"/>
  <c r="D442" i="3" a="1"/>
  <c r="D442" i="3" s="1"/>
  <c r="D441" i="3" a="1"/>
  <c r="D441" i="3" s="1"/>
  <c r="D440" i="3" a="1"/>
  <c r="D440" i="3" s="1"/>
  <c r="D439" i="3" a="1"/>
  <c r="D439" i="3" s="1"/>
  <c r="D438" i="3" a="1"/>
  <c r="D438" i="3" s="1"/>
  <c r="D437" i="3" a="1"/>
  <c r="D437" i="3" s="1"/>
  <c r="D436" i="3" a="1"/>
  <c r="D436" i="3" s="1"/>
  <c r="D435" i="3" a="1"/>
  <c r="D435" i="3" s="1"/>
  <c r="D434" i="3" a="1"/>
  <c r="D434" i="3" s="1"/>
  <c r="D433" i="3" a="1"/>
  <c r="D433" i="3" s="1"/>
  <c r="D432" i="3" a="1"/>
  <c r="D432" i="3" s="1"/>
  <c r="D431" i="3" a="1"/>
  <c r="D431" i="3" s="1"/>
  <c r="D430" i="3" a="1"/>
  <c r="D430" i="3" s="1"/>
  <c r="D429" i="3" a="1"/>
  <c r="D429" i="3" s="1"/>
  <c r="D428" i="3" a="1"/>
  <c r="D428" i="3" s="1"/>
  <c r="D427" i="3" a="1"/>
  <c r="D427" i="3" s="1"/>
  <c r="D426" i="3" a="1"/>
  <c r="D426" i="3" s="1"/>
  <c r="D425" i="3" a="1"/>
  <c r="D425" i="3" s="1"/>
  <c r="D424" i="3" a="1"/>
  <c r="D424" i="3" s="1"/>
  <c r="D423" i="3" a="1"/>
  <c r="D423" i="3" s="1"/>
  <c r="D422" i="3" a="1"/>
  <c r="D422" i="3" s="1"/>
  <c r="D421" i="3" a="1"/>
  <c r="D421" i="3" s="1"/>
  <c r="D420" i="3" a="1"/>
  <c r="D420" i="3" s="1"/>
  <c r="D419" i="3" a="1"/>
  <c r="D419" i="3" s="1"/>
  <c r="D418" i="3" a="1"/>
  <c r="D418" i="3" s="1"/>
  <c r="D417" i="3" a="1"/>
  <c r="D417" i="3" s="1"/>
  <c r="D416" i="3" a="1"/>
  <c r="D416" i="3" s="1"/>
  <c r="D415" i="3" a="1"/>
  <c r="D415" i="3" s="1"/>
  <c r="D414" i="3" a="1"/>
  <c r="D414" i="3" s="1"/>
  <c r="D413" i="3" a="1"/>
  <c r="D413" i="3" s="1"/>
  <c r="D412" i="3" a="1"/>
  <c r="D412" i="3" s="1"/>
  <c r="D411" i="3" a="1"/>
  <c r="D411" i="3" s="1"/>
  <c r="D410" i="3" a="1"/>
  <c r="D410" i="3" s="1"/>
  <c r="D409" i="3" a="1"/>
  <c r="D409" i="3" s="1"/>
  <c r="D408" i="3" a="1"/>
  <c r="D408" i="3" s="1"/>
  <c r="D407" i="3" a="1"/>
  <c r="D407" i="3" s="1"/>
  <c r="D406" i="3" a="1"/>
  <c r="D406" i="3" s="1"/>
  <c r="D405" i="3" a="1"/>
  <c r="D405" i="3" s="1"/>
  <c r="D404" i="3" a="1"/>
  <c r="D404" i="3" s="1"/>
  <c r="D403" i="3" a="1"/>
  <c r="D403" i="3" s="1"/>
  <c r="D402" i="3" a="1"/>
  <c r="D402" i="3" s="1"/>
  <c r="D401" i="3" a="1"/>
  <c r="D401" i="3" s="1"/>
  <c r="D400" i="3" a="1"/>
  <c r="D400" i="3" s="1"/>
  <c r="D399" i="3" a="1"/>
  <c r="D399" i="3" s="1"/>
  <c r="D398" i="3" a="1"/>
  <c r="D398" i="3" s="1"/>
  <c r="D397" i="3" a="1"/>
  <c r="D397" i="3" s="1"/>
  <c r="D396" i="3" a="1"/>
  <c r="D396" i="3" s="1"/>
  <c r="D395" i="3" a="1"/>
  <c r="D395" i="3" s="1"/>
  <c r="D394" i="3" a="1"/>
  <c r="D394" i="3" s="1"/>
  <c r="D393" i="3" a="1"/>
  <c r="D393" i="3" s="1"/>
  <c r="D392" i="3" a="1"/>
  <c r="D392" i="3" s="1"/>
  <c r="D391" i="3" a="1"/>
  <c r="D391" i="3" s="1"/>
  <c r="D390" i="3" a="1"/>
  <c r="D390" i="3" s="1"/>
  <c r="D389" i="3" a="1"/>
  <c r="D389" i="3" s="1"/>
  <c r="D388" i="3" a="1"/>
  <c r="D388" i="3" s="1"/>
  <c r="D387" i="3" a="1"/>
  <c r="D387" i="3" s="1"/>
  <c r="D386" i="3" a="1"/>
  <c r="D386" i="3" s="1"/>
  <c r="D385" i="3" a="1"/>
  <c r="D385" i="3" s="1"/>
  <c r="D384" i="3" a="1"/>
  <c r="D384" i="3" s="1"/>
  <c r="D383" i="3" a="1"/>
  <c r="D383" i="3" s="1"/>
  <c r="D382" i="3" a="1"/>
  <c r="D382" i="3" s="1"/>
  <c r="D381" i="3" a="1"/>
  <c r="D381" i="3" s="1"/>
  <c r="D380" i="3" a="1"/>
  <c r="D380" i="3" s="1"/>
  <c r="D379" i="3" a="1"/>
  <c r="D379" i="3" s="1"/>
  <c r="D378" i="3" a="1"/>
  <c r="D378" i="3" s="1"/>
  <c r="D377" i="3" a="1"/>
  <c r="D377" i="3" s="1"/>
  <c r="D376" i="3" a="1"/>
  <c r="D376" i="3" s="1"/>
  <c r="D375" i="3" a="1"/>
  <c r="D375" i="3" s="1"/>
  <c r="D374" i="3" a="1"/>
  <c r="D374" i="3" s="1"/>
  <c r="D373" i="3" a="1"/>
  <c r="D373" i="3" s="1"/>
  <c r="D372" i="3" a="1"/>
  <c r="D372" i="3" s="1"/>
  <c r="D371" i="3" a="1"/>
  <c r="D371" i="3" s="1"/>
  <c r="D370" i="3" a="1"/>
  <c r="D370" i="3" s="1"/>
  <c r="D369" i="3" a="1"/>
  <c r="D369" i="3" s="1"/>
  <c r="D368" i="3" a="1"/>
  <c r="D368" i="3" s="1"/>
  <c r="D367" i="3" a="1"/>
  <c r="D367" i="3" s="1"/>
  <c r="D366" i="3" a="1"/>
  <c r="D366" i="3" s="1"/>
  <c r="D365" i="3" a="1"/>
  <c r="D365" i="3" s="1"/>
  <c r="D364" i="3" a="1"/>
  <c r="D364" i="3" s="1"/>
  <c r="D363" i="3" a="1"/>
  <c r="D363" i="3" s="1"/>
  <c r="D362" i="3" a="1"/>
  <c r="D362" i="3" s="1"/>
  <c r="D361" i="3" a="1"/>
  <c r="D361" i="3" s="1"/>
  <c r="D360" i="3" a="1"/>
  <c r="D360" i="3" s="1"/>
  <c r="D359" i="3" a="1"/>
  <c r="D359" i="3" s="1"/>
  <c r="D358" i="3" a="1"/>
  <c r="D358" i="3" s="1"/>
  <c r="D357" i="3" a="1"/>
  <c r="D357" i="3" s="1"/>
  <c r="D356" i="3" a="1"/>
  <c r="D356" i="3" s="1"/>
  <c r="D355" i="3" a="1"/>
  <c r="D355" i="3" s="1"/>
  <c r="D354" i="3" a="1"/>
  <c r="D354" i="3" s="1"/>
  <c r="D353" i="3" a="1"/>
  <c r="D353" i="3" s="1"/>
  <c r="D352" i="3" a="1"/>
  <c r="D352" i="3" s="1"/>
  <c r="D351" i="3" a="1"/>
  <c r="D351" i="3" s="1"/>
  <c r="D350" i="3" a="1"/>
  <c r="D350" i="3" s="1"/>
  <c r="D349" i="3" a="1"/>
  <c r="D349" i="3" s="1"/>
  <c r="D348" i="3" a="1"/>
  <c r="D348" i="3" s="1"/>
  <c r="D347" i="3" a="1"/>
  <c r="D347" i="3" s="1"/>
  <c r="D346" i="3" a="1"/>
  <c r="D346" i="3" s="1"/>
  <c r="D345" i="3" a="1"/>
  <c r="D345" i="3" s="1"/>
  <c r="D344" i="3" a="1"/>
  <c r="D344" i="3" s="1"/>
  <c r="D343" i="3" a="1"/>
  <c r="D343" i="3" s="1"/>
  <c r="D342" i="3" a="1"/>
  <c r="D342" i="3" s="1"/>
  <c r="D341" i="3" a="1"/>
  <c r="D341" i="3" s="1"/>
  <c r="D340" i="3" a="1"/>
  <c r="D340" i="3" s="1"/>
  <c r="D339" i="3" a="1"/>
  <c r="D339" i="3" s="1"/>
  <c r="D338" i="3" a="1"/>
  <c r="D338" i="3" s="1"/>
  <c r="D337" i="3" a="1"/>
  <c r="D337" i="3" s="1"/>
  <c r="D336" i="3" a="1"/>
  <c r="D336" i="3" s="1"/>
  <c r="D335" i="3" a="1"/>
  <c r="D335" i="3" s="1"/>
  <c r="D334" i="3" a="1"/>
  <c r="D334" i="3" s="1"/>
  <c r="D333" i="3" a="1"/>
  <c r="D333" i="3" s="1"/>
  <c r="D332" i="3" a="1"/>
  <c r="D332" i="3" s="1"/>
  <c r="D331" i="3" a="1"/>
  <c r="D331" i="3" s="1"/>
  <c r="D330" i="3" a="1"/>
  <c r="D330" i="3" s="1"/>
  <c r="D329" i="3" a="1"/>
  <c r="D329" i="3" s="1"/>
  <c r="D328" i="3" a="1"/>
  <c r="D328" i="3" s="1"/>
  <c r="D327" i="3" a="1"/>
  <c r="D327" i="3" s="1"/>
  <c r="D326" i="3" a="1"/>
  <c r="D326" i="3" s="1"/>
  <c r="D325" i="3" a="1"/>
  <c r="D325" i="3" s="1"/>
  <c r="D324" i="3" a="1"/>
  <c r="D324" i="3" s="1"/>
  <c r="D323" i="3" a="1"/>
  <c r="D323" i="3" s="1"/>
  <c r="D322" i="3" a="1"/>
  <c r="D322" i="3" s="1"/>
  <c r="D321" i="3" a="1"/>
  <c r="D321" i="3" s="1"/>
  <c r="D320" i="3" a="1"/>
  <c r="D320" i="3" s="1"/>
  <c r="D319" i="3" a="1"/>
  <c r="D319" i="3" s="1"/>
  <c r="D318" i="3" a="1"/>
  <c r="D318" i="3" s="1"/>
  <c r="D317" i="3" a="1"/>
  <c r="D317" i="3" s="1"/>
  <c r="D316" i="3" a="1"/>
  <c r="D316" i="3" s="1"/>
  <c r="D315" i="3" a="1"/>
  <c r="D315" i="3" s="1"/>
  <c r="D314" i="3" a="1"/>
  <c r="D314" i="3" s="1"/>
  <c r="D313" i="3" a="1"/>
  <c r="D313" i="3" s="1"/>
  <c r="D312" i="3" a="1"/>
  <c r="D312" i="3" s="1"/>
  <c r="D311" i="3" a="1"/>
  <c r="D311" i="3" s="1"/>
  <c r="D310" i="3" a="1"/>
  <c r="D310" i="3" s="1"/>
  <c r="D309" i="3" a="1"/>
  <c r="D309" i="3" s="1"/>
  <c r="D308" i="3" a="1"/>
  <c r="D308" i="3" s="1"/>
  <c r="D307" i="3" a="1"/>
  <c r="D307" i="3" s="1"/>
  <c r="D306" i="3" a="1"/>
  <c r="D306" i="3" s="1"/>
  <c r="D305" i="3" a="1"/>
  <c r="D305" i="3" s="1"/>
  <c r="D304" i="3" a="1"/>
  <c r="D304" i="3" s="1"/>
  <c r="D303" i="3" a="1"/>
  <c r="D303" i="3" s="1"/>
  <c r="D302" i="3" a="1"/>
  <c r="D302" i="3" s="1"/>
  <c r="D301" i="3" a="1"/>
  <c r="D301" i="3" s="1"/>
  <c r="D300" i="3" a="1"/>
  <c r="D300" i="3" s="1"/>
  <c r="D299" i="3" a="1"/>
  <c r="D299" i="3" s="1"/>
  <c r="D298" i="3" a="1"/>
  <c r="D298" i="3" s="1"/>
  <c r="D297" i="3" a="1"/>
  <c r="D297" i="3" s="1"/>
  <c r="D296" i="3" a="1"/>
  <c r="D296" i="3" s="1"/>
  <c r="D295" i="3" a="1"/>
  <c r="D295" i="3" s="1"/>
  <c r="D294" i="3" a="1"/>
  <c r="D294" i="3" s="1"/>
  <c r="D293" i="3" a="1"/>
  <c r="D293" i="3" s="1"/>
  <c r="D292" i="3" a="1"/>
  <c r="D292" i="3" s="1"/>
  <c r="D291" i="3" a="1"/>
  <c r="D291" i="3" s="1"/>
  <c r="D290" i="3" a="1"/>
  <c r="D290" i="3" s="1"/>
  <c r="D289" i="3" a="1"/>
  <c r="D289" i="3" s="1"/>
  <c r="D288" i="3" a="1"/>
  <c r="D288" i="3" s="1"/>
  <c r="D287" i="3" a="1"/>
  <c r="D287" i="3" s="1"/>
  <c r="D286" i="3" a="1"/>
  <c r="D286" i="3" s="1"/>
  <c r="D285" i="3" a="1"/>
  <c r="D285" i="3" s="1"/>
  <c r="D284" i="3" a="1"/>
  <c r="D284" i="3" s="1"/>
  <c r="D283" i="3" a="1"/>
  <c r="D283" i="3" s="1"/>
  <c r="D282" i="3" a="1"/>
  <c r="D282" i="3" s="1"/>
  <c r="D281" i="3" a="1"/>
  <c r="D281" i="3" s="1"/>
  <c r="D280" i="3" a="1"/>
  <c r="D280" i="3" s="1"/>
  <c r="D279" i="3" a="1"/>
  <c r="D279" i="3" s="1"/>
  <c r="D278" i="3" a="1"/>
  <c r="D278" i="3" s="1"/>
  <c r="D277" i="3" a="1"/>
  <c r="D277" i="3" s="1"/>
  <c r="D276" i="3" a="1"/>
  <c r="D276" i="3" s="1"/>
  <c r="D275" i="3" a="1"/>
  <c r="D275" i="3" s="1"/>
  <c r="D274" i="3" a="1"/>
  <c r="D274" i="3" s="1"/>
  <c r="D273" i="3" a="1"/>
  <c r="D273" i="3" s="1"/>
  <c r="D272" i="3" a="1"/>
  <c r="D272" i="3" s="1"/>
  <c r="D271" i="3" a="1"/>
  <c r="D271" i="3" s="1"/>
  <c r="D270" i="3" a="1"/>
  <c r="D270" i="3" s="1"/>
  <c r="D269" i="3" a="1"/>
  <c r="D269" i="3" s="1"/>
  <c r="D268" i="3" a="1"/>
  <c r="D268" i="3" s="1"/>
  <c r="D267" i="3" a="1"/>
  <c r="D267" i="3" s="1"/>
  <c r="D266" i="3" a="1"/>
  <c r="D266" i="3" s="1"/>
  <c r="D265" i="3" a="1"/>
  <c r="D265" i="3" s="1"/>
  <c r="D264" i="3" a="1"/>
  <c r="D264" i="3" s="1"/>
  <c r="D263" i="3" a="1"/>
  <c r="D263" i="3" s="1"/>
  <c r="D262" i="3" a="1"/>
  <c r="D262" i="3" s="1"/>
  <c r="D261" i="3" a="1"/>
  <c r="D261" i="3" s="1"/>
  <c r="D260" i="3" a="1"/>
  <c r="D260" i="3" s="1"/>
  <c r="D259" i="3" a="1"/>
  <c r="D259" i="3" s="1"/>
  <c r="D258" i="3" a="1"/>
  <c r="D258" i="3" s="1"/>
  <c r="D257" i="3" a="1"/>
  <c r="D257" i="3" s="1"/>
  <c r="D256" i="3" a="1"/>
  <c r="D256" i="3" s="1"/>
  <c r="D255" i="3" a="1"/>
  <c r="D255" i="3" s="1"/>
  <c r="D254" i="3" a="1"/>
  <c r="D254" i="3" s="1"/>
  <c r="D253" i="3" a="1"/>
  <c r="D253" i="3" s="1"/>
  <c r="D252" i="3" a="1"/>
  <c r="D252" i="3" s="1"/>
  <c r="D251" i="3" a="1"/>
  <c r="D251" i="3" s="1"/>
  <c r="D250" i="3" a="1"/>
  <c r="D250" i="3" s="1"/>
  <c r="D249" i="3" a="1"/>
  <c r="D249" i="3" s="1"/>
  <c r="D248" i="3" a="1"/>
  <c r="D248" i="3" s="1"/>
  <c r="D247" i="3" a="1"/>
  <c r="D247" i="3" s="1"/>
  <c r="D246" i="3" a="1"/>
  <c r="D246" i="3" s="1"/>
  <c r="D245" i="3" a="1"/>
  <c r="D245" i="3" s="1"/>
  <c r="D244" i="3" a="1"/>
  <c r="D244" i="3" s="1"/>
  <c r="D243" i="3" a="1"/>
  <c r="D243" i="3" s="1"/>
  <c r="D242" i="3" a="1"/>
  <c r="D242" i="3" s="1"/>
  <c r="D241" i="3" a="1"/>
  <c r="D241" i="3" s="1"/>
  <c r="D240" i="3" a="1"/>
  <c r="D240" i="3" s="1"/>
  <c r="D239" i="3" a="1"/>
  <c r="D239" i="3" s="1"/>
  <c r="D238" i="3" a="1"/>
  <c r="D238" i="3" s="1"/>
  <c r="D237" i="3" a="1"/>
  <c r="D237" i="3" s="1"/>
  <c r="D236" i="3" a="1"/>
  <c r="D236" i="3" s="1"/>
  <c r="D235" i="3" a="1"/>
  <c r="D235" i="3" s="1"/>
  <c r="D234" i="3" a="1"/>
  <c r="D234" i="3" s="1"/>
  <c r="D233" i="3" a="1"/>
  <c r="D233" i="3" s="1"/>
  <c r="D232" i="3" a="1"/>
  <c r="D232" i="3" s="1"/>
  <c r="D231" i="3" a="1"/>
  <c r="D231" i="3" s="1"/>
  <c r="D230" i="3" a="1"/>
  <c r="D230" i="3" s="1"/>
  <c r="D229" i="3" a="1"/>
  <c r="D229" i="3" s="1"/>
  <c r="D228" i="3" a="1"/>
  <c r="D228" i="3" s="1"/>
  <c r="D227" i="3" a="1"/>
  <c r="D227" i="3" s="1"/>
  <c r="D226" i="3" a="1"/>
  <c r="D226" i="3" s="1"/>
  <c r="D225" i="3" a="1"/>
  <c r="D225" i="3" s="1"/>
  <c r="D224" i="3" a="1"/>
  <c r="D224" i="3" s="1"/>
  <c r="D223" i="3" a="1"/>
  <c r="D223" i="3" s="1"/>
  <c r="D222" i="3" a="1"/>
  <c r="D222" i="3" s="1"/>
  <c r="D221" i="3" a="1"/>
  <c r="D221" i="3" s="1"/>
  <c r="D220" i="3" a="1"/>
  <c r="D220" i="3" s="1"/>
  <c r="D219" i="3" a="1"/>
  <c r="D219" i="3" s="1"/>
  <c r="D218" i="3" a="1"/>
  <c r="D218" i="3" s="1"/>
  <c r="D217" i="3" a="1"/>
  <c r="D217" i="3" s="1"/>
  <c r="D216" i="3" a="1"/>
  <c r="D216" i="3" s="1"/>
  <c r="D215" i="3" a="1"/>
  <c r="D215" i="3" s="1"/>
  <c r="D214" i="3" a="1"/>
  <c r="D214" i="3" s="1"/>
  <c r="D213" i="3" a="1"/>
  <c r="D213" i="3" s="1"/>
  <c r="D212" i="3" a="1"/>
  <c r="D212" i="3" s="1"/>
  <c r="D211" i="3" a="1"/>
  <c r="D211" i="3" s="1"/>
  <c r="D210" i="3" a="1"/>
  <c r="D210" i="3" s="1"/>
  <c r="D209" i="3" a="1"/>
  <c r="D209" i="3" s="1"/>
  <c r="D208" i="3" a="1"/>
  <c r="D208" i="3" s="1"/>
  <c r="D207" i="3" a="1"/>
  <c r="D207" i="3" s="1"/>
  <c r="D206" i="3" a="1"/>
  <c r="D206" i="3" s="1"/>
  <c r="D205" i="3" a="1"/>
  <c r="D205" i="3" s="1"/>
  <c r="D204" i="3" a="1"/>
  <c r="D204" i="3" s="1"/>
  <c r="D203" i="3" a="1"/>
  <c r="D203" i="3" s="1"/>
  <c r="D202" i="3" a="1"/>
  <c r="D202" i="3" s="1"/>
  <c r="D201" i="3" a="1"/>
  <c r="D201" i="3" s="1"/>
  <c r="D200" i="3" a="1"/>
  <c r="D200" i="3" s="1"/>
  <c r="D199" i="3" a="1"/>
  <c r="D199" i="3" s="1"/>
  <c r="D198" i="3" a="1"/>
  <c r="D198" i="3" s="1"/>
  <c r="D197" i="3" a="1"/>
  <c r="D197" i="3" s="1"/>
  <c r="D196" i="3" a="1"/>
  <c r="D196" i="3" s="1"/>
  <c r="D195" i="3" a="1"/>
  <c r="D195" i="3" s="1"/>
  <c r="D194" i="3" a="1"/>
  <c r="D194" i="3" s="1"/>
  <c r="D193" i="3" a="1"/>
  <c r="D193" i="3" s="1"/>
  <c r="D192" i="3" a="1"/>
  <c r="D192" i="3" s="1"/>
  <c r="D191" i="3" a="1"/>
  <c r="D191" i="3" s="1"/>
  <c r="D190" i="3" a="1"/>
  <c r="D190" i="3" s="1"/>
  <c r="D189" i="3" a="1"/>
  <c r="D189" i="3" s="1"/>
  <c r="D188" i="3" a="1"/>
  <c r="D188" i="3" s="1"/>
  <c r="D187" i="3" a="1"/>
  <c r="D187" i="3" s="1"/>
  <c r="D186" i="3" a="1"/>
  <c r="D186" i="3" s="1"/>
  <c r="D185" i="3" a="1"/>
  <c r="D185" i="3" s="1"/>
  <c r="D184" i="3" a="1"/>
  <c r="D184" i="3" s="1"/>
  <c r="D183" i="3" a="1"/>
  <c r="D183" i="3" s="1"/>
  <c r="D182" i="3" a="1"/>
  <c r="D182" i="3" s="1"/>
  <c r="D181" i="3" a="1"/>
  <c r="D181" i="3" s="1"/>
  <c r="D180" i="3" a="1"/>
  <c r="D180" i="3" s="1"/>
  <c r="D179" i="3" a="1"/>
  <c r="D179" i="3" s="1"/>
  <c r="D178" i="3" a="1"/>
  <c r="D178" i="3" s="1"/>
  <c r="D177" i="3" a="1"/>
  <c r="D177" i="3" s="1"/>
  <c r="D176" i="3" a="1"/>
  <c r="D176" i="3" s="1"/>
  <c r="D175" i="3" a="1"/>
  <c r="D175" i="3" s="1"/>
  <c r="D174" i="3" a="1"/>
  <c r="D174" i="3" s="1"/>
  <c r="D173" i="3" a="1"/>
  <c r="D173" i="3" s="1"/>
  <c r="D172" i="3" a="1"/>
  <c r="D172" i="3" s="1"/>
  <c r="D171" i="3" a="1"/>
  <c r="D171" i="3" s="1"/>
  <c r="D170" i="3" a="1"/>
  <c r="D170" i="3" s="1"/>
  <c r="D169" i="3" a="1"/>
  <c r="D169" i="3" s="1"/>
  <c r="D168" i="3" a="1"/>
  <c r="D168" i="3" s="1"/>
  <c r="D167" i="3" a="1"/>
  <c r="D167" i="3" s="1"/>
  <c r="D166" i="3" a="1"/>
  <c r="D166" i="3" s="1"/>
  <c r="D165" i="3" a="1"/>
  <c r="D165" i="3" s="1"/>
  <c r="D164" i="3" a="1"/>
  <c r="D164" i="3" s="1"/>
  <c r="D163" i="3" a="1"/>
  <c r="D163" i="3" s="1"/>
  <c r="D162" i="3" a="1"/>
  <c r="D162" i="3" s="1"/>
  <c r="D161" i="3" a="1"/>
  <c r="D161" i="3" s="1"/>
  <c r="D160" i="3" a="1"/>
  <c r="D160" i="3" s="1"/>
  <c r="D159" i="3" a="1"/>
  <c r="D159" i="3" s="1"/>
  <c r="D158" i="3" a="1"/>
  <c r="D158" i="3" s="1"/>
  <c r="D157" i="3" a="1"/>
  <c r="D157" i="3" s="1"/>
  <c r="D156" i="3" a="1"/>
  <c r="D156" i="3" s="1"/>
  <c r="D155" i="3" a="1"/>
  <c r="D155" i="3" s="1"/>
  <c r="D154" i="3" a="1"/>
  <c r="D154" i="3" s="1"/>
  <c r="D153" i="3" a="1"/>
  <c r="D153" i="3" s="1"/>
  <c r="D152" i="3" a="1"/>
  <c r="D152" i="3" s="1"/>
  <c r="D151" i="3" a="1"/>
  <c r="D151" i="3" s="1"/>
  <c r="D150" i="3" a="1"/>
  <c r="D150" i="3" s="1"/>
  <c r="D149" i="3" a="1"/>
  <c r="D149" i="3" s="1"/>
  <c r="D148" i="3" a="1"/>
  <c r="D148" i="3" s="1"/>
  <c r="D147" i="3" a="1"/>
  <c r="D147" i="3" s="1"/>
  <c r="D146" i="3" a="1"/>
  <c r="D146" i="3" s="1"/>
  <c r="D145" i="3" a="1"/>
  <c r="D145" i="3" s="1"/>
  <c r="D144" i="3" a="1"/>
  <c r="D144" i="3" s="1"/>
  <c r="D143" i="3" a="1"/>
  <c r="D143" i="3" s="1"/>
  <c r="D142" i="3" a="1"/>
  <c r="D142" i="3" s="1"/>
  <c r="D141" i="3" a="1"/>
  <c r="D141" i="3" s="1"/>
  <c r="D140" i="3" a="1"/>
  <c r="D140" i="3" s="1"/>
  <c r="D139" i="3" a="1"/>
  <c r="D139" i="3" s="1"/>
  <c r="D138" i="3" a="1"/>
  <c r="D138" i="3" s="1"/>
  <c r="D137" i="3" a="1"/>
  <c r="D137" i="3" s="1"/>
  <c r="D136" i="3" a="1"/>
  <c r="D136" i="3" s="1"/>
  <c r="D135" i="3" a="1"/>
  <c r="D135" i="3" s="1"/>
  <c r="D134" i="3" a="1"/>
  <c r="D134" i="3" s="1"/>
  <c r="D133" i="3" a="1"/>
  <c r="D133" i="3" s="1"/>
  <c r="D132" i="3" a="1"/>
  <c r="D132" i="3" s="1"/>
  <c r="D131" i="3" a="1"/>
  <c r="D131" i="3" s="1"/>
  <c r="D130" i="3" a="1"/>
  <c r="D130" i="3" s="1"/>
  <c r="D129" i="3" a="1"/>
  <c r="D129" i="3" s="1"/>
  <c r="D128" i="3" a="1"/>
  <c r="D128" i="3" s="1"/>
  <c r="D127" i="3" a="1"/>
  <c r="D127" i="3" s="1"/>
  <c r="D126" i="3" a="1"/>
  <c r="D126" i="3" s="1"/>
  <c r="D125" i="3" a="1"/>
  <c r="D125" i="3" s="1"/>
  <c r="D124" i="3" a="1"/>
  <c r="D124" i="3" s="1"/>
  <c r="D123" i="3" a="1"/>
  <c r="D123" i="3" s="1"/>
  <c r="D122" i="3" a="1"/>
  <c r="D122" i="3" s="1"/>
  <c r="D121" i="3" a="1"/>
  <c r="D121" i="3" s="1"/>
  <c r="D120" i="3" a="1"/>
  <c r="D120" i="3" s="1"/>
  <c r="D119" i="3" a="1"/>
  <c r="D119" i="3" s="1"/>
  <c r="D118" i="3" a="1"/>
  <c r="D118" i="3" s="1"/>
  <c r="D117" i="3" a="1"/>
  <c r="D117" i="3" s="1"/>
  <c r="D116" i="3" a="1"/>
  <c r="D116" i="3" s="1"/>
  <c r="D115" i="3" a="1"/>
  <c r="D115" i="3" s="1"/>
  <c r="D114" i="3" a="1"/>
  <c r="D114" i="3" s="1"/>
  <c r="D113" i="3" a="1"/>
  <c r="D113" i="3" s="1"/>
  <c r="D112" i="3" a="1"/>
  <c r="D112" i="3" s="1"/>
  <c r="D111" i="3" a="1"/>
  <c r="D111" i="3" s="1"/>
  <c r="D110" i="3" a="1"/>
  <c r="D110" i="3" s="1"/>
  <c r="D109" i="3" a="1"/>
  <c r="D109" i="3" s="1"/>
  <c r="D108" i="3" a="1"/>
  <c r="D108" i="3" s="1"/>
  <c r="D107" i="3" a="1"/>
  <c r="D107" i="3" s="1"/>
  <c r="D106" i="3" a="1"/>
  <c r="D106" i="3" s="1"/>
  <c r="D105" i="3" a="1"/>
  <c r="D105" i="3" s="1"/>
  <c r="D104" i="3" a="1"/>
  <c r="D104" i="3" s="1"/>
  <c r="D103" i="3" a="1"/>
  <c r="D103" i="3" s="1"/>
  <c r="D102" i="3" a="1"/>
  <c r="D102" i="3" s="1"/>
  <c r="D101" i="3" a="1"/>
  <c r="D101" i="3" s="1"/>
  <c r="D100" i="3" a="1"/>
  <c r="D100" i="3" s="1"/>
  <c r="D99" i="3" a="1"/>
  <c r="D99" i="3" s="1"/>
  <c r="D98" i="3" a="1"/>
  <c r="D98" i="3" s="1"/>
  <c r="D97" i="3" a="1"/>
  <c r="D97" i="3" s="1"/>
  <c r="D96" i="3" a="1"/>
  <c r="D96" i="3" s="1"/>
  <c r="D95" i="3" a="1"/>
  <c r="D95" i="3" s="1"/>
  <c r="D94" i="3" a="1"/>
  <c r="D94" i="3" s="1"/>
  <c r="D93" i="3" a="1"/>
  <c r="D93" i="3" s="1"/>
  <c r="D92" i="3" a="1"/>
  <c r="D92" i="3" s="1"/>
  <c r="D91" i="3" a="1"/>
  <c r="D91" i="3" s="1"/>
  <c r="D90" i="3" a="1"/>
  <c r="D90" i="3" s="1"/>
  <c r="D89" i="3" a="1"/>
  <c r="D89" i="3" s="1"/>
  <c r="D88" i="3" a="1"/>
  <c r="D88" i="3" s="1"/>
  <c r="D87" i="3" a="1"/>
  <c r="D87" i="3" s="1"/>
  <c r="D86" i="3" a="1"/>
  <c r="D86" i="3" s="1"/>
  <c r="D85" i="3" a="1"/>
  <c r="D85" i="3" s="1"/>
  <c r="D84" i="3" a="1"/>
  <c r="D84" i="3" s="1"/>
  <c r="D83" i="3" a="1"/>
  <c r="D83" i="3" s="1"/>
  <c r="D82" i="3" a="1"/>
  <c r="D82" i="3" s="1"/>
  <c r="D81" i="3" a="1"/>
  <c r="D81" i="3" s="1"/>
  <c r="D80" i="3" a="1"/>
  <c r="D80" i="3" s="1"/>
  <c r="D79" i="3" a="1"/>
  <c r="D79" i="3" s="1"/>
  <c r="D78" i="3" a="1"/>
  <c r="D78" i="3" s="1"/>
  <c r="D77" i="3" a="1"/>
  <c r="D77" i="3" s="1"/>
  <c r="D76" i="3" a="1"/>
  <c r="D76" i="3" s="1"/>
  <c r="D75" i="3" a="1"/>
  <c r="D75" i="3" s="1"/>
  <c r="D74" i="3" a="1"/>
  <c r="D74" i="3" s="1"/>
  <c r="D73" i="3" a="1"/>
  <c r="D73" i="3" s="1"/>
  <c r="D72" i="3" a="1"/>
  <c r="D72" i="3" s="1"/>
  <c r="D71" i="3" a="1"/>
  <c r="D71" i="3" s="1"/>
  <c r="D70" i="3" a="1"/>
  <c r="D70" i="3" s="1"/>
  <c r="D69" i="3" a="1"/>
  <c r="D69" i="3" s="1"/>
  <c r="D68" i="3" a="1"/>
  <c r="D68" i="3" s="1"/>
  <c r="D67" i="3" a="1"/>
  <c r="D67" i="3" s="1"/>
  <c r="D66" i="3" a="1"/>
  <c r="D66" i="3" s="1"/>
  <c r="D65" i="3" a="1"/>
  <c r="D65" i="3" s="1"/>
  <c r="D64" i="3" a="1"/>
  <c r="D64" i="3" s="1"/>
  <c r="D63" i="3" a="1"/>
  <c r="D63" i="3" s="1"/>
  <c r="D62" i="3" a="1"/>
  <c r="D62" i="3" s="1"/>
  <c r="D61" i="3" a="1"/>
  <c r="D61" i="3" s="1"/>
  <c r="D60" i="3" a="1"/>
  <c r="D60" i="3" s="1"/>
  <c r="D59" i="3" a="1"/>
  <c r="D59" i="3" s="1"/>
  <c r="D58" i="3" a="1"/>
  <c r="D58" i="3" s="1"/>
  <c r="D57" i="3" a="1"/>
  <c r="D57" i="3" s="1"/>
  <c r="D56" i="3" a="1"/>
  <c r="D56" i="3" s="1"/>
  <c r="D55" i="3" a="1"/>
  <c r="D55" i="3" s="1"/>
  <c r="D54" i="3" a="1"/>
  <c r="D54" i="3" s="1"/>
  <c r="D53" i="3" a="1"/>
  <c r="D53" i="3" s="1"/>
  <c r="D52" i="3" a="1"/>
  <c r="D52" i="3" s="1"/>
  <c r="D51" i="3" a="1"/>
  <c r="D51" i="3" s="1"/>
  <c r="D50" i="3" a="1"/>
  <c r="D50" i="3" s="1"/>
  <c r="D49" i="3" a="1"/>
  <c r="D49" i="3" s="1"/>
  <c r="D48" i="3" a="1"/>
  <c r="D48" i="3" s="1"/>
  <c r="D47" i="3" a="1"/>
  <c r="D47" i="3" s="1"/>
  <c r="D46" i="3" a="1"/>
  <c r="D46" i="3" s="1"/>
  <c r="D45" i="3" a="1"/>
  <c r="D45" i="3" s="1"/>
  <c r="D44" i="3" a="1"/>
  <c r="D44" i="3" s="1"/>
  <c r="D43" i="3" a="1"/>
  <c r="D43" i="3" s="1"/>
  <c r="D42" i="3" a="1"/>
  <c r="D42" i="3" s="1"/>
  <c r="D41" i="3" a="1"/>
  <c r="D41" i="3" s="1"/>
  <c r="D40" i="3" a="1"/>
  <c r="D40" i="3" s="1"/>
  <c r="D39" i="3" a="1"/>
  <c r="D39" i="3" s="1"/>
  <c r="D38" i="3" a="1"/>
  <c r="D38" i="3" s="1"/>
  <c r="D37" i="3" a="1"/>
  <c r="D37" i="3" s="1"/>
  <c r="D36" i="3" a="1"/>
  <c r="D36" i="3" s="1"/>
  <c r="D35" i="3" a="1"/>
  <c r="D35" i="3" s="1"/>
  <c r="D34" i="3" a="1"/>
  <c r="D34" i="3" s="1"/>
  <c r="D33" i="3" a="1"/>
  <c r="D33" i="3" s="1"/>
  <c r="D32" i="3" a="1"/>
  <c r="D32" i="3" s="1"/>
  <c r="D31" i="3" a="1"/>
  <c r="D31" i="3" s="1"/>
  <c r="D30" i="3" a="1"/>
  <c r="D30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4" i="3" a="1"/>
  <c r="D24" i="3" s="1"/>
  <c r="D23" i="3" a="1"/>
  <c r="D23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D17" i="3" a="1"/>
  <c r="D17" i="3" s="1"/>
  <c r="D16" i="3" a="1"/>
  <c r="D16" i="3" s="1"/>
  <c r="D15" i="3" a="1"/>
  <c r="D15" i="3" s="1"/>
  <c r="D14" i="3" a="1"/>
  <c r="D14" i="3" s="1"/>
  <c r="D13" i="3" a="1"/>
  <c r="D13" i="3" s="1"/>
  <c r="D12" i="3" a="1"/>
  <c r="D12" i="3" s="1"/>
  <c r="D11" i="3" a="1"/>
  <c r="D11" i="3" s="1"/>
  <c r="D10" i="3" a="1"/>
  <c r="D10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" i="3" a="1"/>
  <c r="D2" i="3" s="1"/>
  <c r="C2" i="3" a="1"/>
  <c r="C2" i="3" s="1"/>
  <c r="C579" i="3" a="1"/>
  <c r="C579" i="3" s="1"/>
  <c r="C578" i="3" a="1"/>
  <c r="C578" i="3" s="1"/>
  <c r="C577" i="3" a="1"/>
  <c r="C577" i="3" s="1"/>
  <c r="C576" i="3" a="1"/>
  <c r="C576" i="3" s="1"/>
  <c r="C575" i="3" a="1"/>
  <c r="C575" i="3" s="1"/>
  <c r="C574" i="3" a="1"/>
  <c r="C574" i="3" s="1"/>
  <c r="C572" i="3" a="1"/>
  <c r="C572" i="3" s="1"/>
  <c r="C571" i="3" a="1"/>
  <c r="C571" i="3" s="1"/>
  <c r="C570" i="3" a="1"/>
  <c r="C570" i="3" s="1"/>
  <c r="C569" i="3" a="1"/>
  <c r="C569" i="3" s="1"/>
  <c r="C568" i="3" a="1"/>
  <c r="C568" i="3" s="1"/>
  <c r="C567" i="3" a="1"/>
  <c r="C567" i="3" s="1"/>
  <c r="C565" i="3" a="1"/>
  <c r="C565" i="3" s="1"/>
  <c r="C564" i="3" a="1"/>
  <c r="C564" i="3" s="1"/>
  <c r="C563" i="3" a="1"/>
  <c r="C563" i="3" s="1"/>
  <c r="C562" i="3" a="1"/>
  <c r="C562" i="3" s="1"/>
  <c r="C561" i="3" a="1"/>
  <c r="C561" i="3" s="1"/>
  <c r="C560" i="3" a="1"/>
  <c r="C560" i="3" s="1"/>
  <c r="C559" i="3" a="1"/>
  <c r="C559" i="3" s="1"/>
  <c r="C557" i="3" a="1"/>
  <c r="C557" i="3" s="1"/>
  <c r="C556" i="3" a="1"/>
  <c r="C556" i="3" s="1"/>
  <c r="C555" i="3" a="1"/>
  <c r="C555" i="3" s="1"/>
  <c r="C554" i="3" a="1"/>
  <c r="C554" i="3" s="1"/>
  <c r="C553" i="3" a="1"/>
  <c r="C553" i="3" s="1"/>
  <c r="C552" i="3" a="1"/>
  <c r="C552" i="3" s="1"/>
  <c r="C551" i="3" a="1"/>
  <c r="C551" i="3" s="1"/>
  <c r="C550" i="3" a="1"/>
  <c r="C550" i="3" s="1"/>
  <c r="C549" i="3" a="1"/>
  <c r="C549" i="3" s="1"/>
  <c r="C548" i="3" a="1"/>
  <c r="C548" i="3" s="1"/>
  <c r="C547" i="3" a="1"/>
  <c r="C547" i="3" s="1"/>
  <c r="C546" i="3" a="1"/>
  <c r="C546" i="3" s="1"/>
  <c r="C545" i="3" a="1"/>
  <c r="C545" i="3" s="1"/>
  <c r="C544" i="3" a="1"/>
  <c r="C544" i="3" s="1"/>
  <c r="C543" i="3" a="1"/>
  <c r="C543" i="3" s="1"/>
  <c r="C542" i="3" a="1"/>
  <c r="C542" i="3" s="1"/>
  <c r="C541" i="3" a="1"/>
  <c r="C541" i="3" s="1"/>
  <c r="C540" i="3" a="1"/>
  <c r="C540" i="3" s="1"/>
  <c r="C539" i="3" a="1"/>
  <c r="C539" i="3" s="1"/>
  <c r="C538" i="3" a="1"/>
  <c r="C538" i="3" s="1"/>
  <c r="C537" i="3" a="1"/>
  <c r="C537" i="3" s="1"/>
  <c r="C536" i="3" a="1"/>
  <c r="C536" i="3" s="1"/>
  <c r="C535" i="3" a="1"/>
  <c r="C535" i="3" s="1"/>
  <c r="C534" i="3" a="1"/>
  <c r="C534" i="3" s="1"/>
  <c r="C533" i="3" a="1"/>
  <c r="C533" i="3" s="1"/>
  <c r="C532" i="3" a="1"/>
  <c r="C532" i="3" s="1"/>
  <c r="C527" i="3" a="1"/>
  <c r="C527" i="3" s="1"/>
  <c r="C526" i="3" a="1"/>
  <c r="C526" i="3" s="1"/>
  <c r="C525" i="3" a="1"/>
  <c r="C525" i="3" s="1"/>
  <c r="C524" i="3" a="1"/>
  <c r="C524" i="3" s="1"/>
  <c r="C523" i="3" a="1"/>
  <c r="C523" i="3" s="1"/>
  <c r="C522" i="3" a="1"/>
  <c r="C522" i="3" s="1"/>
  <c r="C521" i="3" a="1"/>
  <c r="C521" i="3" s="1"/>
  <c r="C520" i="3" a="1"/>
  <c r="C520" i="3" s="1"/>
  <c r="C519" i="3" a="1"/>
  <c r="C519" i="3" s="1"/>
  <c r="C518" i="3" a="1"/>
  <c r="C518" i="3" s="1"/>
  <c r="C517" i="3" a="1"/>
  <c r="C517" i="3" s="1"/>
  <c r="C516" i="3" a="1"/>
  <c r="C516" i="3" s="1"/>
  <c r="C515" i="3" a="1"/>
  <c r="C515" i="3" s="1"/>
  <c r="C514" i="3" a="1"/>
  <c r="C514" i="3" s="1"/>
  <c r="C513" i="3" a="1"/>
  <c r="C513" i="3" s="1"/>
  <c r="C512" i="3" a="1"/>
  <c r="C512" i="3" s="1"/>
  <c r="C511" i="3" a="1"/>
  <c r="C511" i="3" s="1"/>
  <c r="C510" i="3" a="1"/>
  <c r="C510" i="3" s="1"/>
  <c r="C509" i="3" a="1"/>
  <c r="C509" i="3" s="1"/>
  <c r="C508" i="3" a="1"/>
  <c r="C508" i="3" s="1"/>
  <c r="C507" i="3" a="1"/>
  <c r="C507" i="3" s="1"/>
  <c r="C506" i="3" a="1"/>
  <c r="C506" i="3" s="1"/>
  <c r="C505" i="3" a="1"/>
  <c r="C505" i="3" s="1"/>
  <c r="C504" i="3" a="1"/>
  <c r="C504" i="3" s="1"/>
  <c r="C503" i="3" a="1"/>
  <c r="C503" i="3" s="1"/>
  <c r="C502" i="3" a="1"/>
  <c r="C502" i="3" s="1"/>
  <c r="C501" i="3" a="1"/>
  <c r="C501" i="3" s="1"/>
  <c r="C500" i="3" a="1"/>
  <c r="C500" i="3" s="1"/>
  <c r="C499" i="3" a="1"/>
  <c r="C499" i="3" s="1"/>
  <c r="C498" i="3" a="1"/>
  <c r="C498" i="3" s="1"/>
  <c r="C497" i="3" a="1"/>
  <c r="C497" i="3" s="1"/>
  <c r="C496" i="3" a="1"/>
  <c r="C496" i="3" s="1"/>
  <c r="C495" i="3" a="1"/>
  <c r="C495" i="3" s="1"/>
  <c r="C494" i="3" a="1"/>
  <c r="C494" i="3" s="1"/>
  <c r="C493" i="3" a="1"/>
  <c r="C493" i="3" s="1"/>
  <c r="C492" i="3" a="1"/>
  <c r="C492" i="3" s="1"/>
  <c r="C491" i="3" a="1"/>
  <c r="C491" i="3" s="1"/>
  <c r="C490" i="3" a="1"/>
  <c r="C490" i="3" s="1"/>
  <c r="C489" i="3" a="1"/>
  <c r="C489" i="3" s="1"/>
  <c r="C488" i="3" a="1"/>
  <c r="C488" i="3" s="1"/>
  <c r="C487" i="3" a="1"/>
  <c r="C487" i="3" s="1"/>
  <c r="C486" i="3" a="1"/>
  <c r="C486" i="3" s="1"/>
  <c r="C485" i="3" a="1"/>
  <c r="C485" i="3" s="1"/>
  <c r="C484" i="3" a="1"/>
  <c r="C484" i="3" s="1"/>
  <c r="C483" i="3" a="1"/>
  <c r="C483" i="3" s="1"/>
  <c r="C482" i="3" a="1"/>
  <c r="C482" i="3" s="1"/>
  <c r="C481" i="3" a="1"/>
  <c r="C481" i="3" s="1"/>
  <c r="C480" i="3" a="1"/>
  <c r="C480" i="3" s="1"/>
  <c r="C479" i="3" a="1"/>
  <c r="C479" i="3" s="1"/>
  <c r="C478" i="3" a="1"/>
  <c r="C478" i="3" s="1"/>
  <c r="C477" i="3" a="1"/>
  <c r="C477" i="3" s="1"/>
  <c r="C476" i="3" a="1"/>
  <c r="C476" i="3" s="1"/>
  <c r="C475" i="3" a="1"/>
  <c r="C475" i="3" s="1"/>
  <c r="C474" i="3" a="1"/>
  <c r="C474" i="3" s="1"/>
  <c r="C473" i="3" a="1"/>
  <c r="C473" i="3" s="1"/>
  <c r="C472" i="3" a="1"/>
  <c r="C472" i="3" s="1"/>
  <c r="C471" i="3" a="1"/>
  <c r="C471" i="3" s="1"/>
  <c r="C470" i="3" a="1"/>
  <c r="C470" i="3" s="1"/>
  <c r="C469" i="3" a="1"/>
  <c r="C469" i="3" s="1"/>
  <c r="C468" i="3" a="1"/>
  <c r="C468" i="3" s="1"/>
  <c r="C467" i="3" a="1"/>
  <c r="C467" i="3" s="1"/>
  <c r="C466" i="3" a="1"/>
  <c r="C466" i="3" s="1"/>
  <c r="C465" i="3" a="1"/>
  <c r="C465" i="3" s="1"/>
  <c r="C464" i="3" a="1"/>
  <c r="C464" i="3" s="1"/>
  <c r="C463" i="3" a="1"/>
  <c r="C463" i="3" s="1"/>
  <c r="C462" i="3" a="1"/>
  <c r="C462" i="3" s="1"/>
  <c r="C461" i="3" a="1"/>
  <c r="C461" i="3" s="1"/>
  <c r="C460" i="3" a="1"/>
  <c r="C460" i="3" s="1"/>
  <c r="C459" i="3" a="1"/>
  <c r="C459" i="3" s="1"/>
  <c r="C458" i="3" a="1"/>
  <c r="C458" i="3" s="1"/>
  <c r="C457" i="3" a="1"/>
  <c r="C457" i="3" s="1"/>
  <c r="C456" i="3" a="1"/>
  <c r="C456" i="3" s="1"/>
  <c r="C455" i="3" a="1"/>
  <c r="C455" i="3" s="1"/>
  <c r="C454" i="3" a="1"/>
  <c r="C454" i="3" s="1"/>
  <c r="C453" i="3" a="1"/>
  <c r="C453" i="3" s="1"/>
  <c r="C452" i="3" a="1"/>
  <c r="C452" i="3" s="1"/>
  <c r="C451" i="3" a="1"/>
  <c r="C451" i="3" s="1"/>
  <c r="C450" i="3" a="1"/>
  <c r="C450" i="3" s="1"/>
  <c r="C449" i="3" a="1"/>
  <c r="C449" i="3" s="1"/>
  <c r="C448" i="3" a="1"/>
  <c r="C448" i="3" s="1"/>
  <c r="C447" i="3" a="1"/>
  <c r="C447" i="3" s="1"/>
  <c r="C446" i="3" a="1"/>
  <c r="C446" i="3" s="1"/>
  <c r="C445" i="3" a="1"/>
  <c r="C445" i="3" s="1"/>
  <c r="C444" i="3" a="1"/>
  <c r="C444" i="3" s="1"/>
  <c r="C443" i="3" a="1"/>
  <c r="C443" i="3" s="1"/>
  <c r="C442" i="3" a="1"/>
  <c r="C442" i="3" s="1"/>
  <c r="C441" i="3" a="1"/>
  <c r="C441" i="3" s="1"/>
  <c r="C440" i="3" a="1"/>
  <c r="C440" i="3" s="1"/>
  <c r="C439" i="3" a="1"/>
  <c r="C439" i="3" s="1"/>
  <c r="C438" i="3" a="1"/>
  <c r="C438" i="3" s="1"/>
  <c r="C437" i="3" a="1"/>
  <c r="C437" i="3" s="1"/>
  <c r="C436" i="3" a="1"/>
  <c r="C436" i="3" s="1"/>
  <c r="C435" i="3" a="1"/>
  <c r="C435" i="3" s="1"/>
  <c r="C434" i="3" a="1"/>
  <c r="C434" i="3" s="1"/>
  <c r="C433" i="3" a="1"/>
  <c r="C433" i="3" s="1"/>
  <c r="C432" i="3" a="1"/>
  <c r="C432" i="3" s="1"/>
  <c r="C431" i="3" a="1"/>
  <c r="C431" i="3" s="1"/>
  <c r="C430" i="3" a="1"/>
  <c r="C430" i="3" s="1"/>
  <c r="C429" i="3" a="1"/>
  <c r="C429" i="3" s="1"/>
  <c r="C428" i="3" a="1"/>
  <c r="C428" i="3" s="1"/>
  <c r="C427" i="3" a="1"/>
  <c r="C427" i="3" s="1"/>
  <c r="C426" i="3" a="1"/>
  <c r="C426" i="3" s="1"/>
  <c r="C425" i="3" a="1"/>
  <c r="C425" i="3" s="1"/>
  <c r="C424" i="3" a="1"/>
  <c r="C424" i="3" s="1"/>
  <c r="C423" i="3" a="1"/>
  <c r="C423" i="3" s="1"/>
  <c r="C422" i="3" a="1"/>
  <c r="C422" i="3" s="1"/>
  <c r="C421" i="3" a="1"/>
  <c r="C421" i="3" s="1"/>
  <c r="C420" i="3" a="1"/>
  <c r="C420" i="3" s="1"/>
  <c r="C419" i="3" a="1"/>
  <c r="C419" i="3" s="1"/>
  <c r="C418" i="3" a="1"/>
  <c r="C418" i="3" s="1"/>
  <c r="C417" i="3" a="1"/>
  <c r="C417" i="3" s="1"/>
  <c r="C416" i="3" a="1"/>
  <c r="C416" i="3" s="1"/>
  <c r="C415" i="3" a="1"/>
  <c r="C415" i="3" s="1"/>
  <c r="C414" i="3" a="1"/>
  <c r="C414" i="3" s="1"/>
  <c r="C413" i="3" a="1"/>
  <c r="C413" i="3" s="1"/>
  <c r="C412" i="3" a="1"/>
  <c r="C412" i="3" s="1"/>
  <c r="C411" i="3" a="1"/>
  <c r="C411" i="3" s="1"/>
  <c r="C410" i="3" a="1"/>
  <c r="C410" i="3" s="1"/>
  <c r="C409" i="3" a="1"/>
  <c r="C409" i="3" s="1"/>
  <c r="C408" i="3" a="1"/>
  <c r="C408" i="3" s="1"/>
  <c r="C407" i="3" a="1"/>
  <c r="C407" i="3" s="1"/>
  <c r="C406" i="3" a="1"/>
  <c r="C406" i="3" s="1"/>
  <c r="C405" i="3" a="1"/>
  <c r="C405" i="3" s="1"/>
  <c r="C404" i="3" a="1"/>
  <c r="C404" i="3" s="1"/>
  <c r="C403" i="3" a="1"/>
  <c r="C403" i="3" s="1"/>
  <c r="C402" i="3" a="1"/>
  <c r="C402" i="3" s="1"/>
  <c r="C401" i="3" a="1"/>
  <c r="C401" i="3" s="1"/>
  <c r="C400" i="3" a="1"/>
  <c r="C400" i="3" s="1"/>
  <c r="C399" i="3" a="1"/>
  <c r="C399" i="3" s="1"/>
  <c r="C398" i="3" a="1"/>
  <c r="C398" i="3" s="1"/>
  <c r="C397" i="3" a="1"/>
  <c r="C397" i="3" s="1"/>
  <c r="C396" i="3" a="1"/>
  <c r="C396" i="3" s="1"/>
  <c r="C395" i="3" a="1"/>
  <c r="C395" i="3" s="1"/>
  <c r="C394" i="3" a="1"/>
  <c r="C394" i="3" s="1"/>
  <c r="C393" i="3" a="1"/>
  <c r="C393" i="3" s="1"/>
  <c r="C392" i="3" a="1"/>
  <c r="C392" i="3" s="1"/>
  <c r="C391" i="3" a="1"/>
  <c r="C391" i="3" s="1"/>
  <c r="C390" i="3" a="1"/>
  <c r="C390" i="3" s="1"/>
  <c r="C389" i="3" a="1"/>
  <c r="C389" i="3" s="1"/>
  <c r="C388" i="3" a="1"/>
  <c r="C388" i="3" s="1"/>
  <c r="C387" i="3" a="1"/>
  <c r="C387" i="3" s="1"/>
  <c r="C386" i="3" a="1"/>
  <c r="C386" i="3" s="1"/>
  <c r="C385" i="3" a="1"/>
  <c r="C385" i="3" s="1"/>
  <c r="C384" i="3" a="1"/>
  <c r="C384" i="3" s="1"/>
  <c r="C383" i="3" a="1"/>
  <c r="C383" i="3" s="1"/>
  <c r="C382" i="3" a="1"/>
  <c r="C382" i="3" s="1"/>
  <c r="C381" i="3" a="1"/>
  <c r="C381" i="3" s="1"/>
  <c r="C380" i="3" a="1"/>
  <c r="C380" i="3" s="1"/>
  <c r="C379" i="3" a="1"/>
  <c r="C379" i="3" s="1"/>
  <c r="C378" i="3" a="1"/>
  <c r="C378" i="3" s="1"/>
  <c r="C377" i="3" a="1"/>
  <c r="C377" i="3" s="1"/>
  <c r="C376" i="3" a="1"/>
  <c r="C376" i="3" s="1"/>
  <c r="C375" i="3" a="1"/>
  <c r="C375" i="3" s="1"/>
  <c r="C374" i="3" a="1"/>
  <c r="C374" i="3" s="1"/>
  <c r="C373" i="3" a="1"/>
  <c r="C373" i="3" s="1"/>
  <c r="C372" i="3" a="1"/>
  <c r="C372" i="3" s="1"/>
  <c r="C371" i="3" a="1"/>
  <c r="C371" i="3" s="1"/>
  <c r="C370" i="3" a="1"/>
  <c r="C370" i="3" s="1"/>
  <c r="C369" i="3" a="1"/>
  <c r="C369" i="3" s="1"/>
  <c r="C368" i="3" a="1"/>
  <c r="C368" i="3" s="1"/>
  <c r="C367" i="3" a="1"/>
  <c r="C367" i="3" s="1"/>
  <c r="C366" i="3" a="1"/>
  <c r="C366" i="3" s="1"/>
  <c r="C365" i="3" a="1"/>
  <c r="C365" i="3" s="1"/>
  <c r="C364" i="3" a="1"/>
  <c r="C364" i="3" s="1"/>
  <c r="C363" i="3" a="1"/>
  <c r="C363" i="3" s="1"/>
  <c r="C362" i="3" a="1"/>
  <c r="C362" i="3" s="1"/>
  <c r="C361" i="3" a="1"/>
  <c r="C361" i="3" s="1"/>
  <c r="C360" i="3" a="1"/>
  <c r="C360" i="3" s="1"/>
  <c r="C359" i="3" a="1"/>
  <c r="C359" i="3" s="1"/>
  <c r="C358" i="3" a="1"/>
  <c r="C358" i="3" s="1"/>
  <c r="C357" i="3" a="1"/>
  <c r="C357" i="3" s="1"/>
  <c r="C356" i="3" a="1"/>
  <c r="C356" i="3" s="1"/>
  <c r="C355" i="3" a="1"/>
  <c r="C355" i="3" s="1"/>
  <c r="C354" i="3" a="1"/>
  <c r="C354" i="3" s="1"/>
  <c r="C353" i="3" a="1"/>
  <c r="C353" i="3" s="1"/>
  <c r="C352" i="3" a="1"/>
  <c r="C352" i="3" s="1"/>
  <c r="C351" i="3" a="1"/>
  <c r="C351" i="3" s="1"/>
  <c r="C350" i="3" a="1"/>
  <c r="C350" i="3" s="1"/>
  <c r="C349" i="3" a="1"/>
  <c r="C349" i="3" s="1"/>
  <c r="C348" i="3" a="1"/>
  <c r="C348" i="3" s="1"/>
  <c r="C347" i="3" a="1"/>
  <c r="C347" i="3" s="1"/>
  <c r="C346" i="3" a="1"/>
  <c r="C346" i="3" s="1"/>
  <c r="C345" i="3" a="1"/>
  <c r="C345" i="3" s="1"/>
  <c r="C344" i="3" a="1"/>
  <c r="C344" i="3" s="1"/>
  <c r="C343" i="3" a="1"/>
  <c r="C343" i="3" s="1"/>
  <c r="C342" i="3" a="1"/>
  <c r="C342" i="3" s="1"/>
  <c r="C341" i="3" a="1"/>
  <c r="C341" i="3" s="1"/>
  <c r="C340" i="3" a="1"/>
  <c r="C340" i="3" s="1"/>
  <c r="C339" i="3" a="1"/>
  <c r="C339" i="3" s="1"/>
  <c r="C338" i="3" a="1"/>
  <c r="C338" i="3" s="1"/>
  <c r="C337" i="3" a="1"/>
  <c r="C337" i="3" s="1"/>
  <c r="C336" i="3" a="1"/>
  <c r="C336" i="3" s="1"/>
  <c r="C335" i="3" a="1"/>
  <c r="C335" i="3" s="1"/>
  <c r="C334" i="3" a="1"/>
  <c r="C334" i="3" s="1"/>
  <c r="C333" i="3" a="1"/>
  <c r="C333" i="3" s="1"/>
  <c r="C332" i="3" a="1"/>
  <c r="C332" i="3" s="1"/>
  <c r="C331" i="3" a="1"/>
  <c r="C331" i="3" s="1"/>
  <c r="C330" i="3" a="1"/>
  <c r="C330" i="3" s="1"/>
  <c r="C329" i="3" a="1"/>
  <c r="C329" i="3" s="1"/>
  <c r="C328" i="3" a="1"/>
  <c r="C328" i="3" s="1"/>
  <c r="C327" i="3" a="1"/>
  <c r="C327" i="3" s="1"/>
  <c r="C326" i="3" a="1"/>
  <c r="C326" i="3" s="1"/>
  <c r="C325" i="3" a="1"/>
  <c r="C325" i="3" s="1"/>
  <c r="C324" i="3" a="1"/>
  <c r="C324" i="3" s="1"/>
  <c r="C323" i="3" a="1"/>
  <c r="C323" i="3" s="1"/>
  <c r="C322" i="3" a="1"/>
  <c r="C322" i="3" s="1"/>
  <c r="C321" i="3" a="1"/>
  <c r="C321" i="3" s="1"/>
  <c r="C320" i="3" a="1"/>
  <c r="C320" i="3" s="1"/>
  <c r="C319" i="3" a="1"/>
  <c r="C319" i="3" s="1"/>
  <c r="C318" i="3" a="1"/>
  <c r="C318" i="3" s="1"/>
  <c r="C317" i="3" a="1"/>
  <c r="C317" i="3" s="1"/>
  <c r="C316" i="3" a="1"/>
  <c r="C316" i="3" s="1"/>
  <c r="C315" i="3" a="1"/>
  <c r="C315" i="3" s="1"/>
  <c r="C314" i="3" a="1"/>
  <c r="C314" i="3" s="1"/>
  <c r="C313" i="3" a="1"/>
  <c r="C313" i="3" s="1"/>
  <c r="C312" i="3" a="1"/>
  <c r="C312" i="3" s="1"/>
  <c r="C311" i="3" a="1"/>
  <c r="C311" i="3" s="1"/>
  <c r="C310" i="3" a="1"/>
  <c r="C310" i="3" s="1"/>
  <c r="C309" i="3" a="1"/>
  <c r="C309" i="3" s="1"/>
  <c r="C308" i="3" a="1"/>
  <c r="C308" i="3" s="1"/>
  <c r="C307" i="3" a="1"/>
  <c r="C307" i="3" s="1"/>
  <c r="C306" i="3" a="1"/>
  <c r="C306" i="3" s="1"/>
  <c r="C305" i="3" a="1"/>
  <c r="C305" i="3" s="1"/>
  <c r="C304" i="3" a="1"/>
  <c r="C304" i="3" s="1"/>
  <c r="C303" i="3" a="1"/>
  <c r="C303" i="3" s="1"/>
  <c r="C302" i="3" a="1"/>
  <c r="C302" i="3" s="1"/>
  <c r="C301" i="3" a="1"/>
  <c r="C301" i="3" s="1"/>
  <c r="C300" i="3" a="1"/>
  <c r="C300" i="3" s="1"/>
  <c r="C299" i="3" a="1"/>
  <c r="C299" i="3" s="1"/>
  <c r="C298" i="3" a="1"/>
  <c r="C298" i="3" s="1"/>
  <c r="C297" i="3" a="1"/>
  <c r="C297" i="3" s="1"/>
  <c r="C296" i="3" a="1"/>
  <c r="C296" i="3" s="1"/>
  <c r="C295" i="3" a="1"/>
  <c r="C295" i="3" s="1"/>
  <c r="C294" i="3" a="1"/>
  <c r="C294" i="3" s="1"/>
  <c r="C293" i="3" a="1"/>
  <c r="C293" i="3" s="1"/>
  <c r="C292" i="3" a="1"/>
  <c r="C292" i="3" s="1"/>
  <c r="C291" i="3" a="1"/>
  <c r="C291" i="3" s="1"/>
  <c r="C290" i="3" a="1"/>
  <c r="C290" i="3" s="1"/>
  <c r="C289" i="3" a="1"/>
  <c r="C289" i="3" s="1"/>
  <c r="C288" i="3" a="1"/>
  <c r="C288" i="3" s="1"/>
  <c r="C287" i="3" a="1"/>
  <c r="C287" i="3" s="1"/>
  <c r="C286" i="3" a="1"/>
  <c r="C286" i="3" s="1"/>
  <c r="C285" i="3" a="1"/>
  <c r="C285" i="3" s="1"/>
  <c r="C284" i="3" a="1"/>
  <c r="C284" i="3" s="1"/>
  <c r="C283" i="3" a="1"/>
  <c r="C283" i="3" s="1"/>
  <c r="C282" i="3" a="1"/>
  <c r="C282" i="3" s="1"/>
  <c r="C281" i="3" a="1"/>
  <c r="C281" i="3" s="1"/>
  <c r="C280" i="3" a="1"/>
  <c r="C280" i="3" s="1"/>
  <c r="C279" i="3" a="1"/>
  <c r="C279" i="3" s="1"/>
  <c r="C278" i="3" a="1"/>
  <c r="C278" i="3" s="1"/>
  <c r="C277" i="3" a="1"/>
  <c r="C277" i="3" s="1"/>
  <c r="C276" i="3" a="1"/>
  <c r="C276" i="3" s="1"/>
  <c r="C275" i="3" a="1"/>
  <c r="C275" i="3" s="1"/>
  <c r="C274" i="3" a="1"/>
  <c r="C274" i="3" s="1"/>
  <c r="C273" i="3" a="1"/>
  <c r="C273" i="3" s="1"/>
  <c r="C272" i="3" a="1"/>
  <c r="C272" i="3" s="1"/>
  <c r="C271" i="3" a="1"/>
  <c r="C271" i="3" s="1"/>
  <c r="C270" i="3" a="1"/>
  <c r="C270" i="3" s="1"/>
  <c r="C269" i="3" a="1"/>
  <c r="C269" i="3" s="1"/>
  <c r="C268" i="3" a="1"/>
  <c r="C268" i="3" s="1"/>
  <c r="C267" i="3" a="1"/>
  <c r="C267" i="3" s="1"/>
  <c r="C266" i="3" a="1"/>
  <c r="C266" i="3" s="1"/>
  <c r="C265" i="3" a="1"/>
  <c r="C265" i="3" s="1"/>
  <c r="C264" i="3" a="1"/>
  <c r="C264" i="3" s="1"/>
  <c r="C263" i="3" a="1"/>
  <c r="C263" i="3" s="1"/>
  <c r="C262" i="3" a="1"/>
  <c r="C262" i="3" s="1"/>
  <c r="C261" i="3" a="1"/>
  <c r="C261" i="3" s="1"/>
  <c r="C260" i="3" a="1"/>
  <c r="C260" i="3" s="1"/>
  <c r="C259" i="3" a="1"/>
  <c r="C259" i="3" s="1"/>
  <c r="C258" i="3" a="1"/>
  <c r="C258" i="3" s="1"/>
  <c r="C257" i="3" a="1"/>
  <c r="C257" i="3" s="1"/>
  <c r="C256" i="3" a="1"/>
  <c r="C256" i="3" s="1"/>
  <c r="C255" i="3" a="1"/>
  <c r="C255" i="3" s="1"/>
  <c r="C254" i="3" a="1"/>
  <c r="C254" i="3" s="1"/>
  <c r="C253" i="3" a="1"/>
  <c r="C253" i="3" s="1"/>
  <c r="C252" i="3" a="1"/>
  <c r="C252" i="3" s="1"/>
  <c r="C251" i="3" a="1"/>
  <c r="C251" i="3" s="1"/>
  <c r="C250" i="3" a="1"/>
  <c r="C250" i="3" s="1"/>
  <c r="C249" i="3" a="1"/>
  <c r="C249" i="3" s="1"/>
  <c r="C248" i="3" a="1"/>
  <c r="C248" i="3" s="1"/>
  <c r="C247" i="3" a="1"/>
  <c r="C247" i="3" s="1"/>
  <c r="C246" i="3" a="1"/>
  <c r="C246" i="3" s="1"/>
  <c r="C245" i="3" a="1"/>
  <c r="C245" i="3" s="1"/>
  <c r="C244" i="3" a="1"/>
  <c r="C244" i="3" s="1"/>
  <c r="C243" i="3" a="1"/>
  <c r="C243" i="3" s="1"/>
  <c r="C242" i="3" a="1"/>
  <c r="C242" i="3" s="1"/>
  <c r="C241" i="3" a="1"/>
  <c r="C241" i="3" s="1"/>
  <c r="C240" i="3" a="1"/>
  <c r="C240" i="3" s="1"/>
  <c r="C239" i="3" a="1"/>
  <c r="C239" i="3" s="1"/>
  <c r="C238" i="3" a="1"/>
  <c r="C238" i="3" s="1"/>
  <c r="C237" i="3" a="1"/>
  <c r="C237" i="3" s="1"/>
  <c r="C236" i="3" a="1"/>
  <c r="C236" i="3" s="1"/>
  <c r="C235" i="3" a="1"/>
  <c r="C235" i="3" s="1"/>
  <c r="C234" i="3" a="1"/>
  <c r="C234" i="3" s="1"/>
  <c r="C233" i="3" a="1"/>
  <c r="C233" i="3" s="1"/>
  <c r="C232" i="3" a="1"/>
  <c r="C232" i="3" s="1"/>
  <c r="C231" i="3" a="1"/>
  <c r="C231" i="3" s="1"/>
  <c r="C230" i="3" a="1"/>
  <c r="C230" i="3" s="1"/>
  <c r="C229" i="3" a="1"/>
  <c r="C229" i="3" s="1"/>
  <c r="C228" i="3" a="1"/>
  <c r="C228" i="3" s="1"/>
  <c r="C227" i="3" a="1"/>
  <c r="C227" i="3" s="1"/>
  <c r="C226" i="3" a="1"/>
  <c r="C226" i="3" s="1"/>
  <c r="C225" i="3" a="1"/>
  <c r="C225" i="3" s="1"/>
  <c r="C224" i="3" a="1"/>
  <c r="C224" i="3" s="1"/>
  <c r="C223" i="3" a="1"/>
  <c r="C223" i="3" s="1"/>
  <c r="C222" i="3" a="1"/>
  <c r="C222" i="3" s="1"/>
  <c r="C221" i="3" a="1"/>
  <c r="C221" i="3" s="1"/>
  <c r="C220" i="3" a="1"/>
  <c r="C220" i="3" s="1"/>
  <c r="C219" i="3" a="1"/>
  <c r="C219" i="3" s="1"/>
  <c r="C218" i="3" a="1"/>
  <c r="C218" i="3" s="1"/>
  <c r="C217" i="3" a="1"/>
  <c r="C217" i="3" s="1"/>
  <c r="C216" i="3" a="1"/>
  <c r="C216" i="3" s="1"/>
  <c r="C215" i="3" a="1"/>
  <c r="C215" i="3" s="1"/>
  <c r="C214" i="3" a="1"/>
  <c r="C214" i="3" s="1"/>
  <c r="C213" i="3" a="1"/>
  <c r="C213" i="3" s="1"/>
  <c r="C212" i="3" a="1"/>
  <c r="C212" i="3" s="1"/>
  <c r="C211" i="3" a="1"/>
  <c r="C211" i="3" s="1"/>
  <c r="C210" i="3" a="1"/>
  <c r="C210" i="3" s="1"/>
  <c r="C209" i="3" a="1"/>
  <c r="C209" i="3" s="1"/>
  <c r="C208" i="3" a="1"/>
  <c r="C208" i="3" s="1"/>
  <c r="C207" i="3" a="1"/>
  <c r="C207" i="3" s="1"/>
  <c r="C206" i="3" a="1"/>
  <c r="C206" i="3" s="1"/>
  <c r="C205" i="3" a="1"/>
  <c r="C205" i="3" s="1"/>
  <c r="C204" i="3" a="1"/>
  <c r="C204" i="3" s="1"/>
  <c r="C203" i="3" a="1"/>
  <c r="C203" i="3" s="1"/>
  <c r="C202" i="3" a="1"/>
  <c r="C202" i="3" s="1"/>
  <c r="C201" i="3" a="1"/>
  <c r="C201" i="3" s="1"/>
  <c r="C200" i="3" a="1"/>
  <c r="C200" i="3" s="1"/>
  <c r="C199" i="3" a="1"/>
  <c r="C199" i="3" s="1"/>
  <c r="C198" i="3" a="1"/>
  <c r="C198" i="3" s="1"/>
  <c r="C197" i="3" a="1"/>
  <c r="C197" i="3" s="1"/>
  <c r="C196" i="3" a="1"/>
  <c r="C196" i="3" s="1"/>
  <c r="C195" i="3" a="1"/>
  <c r="C195" i="3" s="1"/>
  <c r="C194" i="3" a="1"/>
  <c r="C194" i="3" s="1"/>
  <c r="C193" i="3" a="1"/>
  <c r="C193" i="3" s="1"/>
  <c r="C192" i="3" a="1"/>
  <c r="C192" i="3" s="1"/>
  <c r="C191" i="3" a="1"/>
  <c r="C191" i="3" s="1"/>
  <c r="C190" i="3" a="1"/>
  <c r="C190" i="3" s="1"/>
  <c r="C189" i="3" a="1"/>
  <c r="C189" i="3" s="1"/>
  <c r="C188" i="3" a="1"/>
  <c r="C188" i="3" s="1"/>
  <c r="C187" i="3" a="1"/>
  <c r="C187" i="3" s="1"/>
  <c r="C186" i="3" a="1"/>
  <c r="C186" i="3" s="1"/>
  <c r="C185" i="3" a="1"/>
  <c r="C185" i="3" s="1"/>
  <c r="C184" i="3" a="1"/>
  <c r="C184" i="3" s="1"/>
  <c r="C183" i="3" a="1"/>
  <c r="C183" i="3" s="1"/>
  <c r="C182" i="3" a="1"/>
  <c r="C182" i="3" s="1"/>
  <c r="C181" i="3" a="1"/>
  <c r="C181" i="3" s="1"/>
  <c r="C180" i="3" a="1"/>
  <c r="C180" i="3" s="1"/>
  <c r="C179" i="3" a="1"/>
  <c r="C179" i="3" s="1"/>
  <c r="C178" i="3" a="1"/>
  <c r="C178" i="3" s="1"/>
  <c r="C177" i="3" a="1"/>
  <c r="C177" i="3" s="1"/>
  <c r="C176" i="3" a="1"/>
  <c r="C176" i="3" s="1"/>
  <c r="C175" i="3" a="1"/>
  <c r="C175" i="3" s="1"/>
  <c r="C174" i="3" a="1"/>
  <c r="C174" i="3" s="1"/>
  <c r="C173" i="3" a="1"/>
  <c r="C173" i="3" s="1"/>
  <c r="C172" i="3" a="1"/>
  <c r="C172" i="3" s="1"/>
  <c r="C171" i="3" a="1"/>
  <c r="C171" i="3" s="1"/>
  <c r="C170" i="3" a="1"/>
  <c r="C170" i="3" s="1"/>
  <c r="C169" i="3" a="1"/>
  <c r="C169" i="3" s="1"/>
  <c r="C168" i="3" a="1"/>
  <c r="C168" i="3" s="1"/>
  <c r="C167" i="3" a="1"/>
  <c r="C167" i="3" s="1"/>
  <c r="C166" i="3" a="1"/>
  <c r="C166" i="3" s="1"/>
  <c r="C165" i="3" a="1"/>
  <c r="C165" i="3" s="1"/>
  <c r="C164" i="3" a="1"/>
  <c r="C164" i="3" s="1"/>
  <c r="C163" i="3" a="1"/>
  <c r="C163" i="3" s="1"/>
  <c r="C162" i="3" a="1"/>
  <c r="C162" i="3" s="1"/>
  <c r="C161" i="3" a="1"/>
  <c r="C161" i="3" s="1"/>
  <c r="C160" i="3" a="1"/>
  <c r="C160" i="3" s="1"/>
  <c r="C159" i="3" a="1"/>
  <c r="C159" i="3" s="1"/>
  <c r="C158" i="3" a="1"/>
  <c r="C158" i="3" s="1"/>
  <c r="C157" i="3" a="1"/>
  <c r="C157" i="3" s="1"/>
  <c r="C156" i="3" a="1"/>
  <c r="C156" i="3" s="1"/>
  <c r="C155" i="3" a="1"/>
  <c r="C155" i="3" s="1"/>
  <c r="C154" i="3" a="1"/>
  <c r="C154" i="3" s="1"/>
  <c r="C153" i="3" a="1"/>
  <c r="C153" i="3" s="1"/>
  <c r="C152" i="3" a="1"/>
  <c r="C152" i="3" s="1"/>
  <c r="C151" i="3" a="1"/>
  <c r="C151" i="3" s="1"/>
  <c r="C150" i="3" a="1"/>
  <c r="C150" i="3" s="1"/>
  <c r="C149" i="3" a="1"/>
  <c r="C149" i="3" s="1"/>
  <c r="C148" i="3" a="1"/>
  <c r="C148" i="3" s="1"/>
  <c r="C147" i="3" a="1"/>
  <c r="C147" i="3" s="1"/>
  <c r="C146" i="3" a="1"/>
  <c r="C146" i="3" s="1"/>
  <c r="C145" i="3" a="1"/>
  <c r="C145" i="3" s="1"/>
  <c r="C144" i="3" a="1"/>
  <c r="C144" i="3" s="1"/>
  <c r="C143" i="3" a="1"/>
  <c r="C143" i="3" s="1"/>
  <c r="C142" i="3" a="1"/>
  <c r="C142" i="3" s="1"/>
  <c r="C141" i="3" a="1"/>
  <c r="C141" i="3" s="1"/>
  <c r="C140" i="3" a="1"/>
  <c r="C140" i="3" s="1"/>
  <c r="C139" i="3" a="1"/>
  <c r="C139" i="3" s="1"/>
  <c r="C138" i="3" a="1"/>
  <c r="C138" i="3" s="1"/>
  <c r="C137" i="3" a="1"/>
  <c r="C137" i="3" s="1"/>
  <c r="C136" i="3" a="1"/>
  <c r="C136" i="3" s="1"/>
  <c r="C135" i="3" a="1"/>
  <c r="C135" i="3" s="1"/>
  <c r="C134" i="3" a="1"/>
  <c r="C134" i="3" s="1"/>
  <c r="C133" i="3" a="1"/>
  <c r="C133" i="3" s="1"/>
  <c r="C132" i="3" a="1"/>
  <c r="C132" i="3" s="1"/>
  <c r="C131" i="3" a="1"/>
  <c r="C131" i="3" s="1"/>
  <c r="C130" i="3" a="1"/>
  <c r="C130" i="3" s="1"/>
  <c r="C129" i="3" a="1"/>
  <c r="C129" i="3" s="1"/>
  <c r="C128" i="3" a="1"/>
  <c r="C128" i="3" s="1"/>
  <c r="C127" i="3" a="1"/>
  <c r="C127" i="3" s="1"/>
  <c r="C126" i="3" a="1"/>
  <c r="C126" i="3" s="1"/>
  <c r="C125" i="3" a="1"/>
  <c r="C125" i="3" s="1"/>
  <c r="C124" i="3" a="1"/>
  <c r="C124" i="3" s="1"/>
  <c r="C123" i="3" a="1"/>
  <c r="C123" i="3" s="1"/>
  <c r="C122" i="3" a="1"/>
  <c r="C122" i="3" s="1"/>
  <c r="C121" i="3" a="1"/>
  <c r="C121" i="3" s="1"/>
  <c r="C120" i="3" a="1"/>
  <c r="C120" i="3" s="1"/>
  <c r="C119" i="3" a="1"/>
  <c r="C119" i="3" s="1"/>
  <c r="C118" i="3" a="1"/>
  <c r="C118" i="3" s="1"/>
  <c r="C117" i="3" a="1"/>
  <c r="C117" i="3" s="1"/>
  <c r="C116" i="3" a="1"/>
  <c r="C116" i="3" s="1"/>
  <c r="C115" i="3" a="1"/>
  <c r="C115" i="3" s="1"/>
  <c r="C114" i="3" a="1"/>
  <c r="C114" i="3" s="1"/>
  <c r="C113" i="3" a="1"/>
  <c r="C113" i="3" s="1"/>
  <c r="C112" i="3" a="1"/>
  <c r="C112" i="3" s="1"/>
  <c r="C111" i="3" a="1"/>
  <c r="C111" i="3" s="1"/>
  <c r="C110" i="3" a="1"/>
  <c r="C110" i="3" s="1"/>
  <c r="C109" i="3" a="1"/>
  <c r="C109" i="3" s="1"/>
  <c r="C108" i="3" a="1"/>
  <c r="C108" i="3" s="1"/>
  <c r="C107" i="3" a="1"/>
  <c r="C107" i="3" s="1"/>
  <c r="C106" i="3" a="1"/>
  <c r="C106" i="3" s="1"/>
  <c r="C105" i="3" a="1"/>
  <c r="C105" i="3" s="1"/>
  <c r="C104" i="3" a="1"/>
  <c r="C104" i="3" s="1"/>
  <c r="C103" i="3" a="1"/>
  <c r="C103" i="3" s="1"/>
  <c r="C102" i="3" a="1"/>
  <c r="C102" i="3" s="1"/>
  <c r="C101" i="3" a="1"/>
  <c r="C101" i="3" s="1"/>
  <c r="C100" i="3" a="1"/>
  <c r="C100" i="3" s="1"/>
  <c r="C99" i="3" a="1"/>
  <c r="C99" i="3" s="1"/>
  <c r="C98" i="3" a="1"/>
  <c r="C98" i="3" s="1"/>
  <c r="C97" i="3" a="1"/>
  <c r="C97" i="3" s="1"/>
  <c r="C96" i="3" a="1"/>
  <c r="C96" i="3" s="1"/>
  <c r="C95" i="3" a="1"/>
  <c r="C95" i="3" s="1"/>
  <c r="C94" i="3" a="1"/>
  <c r="C94" i="3" s="1"/>
  <c r="C93" i="3" a="1"/>
  <c r="C93" i="3" s="1"/>
  <c r="C92" i="3" a="1"/>
  <c r="C92" i="3" s="1"/>
  <c r="C91" i="3" a="1"/>
  <c r="C91" i="3" s="1"/>
  <c r="C90" i="3" a="1"/>
  <c r="C90" i="3" s="1"/>
  <c r="C89" i="3" a="1"/>
  <c r="C89" i="3" s="1"/>
  <c r="C88" i="3" a="1"/>
  <c r="C88" i="3" s="1"/>
  <c r="C87" i="3" a="1"/>
  <c r="C87" i="3" s="1"/>
  <c r="C86" i="3" a="1"/>
  <c r="C86" i="3" s="1"/>
  <c r="C85" i="3" a="1"/>
  <c r="C85" i="3" s="1"/>
  <c r="C84" i="3" a="1"/>
  <c r="C84" i="3" s="1"/>
  <c r="C83" i="3" a="1"/>
  <c r="C83" i="3" s="1"/>
  <c r="C82" i="3" a="1"/>
  <c r="C82" i="3" s="1"/>
  <c r="C81" i="3" a="1"/>
  <c r="C81" i="3" s="1"/>
  <c r="C80" i="3" a="1"/>
  <c r="C80" i="3" s="1"/>
  <c r="C79" i="3" a="1"/>
  <c r="C79" i="3" s="1"/>
  <c r="C78" i="3" a="1"/>
  <c r="C78" i="3" s="1"/>
  <c r="C77" i="3" a="1"/>
  <c r="C77" i="3" s="1"/>
  <c r="C76" i="3" a="1"/>
  <c r="C76" i="3" s="1"/>
  <c r="C75" i="3" a="1"/>
  <c r="C75" i="3" s="1"/>
  <c r="C74" i="3" a="1"/>
  <c r="C74" i="3" s="1"/>
  <c r="C73" i="3" a="1"/>
  <c r="C73" i="3" s="1"/>
  <c r="C72" i="3" a="1"/>
  <c r="C72" i="3" s="1"/>
  <c r="C71" i="3" a="1"/>
  <c r="C71" i="3" s="1"/>
  <c r="C70" i="3" a="1"/>
  <c r="C70" i="3" s="1"/>
  <c r="C69" i="3" a="1"/>
  <c r="C69" i="3" s="1"/>
  <c r="C68" i="3" a="1"/>
  <c r="C68" i="3" s="1"/>
  <c r="C67" i="3" a="1"/>
  <c r="C67" i="3" s="1"/>
  <c r="C66" i="3" a="1"/>
  <c r="C66" i="3" s="1"/>
  <c r="C65" i="3" a="1"/>
  <c r="C65" i="3" s="1"/>
  <c r="C64" i="3" a="1"/>
  <c r="C64" i="3" s="1"/>
  <c r="C63" i="3" a="1"/>
  <c r="C63" i="3" s="1"/>
  <c r="C62" i="3" a="1"/>
  <c r="C62" i="3" s="1"/>
  <c r="C61" i="3" a="1"/>
  <c r="C61" i="3" s="1"/>
  <c r="C60" i="3" a="1"/>
  <c r="C60" i="3" s="1"/>
  <c r="C59" i="3" a="1"/>
  <c r="C59" i="3" s="1"/>
  <c r="C58" i="3" a="1"/>
  <c r="C58" i="3" s="1"/>
  <c r="C57" i="3" a="1"/>
  <c r="C57" i="3" s="1"/>
  <c r="C56" i="3" a="1"/>
  <c r="C56" i="3" s="1"/>
  <c r="C55" i="3" a="1"/>
  <c r="C55" i="3" s="1"/>
  <c r="C54" i="3" a="1"/>
  <c r="C54" i="3" s="1"/>
  <c r="C53" i="3" a="1"/>
  <c r="C53" i="3" s="1"/>
  <c r="C52" i="3" a="1"/>
  <c r="C52" i="3" s="1"/>
  <c r="C51" i="3" a="1"/>
  <c r="C51" i="3" s="1"/>
  <c r="C50" i="3" a="1"/>
  <c r="C50" i="3" s="1"/>
  <c r="C49" i="3" a="1"/>
  <c r="C49" i="3" s="1"/>
  <c r="C48" i="3" a="1"/>
  <c r="C48" i="3" s="1"/>
  <c r="C47" i="3" a="1"/>
  <c r="C47" i="3" s="1"/>
  <c r="C46" i="3" a="1"/>
  <c r="C46" i="3" s="1"/>
  <c r="C45" i="3" a="1"/>
  <c r="C45" i="3" s="1"/>
  <c r="C44" i="3" a="1"/>
  <c r="C44" i="3" s="1"/>
  <c r="C43" i="3" a="1"/>
  <c r="C43" i="3" s="1"/>
  <c r="C42" i="3" a="1"/>
  <c r="C42" i="3" s="1"/>
  <c r="C41" i="3" a="1"/>
  <c r="C41" i="3" s="1"/>
  <c r="C40" i="3" a="1"/>
  <c r="C40" i="3" s="1"/>
  <c r="C39" i="3" a="1"/>
  <c r="C39" i="3" s="1"/>
  <c r="C38" i="3" a="1"/>
  <c r="C38" i="3" s="1"/>
  <c r="C37" i="3" a="1"/>
  <c r="C37" i="3" s="1"/>
  <c r="C36" i="3" a="1"/>
  <c r="C36" i="3" s="1"/>
  <c r="C35" i="3" a="1"/>
  <c r="C35" i="3" s="1"/>
  <c r="C34" i="3" a="1"/>
  <c r="C34" i="3" s="1"/>
  <c r="C33" i="3" a="1"/>
  <c r="C33" i="3" s="1"/>
  <c r="C32" i="3" a="1"/>
  <c r="C32" i="3" s="1"/>
  <c r="C31" i="3" a="1"/>
  <c r="C31" i="3" s="1"/>
  <c r="C30" i="3" a="1"/>
  <c r="C30" i="3" s="1"/>
  <c r="C29" i="3" a="1"/>
  <c r="C29" i="3" s="1"/>
  <c r="C28" i="3" a="1"/>
  <c r="C28" i="3" s="1"/>
  <c r="C27" i="3" a="1"/>
  <c r="C27" i="3" s="1"/>
  <c r="C26" i="3" a="1"/>
  <c r="C26" i="3" s="1"/>
  <c r="C25" i="3" a="1"/>
  <c r="C25" i="3" s="1"/>
  <c r="C24" i="3" a="1"/>
  <c r="C24" i="3" s="1"/>
  <c r="C23" i="3" a="1"/>
  <c r="C23" i="3" s="1"/>
  <c r="C22" i="3" a="1"/>
  <c r="C22" i="3" s="1"/>
  <c r="C21" i="3" a="1"/>
  <c r="C21" i="3" s="1"/>
  <c r="C20" i="3" a="1"/>
  <c r="C20" i="3" s="1"/>
  <c r="C19" i="3" a="1"/>
  <c r="C19" i="3" s="1"/>
  <c r="C18" i="3" a="1"/>
  <c r="C18" i="3" s="1"/>
  <c r="C17" i="3" a="1"/>
  <c r="C17" i="3" s="1"/>
  <c r="C16" i="3" a="1"/>
  <c r="C16" i="3" s="1"/>
  <c r="C15" i="3" a="1"/>
  <c r="C15" i="3" s="1"/>
  <c r="C14" i="3" a="1"/>
  <c r="C14" i="3" s="1"/>
  <c r="C13" i="3" a="1"/>
  <c r="C13" i="3" s="1"/>
  <c r="C12" i="3" a="1"/>
  <c r="C12" i="3" s="1"/>
  <c r="C11" i="3" a="1"/>
  <c r="C11" i="3" s="1"/>
  <c r="C10" i="3" a="1"/>
  <c r="C10" i="3" s="1"/>
  <c r="C9" i="3" a="1"/>
  <c r="C9" i="3" s="1"/>
  <c r="C8" i="3" a="1"/>
  <c r="C8" i="3" s="1"/>
  <c r="C7" i="3" a="1"/>
  <c r="C7" i="3" s="1"/>
  <c r="C6" i="3" a="1"/>
  <c r="C6" i="3" s="1"/>
  <c r="C5" i="3" a="1"/>
  <c r="C5" i="3" s="1"/>
  <c r="C4" i="3" a="1"/>
  <c r="C4" i="3" s="1"/>
  <c r="C3" i="3" a="1"/>
  <c r="C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<sst xmlns="http://schemas.openxmlformats.org/spreadsheetml/2006/main" count="9995" uniqueCount="1185">
  <si>
    <t>Kabupaten Kota</t>
  </si>
  <si>
    <t>Latitude</t>
  </si>
  <si>
    <t>Longitude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</si>
  <si>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</si>
  <si>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</si>
  <si>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</si>
  <si>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</si>
  <si>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</si>
  <si>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</si>
  <si>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</si>
  <si>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</si>
  <si>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</si>
  <si>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</si>
  <si>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</si>
  <si>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</si>
  <si>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</si>
  <si>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</si>
  <si>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</si>
  <si>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</si>
  <si>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</si>
  <si>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</si>
  <si>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</si>
  <si>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</si>
  <si>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</si>
  <si>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</si>
  <si>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</si>
  <si>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</si>
  <si>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</si>
  <si>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</si>
  <si>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</si>
  <si>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</si>
  <si>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</si>
  <si>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</si>
  <si>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</si>
  <si>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</si>
  <si>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</si>
  <si>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</si>
  <si>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</si>
  <si>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</si>
  <si>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</si>
  <si>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</si>
  <si>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</si>
  <si>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</si>
  <si>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</si>
  <si>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</si>
  <si>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</si>
  <si>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</si>
  <si>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</si>
  <si>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</si>
  <si>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</si>
  <si>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</si>
  <si>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</si>
  <si>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</si>
  <si>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</si>
  <si>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</si>
  <si>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</si>
  <si>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</si>
  <si>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</si>
  <si>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</si>
  <si>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</si>
  <si>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</si>
  <si>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</si>
  <si>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</si>
  <si>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</si>
  <si>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</si>
  <si>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</si>
  <si>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</si>
  <si>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</si>
  <si>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</si>
  <si>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</si>
  <si>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</si>
  <si>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</si>
  <si>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</si>
  <si>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</si>
  <si>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</si>
  <si>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</si>
  <si>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</si>
  <si>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</si>
  <si>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</si>
  <si>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</si>
  <si>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</si>
  <si>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</si>
  <si>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</si>
  <si>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</si>
  <si>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</si>
  <si>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</si>
  <si>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</si>
  <si>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</si>
  <si>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</si>
  <si>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</si>
  <si>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</si>
  <si>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</si>
  <si>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</si>
  <si>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</si>
  <si>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</si>
  <si>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</si>
  <si>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</si>
  <si>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</si>
  <si>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</si>
  <si>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</si>
  <si>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</si>
  <si>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</si>
  <si>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</si>
  <si>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</si>
  <si>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</si>
  <si>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</si>
  <si>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</si>
  <si>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</si>
  <si>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</si>
  <si>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</si>
  <si>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</si>
  <si>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</si>
  <si>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</si>
  <si>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</si>
  <si>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</si>
  <si>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</si>
  <si>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</si>
  <si>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</si>
  <si>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</si>
  <si>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</si>
  <si>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</si>
  <si>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</si>
  <si>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</si>
  <si>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</si>
  <si>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</si>
  <si>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</si>
  <si>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</si>
  <si>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</si>
  <si>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</si>
  <si>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</si>
  <si>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</si>
  <si>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</si>
  <si>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</si>
  <si>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</si>
  <si>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</si>
  <si>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</si>
  <si>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</si>
  <si>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</si>
  <si>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</si>
  <si>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</si>
  <si>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</si>
  <si>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</si>
  <si>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</si>
  <si>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</si>
  <si>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</si>
  <si>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</si>
  <si>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</si>
  <si>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</si>
  <si>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</si>
  <si>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</si>
  <si>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</si>
  <si>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</si>
  <si>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</si>
  <si>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</si>
  <si>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</si>
  <si>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</si>
  <si>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</si>
  <si>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</si>
  <si>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</si>
  <si>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</si>
  <si>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</si>
  <si>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</si>
  <si>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</si>
  <si>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</si>
  <si>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</si>
  <si>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</si>
  <si>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</si>
  <si>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</si>
  <si>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</si>
  <si>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</si>
  <si>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</si>
  <si>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</si>
  <si>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</si>
  <si>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</si>
  <si>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</si>
  <si>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</si>
  <si>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</si>
  <si>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</si>
  <si>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</si>
  <si>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</si>
  <si>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</si>
  <si>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</si>
  <si>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</si>
  <si>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</si>
  <si>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</si>
  <si>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</si>
  <si>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</si>
  <si>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</si>
  <si>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</si>
  <si>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</si>
  <si>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</si>
  <si>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</si>
  <si>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</si>
  <si>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</si>
  <si>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</si>
  <si>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</si>
  <si>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</si>
  <si>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</si>
  <si>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</si>
  <si>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</si>
  <si>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</si>
  <si>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</si>
  <si>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</si>
  <si>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</si>
  <si>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</si>
  <si>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</si>
  <si>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</si>
  <si>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</si>
  <si>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</si>
  <si>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</si>
  <si>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</si>
  <si>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</si>
  <si>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</si>
  <si>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</si>
  <si>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</si>
  <si>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</si>
  <si>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</si>
  <si>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</si>
  <si>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</si>
  <si>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</si>
  <si>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</si>
  <si>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</si>
  <si>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</si>
  <si>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</si>
  <si>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</si>
  <si>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</si>
  <si>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</si>
  <si>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</si>
  <si>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</si>
  <si>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</si>
  <si>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</si>
  <si>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</si>
  <si>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</si>
  <si>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</si>
  <si>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</si>
  <si>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</si>
  <si>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</si>
  <si>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</si>
  <si>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</si>
  <si>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</si>
  <si>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</si>
  <si>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</si>
  <si>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</si>
  <si>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</si>
  <si>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</si>
  <si>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</si>
  <si>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</si>
  <si>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</si>
  <si>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</si>
  <si>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</si>
  <si>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</si>
  <si>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</si>
  <si>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</si>
  <si>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</si>
  <si>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</si>
  <si>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</si>
  <si>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</si>
  <si>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</si>
  <si>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</si>
  <si>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</si>
  <si>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</si>
  <si>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</si>
  <si>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</si>
  <si>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</si>
  <si>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</si>
  <si>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</si>
  <si>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</si>
  <si>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</si>
  <si>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</si>
  <si>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</si>
  <si>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</si>
  <si>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</si>
  <si>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</si>
  <si>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</si>
  <si>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</si>
  <si>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</si>
  <si>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</si>
  <si>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</si>
  <si>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</si>
  <si>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</si>
  <si>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</si>
  <si>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</si>
  <si>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</si>
  <si>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</si>
  <si>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</si>
  <si>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</si>
  <si>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</si>
  <si>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</si>
  <si>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</si>
  <si>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</si>
  <si>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</si>
  <si>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</si>
  <si>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</si>
  <si>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</si>
  <si>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</si>
  <si>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</si>
  <si>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</si>
  <si>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</si>
  <si>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</si>
  <si>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</si>
  <si>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</si>
  <si>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</si>
  <si>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</si>
  <si>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</si>
  <si>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</si>
  <si>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</si>
  <si>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</si>
  <si>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</si>
  <si>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</si>
  <si>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</si>
  <si>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</si>
  <si>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</si>
  <si>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</si>
  <si>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</si>
  <si>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</si>
  <si>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</si>
  <si>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</si>
  <si>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</si>
  <si>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</si>
  <si>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</si>
  <si>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</si>
  <si>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</si>
  <si>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</si>
  <si>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</si>
  <si>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</si>
  <si>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</si>
  <si>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</si>
  <si>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</si>
  <si>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</si>
  <si>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</si>
  <si>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</si>
  <si>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</si>
  <si>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</si>
  <si>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</si>
  <si>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</si>
  <si>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</si>
  <si>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</si>
  <si>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</si>
  <si>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</si>
  <si>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</si>
  <si>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</si>
  <si>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</si>
  <si>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</si>
  <si>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</si>
  <si>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</si>
  <si>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</si>
  <si>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</si>
  <si>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</si>
  <si>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</si>
  <si>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</si>
  <si>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</si>
  <si>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</si>
  <si>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</si>
  <si>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</si>
  <si>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</si>
  <si>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</si>
  <si>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</si>
  <si>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</si>
  <si>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</si>
  <si>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</si>
  <si>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</si>
  <si>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</si>
  <si>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</si>
  <si>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</si>
  <si>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</si>
  <si>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</si>
  <si>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</si>
  <si>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</si>
  <si>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</si>
  <si>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</si>
  <si>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</si>
  <si>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</si>
  <si>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</si>
  <si>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</si>
  <si>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</si>
  <si>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</si>
  <si>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</si>
  <si>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</si>
  <si>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</si>
  <si>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</si>
  <si>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</si>
  <si>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</si>
  <si>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</si>
  <si>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</si>
  <si>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</si>
  <si>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</si>
  <si>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</si>
  <si>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</si>
  <si>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</si>
  <si>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</si>
  <si>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</si>
  <si>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</si>
  <si>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</si>
  <si>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</si>
  <si>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</si>
  <si>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</si>
  <si>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</si>
  <si>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</si>
  <si>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</si>
  <si>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</si>
  <si>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</si>
  <si>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</si>
  <si>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</si>
  <si>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</si>
  <si>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</si>
  <si>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</si>
  <si>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</si>
  <si>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</si>
  <si>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</si>
  <si>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</si>
  <si>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</si>
  <si>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</si>
  <si>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</si>
  <si>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</si>
  <si>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</si>
  <si>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</si>
  <si>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</si>
  <si>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</si>
  <si>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</si>
  <si>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</si>
  <si>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</si>
  <si>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</si>
  <si>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</si>
  <si>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</si>
  <si>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</si>
  <si>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</si>
  <si>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</si>
  <si>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</si>
  <si>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</si>
  <si>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</si>
  <si>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</si>
  <si>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</si>
  <si>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</si>
  <si>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</si>
  <si>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</si>
  <si>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</si>
  <si>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</si>
  <si>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</si>
  <si>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</si>
  <si>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</si>
  <si>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</si>
  <si>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</si>
  <si>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</si>
  <si>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</si>
  <si>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</si>
  <si>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</si>
  <si>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</si>
  <si>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</si>
  <si>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</si>
  <si>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</si>
  <si>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</si>
  <si>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</si>
  <si>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</si>
  <si>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</si>
  <si>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</si>
  <si>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</si>
  <si>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</si>
  <si>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</si>
  <si>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</si>
  <si>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</si>
  <si>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</si>
  <si>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</si>
  <si>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</si>
  <si>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</si>
  <si>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</si>
  <si>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</si>
  <si>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</si>
  <si>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</si>
  <si>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</si>
  <si>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</si>
  <si>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</si>
  <si>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</si>
  <si>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</si>
  <si>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</si>
  <si>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</si>
  <si>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</si>
  <si>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</si>
  <si>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Tengah</t>
  </si>
  <si>
    <t>MALUKU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</si>
  <si>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</si>
  <si>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</si>
  <si>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</si>
  <si>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</si>
  <si>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</si>
  <si>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</si>
  <si>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</si>
  <si>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</si>
  <si>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</si>
  <si>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</si>
  <si>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</si>
  <si>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</si>
  <si>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</si>
  <si>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</si>
  <si>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</si>
  <si>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</si>
  <si>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</si>
  <si>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</si>
  <si>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</si>
  <si>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</si>
  <si>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</si>
  <si>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</si>
  <si>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</si>
  <si>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</si>
  <si>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</si>
  <si>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</si>
  <si>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</si>
  <si>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</si>
  <si>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</si>
  <si>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</si>
  <si>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</si>
  <si>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</si>
  <si>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</si>
  <si>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</si>
  <si>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</si>
  <si>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</si>
  <si>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</si>
  <si>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</si>
  <si>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</si>
  <si>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</si>
  <si>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</si>
  <si>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</si>
  <si>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</si>
  <si>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</si>
  <si>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</si>
  <si>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</si>
  <si>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</si>
  <si>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</si>
  <si>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</si>
  <si>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</si>
  <si>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</si>
  <si>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</si>
  <si>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</si>
  <si>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</si>
  <si>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</si>
  <si>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</si>
  <si>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</si>
  <si>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</si>
  <si>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</si>
  <si>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</si>
  <si>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</si>
  <si>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</si>
  <si>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</si>
  <si>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</si>
  <si>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</si>
  <si>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</si>
  <si>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</si>
  <si>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</si>
  <si>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PAPUA PEGUNUNGAN</t>
  </si>
  <si>
    <t>-</t>
  </si>
  <si>
    <t>INDONESIA</t>
  </si>
  <si>
    <t>IPG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</si>
  <si>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</si>
  <si>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</si>
  <si>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</si>
  <si>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</si>
  <si>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</si>
  <si>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</si>
  <si>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</si>
  <si>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</si>
  <si>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</si>
  <si>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</si>
  <si>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</si>
  <si>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</si>
  <si>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</si>
  <si>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</si>
  <si>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</si>
  <si>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</si>
  <si>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</si>
  <si>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</si>
  <si>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</si>
  <si>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</si>
  <si>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</si>
  <si>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</si>
  <si>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</si>
  <si>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</si>
  <si>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</si>
  <si>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</si>
  <si>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</si>
  <si>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</si>
  <si>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</si>
  <si>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</si>
  <si>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</si>
  <si>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</si>
  <si>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</si>
  <si>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</si>
  <si>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</si>
  <si>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</si>
  <si>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</si>
  <si>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</si>
  <si>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</si>
  <si>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</si>
  <si>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</si>
  <si>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</si>
  <si>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</si>
  <si>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</si>
  <si>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</si>
  <si>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</si>
  <si>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</si>
  <si>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</si>
  <si>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</si>
  <si>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</si>
  <si>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</si>
  <si>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</si>
  <si>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</si>
  <si>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</si>
  <si>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</si>
  <si>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</si>
  <si>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</si>
  <si>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</si>
  <si>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</si>
  <si>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</si>
  <si>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</si>
  <si>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</si>
  <si>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</si>
  <si>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</si>
  <si>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</si>
  <si>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</si>
  <si>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 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</si>
  <si>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</si>
  <si>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</si>
  <si>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</si>
  <si>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</si>
  <si>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</si>
  <si>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</si>
  <si>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</si>
  <si>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</si>
  <si>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</si>
  <si>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</si>
  <si>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</si>
  <si>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</si>
  <si>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</si>
  <si>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</si>
  <si>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</si>
  <si>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</si>
  <si>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</si>
  <si>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</si>
  <si>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</si>
  <si>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</si>
  <si>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</si>
  <si>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</si>
  <si>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</si>
  <si>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</si>
  <si>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</si>
  <si>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</si>
  <si>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</si>
  <si>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</si>
  <si>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</si>
  <si>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</si>
  <si>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</si>
  <si>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</si>
  <si>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</si>
  <si>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</si>
  <si>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</si>
  <si>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</si>
  <si>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</si>
  <si>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</si>
  <si>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</si>
  <si>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</si>
  <si>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</si>
  <si>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</si>
  <si>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</si>
  <si>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</si>
  <si>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</si>
  <si>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</si>
  <si>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</si>
  <si>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</si>
  <si>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</si>
  <si>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</si>
  <si>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</si>
  <si>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</si>
  <si>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</si>
  <si>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</si>
  <si>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</si>
  <si>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</si>
  <si>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</si>
  <si>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</si>
  <si>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</si>
  <si>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</si>
  <si>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</si>
  <si>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</si>
  <si>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</si>
  <si>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</si>
  <si>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</si>
  <si>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</si>
  <si>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</si>
  <si>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</si>
  <si>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</si>
  <si>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</si>
  <si>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</si>
  <si>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</si>
  <si>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</si>
  <si>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</si>
  <si>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</si>
  <si>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</si>
  <si>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</si>
  <si>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</si>
  <si>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</si>
  <si>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KEP.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</si>
  <si>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</si>
  <si>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</si>
  <si>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</si>
  <si>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</si>
  <si>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</si>
  <si>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</si>
  <si>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</si>
  <si>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</si>
  <si>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</si>
  <si>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</si>
  <si>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</si>
  <si>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</si>
  <si>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</si>
  <si>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</si>
  <si>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</si>
  <si>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</si>
  <si>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</si>
  <si>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</si>
  <si>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</si>
  <si>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</si>
  <si>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</si>
  <si>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</si>
  <si>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</si>
  <si>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</si>
  <si>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</si>
  <si>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</si>
  <si>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</si>
  <si>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</si>
  <si>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</si>
  <si>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</si>
  <si>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</si>
  <si>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</si>
  <si>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</si>
  <si>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</si>
  <si>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</si>
  <si>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</si>
  <si>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</si>
  <si>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</si>
  <si>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</si>
  <si>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</si>
  <si>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</si>
  <si>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</si>
  <si>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</si>
  <si>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</si>
  <si>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</si>
  <si>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</si>
  <si>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</si>
  <si>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</si>
  <si>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</si>
  <si>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</si>
  <si>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</si>
  <si>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</si>
  <si>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</si>
  <si>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</si>
  <si>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</si>
  <si>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</si>
  <si>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</si>
  <si>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</si>
  <si>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</si>
  <si>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</si>
  <si>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</si>
  <si>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</si>
  <si>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</si>
  <si>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</si>
  <si>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</si>
  <si>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</si>
  <si>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</si>
  <si>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</si>
  <si>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</si>
  <si>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</si>
  <si>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</si>
  <si>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</si>
  <si>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</si>
  <si>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</si>
  <si>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</si>
  <si>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</si>
  <si>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</si>
  <si>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</si>
  <si>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</si>
  <si>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</si>
  <si>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</si>
  <si>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</si>
  <si>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</si>
  <si>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</si>
  <si>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</si>
  <si>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</si>
  <si>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</si>
  <si>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</si>
  <si>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</si>
  <si>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</si>
  <si>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</si>
  <si>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</si>
  <si>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</si>
  <si>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</si>
  <si>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</si>
  <si>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</si>
  <si>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</si>
  <si>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</si>
  <si>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</si>
  <si>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</si>
  <si>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</si>
  <si>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</si>
  <si>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</si>
  <si>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</si>
  <si>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</si>
  <si>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</si>
  <si>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</si>
  <si>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</si>
  <si>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</si>
  <si>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</si>
  <si>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</si>
  <si>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</si>
  <si>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</si>
  <si>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</si>
  <si>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</si>
  <si>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</si>
  <si>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</si>
  <si>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</si>
  <si>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</si>
  <si>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</si>
  <si>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</si>
  <si>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</si>
  <si>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</si>
  <si>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</si>
  <si>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</si>
  <si>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</si>
  <si>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</si>
  <si>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</si>
  <si>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</si>
  <si>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</si>
  <si>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</si>
  <si>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</si>
  <si>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</si>
  <si>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</si>
  <si>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</si>
  <si>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</si>
  <si>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</si>
  <si>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</si>
  <si>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</si>
  <si>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</si>
  <si>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</si>
  <si>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</si>
  <si>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</si>
  <si>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</si>
  <si>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</si>
  <si>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</si>
  <si>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</si>
  <si>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</si>
  <si>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</si>
  <si>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</si>
  <si>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</si>
  <si>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</si>
  <si>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</si>
  <si>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</si>
  <si>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</si>
  <si>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</si>
  <si>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</si>
  <si>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</si>
  <si>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</si>
  <si>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</si>
  <si>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</si>
  <si>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</si>
  <si>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</si>
  <si>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</si>
  <si>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</si>
  <si>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</si>
  <si>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</si>
  <si>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</si>
  <si>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</si>
  <si>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</si>
  <si>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</si>
  <si>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</si>
  <si>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</si>
  <si>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</si>
  <si>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</si>
  <si>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</si>
  <si>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</si>
  <si>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</si>
  <si>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</si>
  <si>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</si>
  <si>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</si>
  <si>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</si>
  <si>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</si>
  <si>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</si>
  <si>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</si>
  <si>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</si>
  <si>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</si>
  <si>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</si>
  <si>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</si>
  <si>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</si>
  <si>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</si>
  <si>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</si>
  <si>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</si>
  <si>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</si>
  <si>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</si>
  <si>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</si>
  <si>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</si>
  <si>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</si>
  <si>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</si>
  <si>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</si>
  <si>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</si>
  <si>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</si>
  <si>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</si>
  <si>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PASIR</t>
  </si>
  <si>
    <t>KUTAI BARAT</t>
  </si>
  <si>
    <t>KUTAI KARTANEGARA</t>
  </si>
  <si>
    <t>KUTAI TIMUR</t>
  </si>
  <si>
    <t>BERAU</t>
  </si>
  <si>
    <t>MALINAU</t>
  </si>
  <si>
    <t>BULUNGAN</t>
  </si>
  <si>
    <t>NUNUKAN</t>
  </si>
  <si>
    <t>PENAJAM PASER UTARA</t>
  </si>
  <si>
    <t>TANA TIDUNG</t>
  </si>
  <si>
    <t>MAHAKAM ULU</t>
  </si>
  <si>
    <t>KOTA BALIKPAPAN</t>
  </si>
  <si>
    <t>KOTA SAMARINDA</t>
  </si>
  <si>
    <t>KOTA TARAKAN</t>
  </si>
  <si>
    <t>KOTA BONTANG</t>
  </si>
  <si>
    <t>BULONGAN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</si>
  <si>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</si>
  <si>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</si>
  <si>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</si>
  <si>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</si>
  <si>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</si>
  <si>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</si>
  <si>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</si>
  <si>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</si>
  <si>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</si>
  <si>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</si>
  <si>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</si>
  <si>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</si>
  <si>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</si>
  <si>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</si>
  <si>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</si>
  <si>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</si>
  <si>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</si>
  <si>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</si>
  <si>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</si>
  <si>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</si>
  <si>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</si>
  <si>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</si>
  <si>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</si>
  <si>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</si>
  <si>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</si>
  <si>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</si>
  <si>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</si>
  <si>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</si>
  <si>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</si>
  <si>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</si>
  <si>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</si>
  <si>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</si>
  <si>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</si>
  <si>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</si>
  <si>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</si>
  <si>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</si>
  <si>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</si>
  <si>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</si>
  <si>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</si>
  <si>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</si>
  <si>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</si>
  <si>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</si>
  <si>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</si>
  <si>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</si>
  <si>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</si>
  <si>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</si>
  <si>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</si>
  <si>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</si>
  <si>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</si>
  <si>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</si>
  <si>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PARE-PARE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</si>
  <si>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</si>
  <si>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</si>
  <si>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</si>
  <si>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</si>
  <si>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</si>
  <si>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</si>
  <si>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</si>
  <si>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</si>
  <si>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</si>
  <si>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</si>
  <si>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</si>
  <si>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</si>
  <si>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</si>
  <si>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</si>
  <si>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</si>
  <si>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</si>
  <si>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</si>
  <si>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BOALEMO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</si>
  <si>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</si>
  <si>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</si>
  <si>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</si>
  <si>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</si>
  <si>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</si>
  <si>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</si>
  <si>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</si>
  <si>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</si>
  <si>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</si>
  <si>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</si>
  <si>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</si>
  <si>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</si>
  <si>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</si>
  <si>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</si>
  <si>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</si>
  <si>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</si>
  <si>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</si>
  <si>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</si>
  <si>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</si>
  <si>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</si>
  <si>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</si>
  <si>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</si>
  <si>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</si>
  <si>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</si>
  <si>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</si>
  <si>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</si>
  <si>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</si>
  <si>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</si>
  <si>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</si>
  <si>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</si>
  <si>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</si>
  <si>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</si>
  <si>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</si>
  <si>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</si>
  <si>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</si>
  <si>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</si>
  <si>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</si>
  <si>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</si>
  <si>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</si>
  <si>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</si>
  <si>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</si>
  <si>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</si>
  <si>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</si>
  <si>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</si>
  <si>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</si>
  <si>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</si>
  <si>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</si>
  <si>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</si>
  <si>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</si>
  <si>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</si>
  <si>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</si>
  <si>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</si>
  <si>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</si>
  <si>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</si>
  <si>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</si>
  <si>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</si>
  <si>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</si>
  <si>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</si>
  <si>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</si>
  <si>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</si>
  <si>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</si>
  <si>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</si>
  <si>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</si>
  <si>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</si>
  <si>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</si>
  <si>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</si>
  <si>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</si>
  <si>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</si>
  <si>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</si>
  <si>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</si>
  <si>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</si>
  <si>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</si>
  <si>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</si>
  <si>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IKG</t>
  </si>
  <si>
    <t>IDG</t>
  </si>
  <si>
    <t>Keterlibatan Perempuan di Parlemen (Persen)</t>
  </si>
  <si>
    <t>Perempuan sebagai Tenaga Profesional (Persen)</t>
  </si>
  <si>
    <t>Maluku Tenggara Barat</t>
  </si>
  <si>
    <t>Mamuju Utara</t>
  </si>
  <si>
    <t>Kota Baru</t>
  </si>
  <si>
    <t>Toba Samosir</t>
  </si>
  <si>
    <t>Prevalensi Ketidakcukupan Konsumsi Pangan (Persen) Per Kabupaten/kota (Persen)</t>
  </si>
  <si>
    <t>Kabupaten/Kota</t>
  </si>
  <si>
    <t>Proporsi Perempuan Pernah Kawin 15-49 tahun yang Melahirkan Anak Lahir Hidup Yang Pertama Kali Berumur Kurang dari 20 tahun Menurut Kabupaten/Kota</t>
  </si>
  <si>
    <t>Sumbangan Pendapatan Perempuan (Persen)</t>
  </si>
  <si>
    <t>Provinsi/Kabupaten/Kota</t>
  </si>
  <si>
    <t>Angka Kelahiran Total</t>
  </si>
  <si>
    <t>TULANG BAWANG BARAT</t>
  </si>
  <si>
    <t>KOTA JAKARTA SELATAN</t>
  </si>
  <si>
    <t>KOTA JAKARTA TIMUR</t>
  </si>
  <si>
    <t>KOTA JAKARTA PUSAT</t>
  </si>
  <si>
    <t>KOTA JAKARTA BARAT</t>
  </si>
  <si>
    <t>KOTA JAKARTA UTARA</t>
  </si>
  <si>
    <t>KARANGASEM</t>
  </si>
  <si>
    <t>MEMPAWAH</t>
  </si>
  <si>
    <t>KOTA BAUBAU</t>
  </si>
  <si>
    <t>PASANGKAYU</t>
  </si>
  <si>
    <t>KEPULAUAN TANIMBAR</t>
  </si>
  <si>
    <t>Dharmas raya</t>
  </si>
  <si>
    <t>Kepulauan Seribu</t>
  </si>
  <si>
    <t>Mampawah</t>
  </si>
  <si>
    <t>Kota baru</t>
  </si>
  <si>
    <t>Pasir</t>
  </si>
  <si>
    <t>Kota Makassar</t>
  </si>
  <si>
    <t>Kota Pare-pare</t>
  </si>
  <si>
    <t>KOTA PADANGSIDiMPUAN</t>
  </si>
  <si>
    <t>Filter</t>
  </si>
  <si>
    <t>Indeks Pembangunan Gender</t>
  </si>
  <si>
    <t>Indeks Perdayaan Gender</t>
  </si>
  <si>
    <t>Indeks Ketimpangan Gender</t>
  </si>
  <si>
    <t>Wpar</t>
  </si>
  <si>
    <t>Wwork</t>
  </si>
  <si>
    <t>Unourish</t>
  </si>
  <si>
    <t>Childbirth</t>
  </si>
  <si>
    <t>Wsumbang</t>
  </si>
  <si>
    <t>TFR</t>
  </si>
  <si>
    <t>Melahirkan Anak Lahir Hidup Yang Pertama Kali Berumur Kurang dari 20 tahun</t>
  </si>
  <si>
    <t>NAMA DAERAH</t>
  </si>
  <si>
    <t>DAUPendidikan</t>
  </si>
  <si>
    <t>DAUKesehatan</t>
  </si>
  <si>
    <t>DAUPekerjaanumum</t>
  </si>
  <si>
    <t>Kota Palangkaraya</t>
  </si>
  <si>
    <t>Aceh</t>
  </si>
  <si>
    <t>Sumatera Utara</t>
  </si>
  <si>
    <t>Toba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</si>
  <si>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</si>
  <si>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</si>
  <si>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</si>
  <si>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</si>
  <si>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</si>
  <si>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</si>
  <si>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</si>
  <si>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</si>
  <si>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</si>
  <si>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DI Yogyakarta</t>
  </si>
  <si>
    <t>Jawa Timur</t>
  </si>
  <si>
    <t>Kalimantan Barat</t>
  </si>
  <si>
    <t>Kalimantan Tengah</t>
  </si>
  <si>
    <t>Kalimantan Selatan</t>
  </si>
  <si>
    <t>Kotabaru</t>
  </si>
  <si>
    <t>Kalimantan Timur</t>
  </si>
  <si>
    <t>Sulawesi Utara</t>
  </si>
  <si>
    <t>Sulawesi Tengah</t>
  </si>
  <si>
    <t>Sulawesi Selatan</t>
  </si>
  <si>
    <t>Sulawesi Tenggara</t>
  </si>
  <si>
    <t>Bali</t>
  </si>
  <si>
    <t>Nusa Tenggara Bara</t>
  </si>
  <si>
    <t>Nusa Tenggara Tim</t>
  </si>
  <si>
    <t>Maluku</t>
  </si>
  <si>
    <t>Kepulauan Tanimbar</t>
  </si>
  <si>
    <t>Papua</t>
  </si>
  <si>
    <t>Maluku Utara</t>
  </si>
  <si>
    <t>Banten</t>
  </si>
  <si>
    <t>Bangka Belitung</t>
  </si>
  <si>
    <t>Kepulauan Riau</t>
  </si>
  <si>
    <t>Papua Barat</t>
  </si>
  <si>
    <t>Sulawesi Barat</t>
  </si>
  <si>
    <t>Pasangkayu</t>
  </si>
  <si>
    <t>Kalimantan Utara</t>
  </si>
  <si>
    <t>Papua Selatan</t>
  </si>
  <si>
    <t>Papua Tengah</t>
  </si>
  <si>
    <t>Papua Pegunungan</t>
  </si>
  <si>
    <t>Papua Barat Daya</t>
  </si>
  <si>
    <t>Labuhan batu</t>
  </si>
  <si>
    <t>Labuhan batu Selatan</t>
  </si>
  <si>
    <t>Labuhan batu Utara</t>
  </si>
  <si>
    <t>Kota PadangSidimpuan</t>
  </si>
  <si>
    <t>Kota BukitTinggi</t>
  </si>
  <si>
    <t>Kota Sawah lunto</t>
  </si>
  <si>
    <t>Banyu asin</t>
  </si>
  <si>
    <t>Penukal Abab Lematang ilir</t>
  </si>
  <si>
    <t>Kota LubukLinggau</t>
  </si>
  <si>
    <t>TulangBawang</t>
  </si>
  <si>
    <t>Kota Banjar baru</t>
  </si>
  <si>
    <t>FakFak</t>
  </si>
  <si>
    <t>BANGKA BELITUNG</t>
  </si>
  <si>
    <t>Daerah</t>
  </si>
  <si>
    <t>AKB</t>
  </si>
  <si>
    <t>Infant Mortality Rate</t>
  </si>
  <si>
    <t>Nama Wilayah</t>
  </si>
  <si>
    <t>D I YOGYAKARTA</t>
  </si>
  <si>
    <t>Pontianak</t>
  </si>
  <si>
    <t>Pangkajene Dan Kepulauan</t>
  </si>
  <si>
    <t>Kota Parepare</t>
  </si>
  <si>
    <t>PPM</t>
  </si>
  <si>
    <t>Persentase Penduduk Miskin</t>
  </si>
  <si>
    <t>AHH</t>
  </si>
  <si>
    <t>Angka harapan Hidup</t>
  </si>
  <si>
    <t>AHHL</t>
  </si>
  <si>
    <t>AHHP</t>
  </si>
  <si>
    <t>Maluku Tenggara Barat / Kepulauan Tanimbar</t>
  </si>
  <si>
    <t>RLSL</t>
  </si>
  <si>
    <t>RLSP</t>
  </si>
  <si>
    <t>Mahakam ulu</t>
  </si>
  <si>
    <t>KarangAsem</t>
  </si>
  <si>
    <t>KOTA Batam</t>
  </si>
  <si>
    <t>Dharmasraya</t>
  </si>
  <si>
    <t>PSMA</t>
  </si>
  <si>
    <t xml:space="preserve">Persentase perempuan usia 25 Tahun keatas dengan pendidikan SMA ke atas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</si>
</sst>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mbria"/>
      <family val="1"/>
    </font>
    <font>
      <sz val="11"/>
      <color rgb="FF000000"/>
      <name val="Cambria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right" vertical="top" wrapText="1" indent="1"/>
    </xf>
    <xf numFmtId="0" fontId="6" fillId="0" borderId="0" xfId="0" applyFont="1"/>
  </cellXfs>
  <cellStyles count="2">
    <cellStyle name="Normal" xfId="0" builtinId="0"/>
    <cellStyle name="Normal 2" xfId="1" xr:uid="{DFE2AADD-43D4-4AE5-9453-DEABBAD72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9"/>
  <sheetViews>
    <sheetView topLeftCell="A438" workbookViewId="0">
      <selection activeCell="A449" sqref="A449"/>
    </sheetView>
  </sheetViews>
  <sheetFormatPr defaultRowHeight="14.5" x14ac:dyDescent="0.35"/>
  <cols>
    <col min="1" max="1" width="20.1796875" customWidth="1"/>
    <col min="2" max="2" width="25.08984375" customWidth="1"/>
    <col min="3" max="3" width="22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>
        <v>4.6951349999999996</v>
      </c>
      <c r="C2" s="1">
        <v>96.749399299999993</v>
      </c>
    </row>
    <row r="3" spans="1:3" ht="15.5" x14ac:dyDescent="0.35">
      <c r="A3" t="s">
        <v>4</v>
      </c>
      <c r="B3">
        <v>2.5833330000000001</v>
      </c>
      <c r="C3" s="1">
        <v>96.083332999999996</v>
      </c>
    </row>
    <row r="4" spans="1:3" ht="15.5" x14ac:dyDescent="0.35">
      <c r="A4" t="s">
        <v>5</v>
      </c>
      <c r="B4">
        <v>2.3589459000000002</v>
      </c>
      <c r="C4" s="1">
        <v>97.872159999999994</v>
      </c>
    </row>
    <row r="5" spans="1:3" ht="15.5" x14ac:dyDescent="0.35">
      <c r="A5" t="s">
        <v>6</v>
      </c>
      <c r="B5">
        <v>3.3115055999999998</v>
      </c>
      <c r="C5" s="1">
        <v>97.351655800000003</v>
      </c>
    </row>
    <row r="6" spans="1:3" ht="15.5" x14ac:dyDescent="0.35">
      <c r="A6" t="s">
        <v>7</v>
      </c>
      <c r="B6">
        <v>3.3088666</v>
      </c>
      <c r="C6" s="1">
        <v>97.698227200000005</v>
      </c>
    </row>
    <row r="7" spans="1:3" ht="15.5" x14ac:dyDescent="0.35">
      <c r="A7" t="s">
        <v>8</v>
      </c>
      <c r="B7">
        <v>5.2554429999999996</v>
      </c>
      <c r="C7" s="1">
        <v>95.988545599999995</v>
      </c>
    </row>
    <row r="8" spans="1:3" ht="15.5" x14ac:dyDescent="0.35">
      <c r="A8" t="s">
        <v>9</v>
      </c>
      <c r="B8">
        <v>4.4482641000000003</v>
      </c>
      <c r="C8" s="1">
        <v>96.835099900000003</v>
      </c>
    </row>
    <row r="9" spans="1:3" ht="15.5" x14ac:dyDescent="0.35">
      <c r="A9" t="s">
        <v>10</v>
      </c>
      <c r="B9">
        <v>4.4542745000000004</v>
      </c>
      <c r="C9" s="1">
        <v>96.1526985</v>
      </c>
    </row>
    <row r="10" spans="1:3" ht="15.5" x14ac:dyDescent="0.35">
      <c r="A10" t="s">
        <v>11</v>
      </c>
      <c r="B10">
        <v>5.4529167999999997</v>
      </c>
      <c r="C10" s="1">
        <v>95.477781100000001</v>
      </c>
    </row>
    <row r="11" spans="1:3" ht="15.5" x14ac:dyDescent="0.35">
      <c r="A11" t="s">
        <v>12</v>
      </c>
      <c r="B11">
        <v>5.0742659000000003</v>
      </c>
      <c r="C11" s="1">
        <v>95.940971000000005</v>
      </c>
    </row>
    <row r="12" spans="1:3" ht="15.5" x14ac:dyDescent="0.35">
      <c r="A12" t="s">
        <v>13</v>
      </c>
      <c r="B12">
        <v>5.1825400000000004</v>
      </c>
      <c r="C12" s="1">
        <v>96.890050000000002</v>
      </c>
    </row>
    <row r="13" spans="1:3" ht="15.5" x14ac:dyDescent="0.35">
      <c r="A13" t="s">
        <v>14</v>
      </c>
      <c r="B13">
        <v>4.9786330999999997</v>
      </c>
      <c r="C13" s="1">
        <v>97.222142099999999</v>
      </c>
    </row>
    <row r="14" spans="1:3" ht="15.5" x14ac:dyDescent="0.35">
      <c r="A14" t="s">
        <v>15</v>
      </c>
      <c r="B14">
        <v>3.0512643000000002</v>
      </c>
      <c r="C14" s="1">
        <v>97.336803099999997</v>
      </c>
    </row>
    <row r="15" spans="1:3" ht="15.5" x14ac:dyDescent="0.35">
      <c r="A15" t="s">
        <v>16</v>
      </c>
      <c r="B15">
        <v>3.955165</v>
      </c>
      <c r="C15" s="1">
        <v>97.351655800000003</v>
      </c>
    </row>
    <row r="16" spans="1:3" ht="15.5" x14ac:dyDescent="0.35">
      <c r="A16" t="s">
        <v>17</v>
      </c>
      <c r="B16">
        <v>4.2328871000000001</v>
      </c>
      <c r="C16" s="1">
        <v>98.002889199999998</v>
      </c>
    </row>
    <row r="17" spans="1:3" ht="15.5" x14ac:dyDescent="0.35">
      <c r="A17" t="s">
        <v>18</v>
      </c>
      <c r="B17">
        <v>4.1248405999999997</v>
      </c>
      <c r="C17" s="1">
        <v>96.492979700000006</v>
      </c>
    </row>
    <row r="18" spans="1:3" ht="15.5" x14ac:dyDescent="0.35">
      <c r="A18" t="s">
        <v>19</v>
      </c>
      <c r="B18">
        <v>4.7873684000000001</v>
      </c>
      <c r="C18" s="1">
        <v>95.645795100000001</v>
      </c>
    </row>
    <row r="19" spans="1:3" ht="15.5" x14ac:dyDescent="0.35">
      <c r="A19" t="s">
        <v>20</v>
      </c>
      <c r="B19">
        <v>4.7748347999999998</v>
      </c>
      <c r="C19" s="1">
        <v>97.006839299999996</v>
      </c>
    </row>
    <row r="20" spans="1:3" ht="15.5" x14ac:dyDescent="0.35">
      <c r="A20" t="s">
        <v>21</v>
      </c>
      <c r="B20">
        <v>5.1548062999999997</v>
      </c>
      <c r="C20" s="1">
        <v>96.195132000000001</v>
      </c>
    </row>
    <row r="21" spans="1:3" ht="15.5" x14ac:dyDescent="0.35">
      <c r="A21" t="s">
        <v>22</v>
      </c>
      <c r="B21">
        <v>5.55</v>
      </c>
      <c r="C21" s="1">
        <v>95.316666699999999</v>
      </c>
    </row>
    <row r="22" spans="1:3" ht="15.5" x14ac:dyDescent="0.35">
      <c r="A22" t="s">
        <v>23</v>
      </c>
      <c r="B22">
        <v>5.8946928999999999</v>
      </c>
      <c r="C22" s="1">
        <v>95.319298200000006</v>
      </c>
    </row>
    <row r="23" spans="1:3" ht="15.5" x14ac:dyDescent="0.35">
      <c r="A23" t="s">
        <v>24</v>
      </c>
      <c r="B23">
        <v>4.4800000000000004</v>
      </c>
      <c r="C23" s="1">
        <v>97.963333300000002</v>
      </c>
    </row>
    <row r="24" spans="1:3" ht="15.5" x14ac:dyDescent="0.35">
      <c r="A24" t="s">
        <v>25</v>
      </c>
      <c r="B24">
        <v>5.1880556000000002</v>
      </c>
      <c r="C24" s="1">
        <v>97.140277800000007</v>
      </c>
    </row>
    <row r="25" spans="1:3" ht="15.5" x14ac:dyDescent="0.35">
      <c r="A25" t="s">
        <v>26</v>
      </c>
      <c r="B25">
        <v>2.6449927</v>
      </c>
      <c r="C25" s="1">
        <v>98.016520499999999</v>
      </c>
    </row>
    <row r="26" spans="1:3" ht="15.5" x14ac:dyDescent="0.35">
      <c r="A26" t="s">
        <v>27</v>
      </c>
      <c r="B26">
        <v>2.1153547000000001</v>
      </c>
      <c r="C26" s="1">
        <v>99.545097400000003</v>
      </c>
    </row>
    <row r="27" spans="1:3" ht="15.5" x14ac:dyDescent="0.35">
      <c r="A27" t="s">
        <v>28</v>
      </c>
      <c r="B27">
        <v>-8.1712591000000003</v>
      </c>
      <c r="C27" s="1">
        <v>113.7111274</v>
      </c>
    </row>
    <row r="28" spans="1:3" ht="15.5" x14ac:dyDescent="0.35">
      <c r="A28" t="s">
        <v>29</v>
      </c>
      <c r="B28">
        <v>0.74323720000000004</v>
      </c>
      <c r="C28" s="1">
        <v>99.367308399999999</v>
      </c>
    </row>
    <row r="29" spans="1:3" ht="15.5" x14ac:dyDescent="0.35">
      <c r="A29" t="s">
        <v>30</v>
      </c>
      <c r="B29">
        <v>1.5774933</v>
      </c>
      <c r="C29" s="1">
        <v>99.2785583</v>
      </c>
    </row>
    <row r="30" spans="1:3" ht="15.5" x14ac:dyDescent="0.35">
      <c r="A30" t="s">
        <v>31</v>
      </c>
      <c r="B30">
        <v>1.8493299000000001</v>
      </c>
      <c r="C30" s="1">
        <v>98.704075000000003</v>
      </c>
    </row>
    <row r="31" spans="1:3" ht="15.5" x14ac:dyDescent="0.35">
      <c r="A31" t="s">
        <v>32</v>
      </c>
      <c r="B31">
        <v>2.0405245999999999</v>
      </c>
      <c r="C31" s="1">
        <v>99.101349799999994</v>
      </c>
    </row>
    <row r="32" spans="1:3" ht="15.5" x14ac:dyDescent="0.35">
      <c r="A32" t="s">
        <v>1066</v>
      </c>
      <c r="B32">
        <v>2.3502398000000002</v>
      </c>
      <c r="C32" s="1">
        <v>99.2785583</v>
      </c>
    </row>
    <row r="33" spans="1:3" ht="15.5" x14ac:dyDescent="0.35">
      <c r="A33" t="s">
        <v>34</v>
      </c>
      <c r="B33">
        <v>2.3439863000000001</v>
      </c>
      <c r="C33" s="1">
        <v>100.17032570000001</v>
      </c>
    </row>
    <row r="34" spans="1:3" ht="15.5" x14ac:dyDescent="0.35">
      <c r="A34" t="s">
        <v>35</v>
      </c>
      <c r="B34">
        <v>2.8174722000000001</v>
      </c>
      <c r="C34" s="1">
        <v>99.634135000000001</v>
      </c>
    </row>
    <row r="35" spans="1:3" ht="15.5" x14ac:dyDescent="0.35">
      <c r="A35" t="s">
        <v>36</v>
      </c>
      <c r="B35">
        <v>2.9781612000000002</v>
      </c>
      <c r="C35" s="1">
        <v>99.2785583</v>
      </c>
    </row>
    <row r="36" spans="1:3" ht="15.5" x14ac:dyDescent="0.35">
      <c r="A36" t="s">
        <v>37</v>
      </c>
      <c r="B36">
        <v>2.8675801000000001</v>
      </c>
      <c r="C36" s="1">
        <v>98.265057999999996</v>
      </c>
    </row>
    <row r="37" spans="1:3" ht="15.5" x14ac:dyDescent="0.35">
      <c r="A37" t="s">
        <v>38</v>
      </c>
      <c r="B37">
        <v>3.1052909</v>
      </c>
      <c r="C37" s="1">
        <v>98.265057999999996</v>
      </c>
    </row>
    <row r="38" spans="1:3" ht="15.5" x14ac:dyDescent="0.35">
      <c r="A38" t="s">
        <v>39</v>
      </c>
      <c r="B38">
        <v>3.4201801999999999</v>
      </c>
      <c r="C38" s="1">
        <v>98.704075000000003</v>
      </c>
    </row>
    <row r="39" spans="1:3" ht="15.5" x14ac:dyDescent="0.35">
      <c r="A39" t="s">
        <v>40</v>
      </c>
      <c r="B39">
        <v>3.8653916000000001</v>
      </c>
      <c r="C39" s="1">
        <v>98.308844100000002</v>
      </c>
    </row>
    <row r="40" spans="1:3" ht="15.5" x14ac:dyDescent="0.35">
      <c r="A40" t="s">
        <v>41</v>
      </c>
      <c r="B40">
        <v>0.70860909999999999</v>
      </c>
      <c r="C40" s="1">
        <v>97.828636799999998</v>
      </c>
    </row>
    <row r="41" spans="1:3" ht="15.5" x14ac:dyDescent="0.35">
      <c r="A41" t="s">
        <v>42</v>
      </c>
      <c r="B41">
        <v>2.1988508000000002</v>
      </c>
      <c r="C41" s="1">
        <v>98.572101599999996</v>
      </c>
    </row>
    <row r="42" spans="1:3" ht="15.5" x14ac:dyDescent="0.35">
      <c r="A42" t="s">
        <v>43</v>
      </c>
      <c r="B42">
        <v>2.5457860000000001</v>
      </c>
      <c r="C42" s="1">
        <v>98.299837999999994</v>
      </c>
    </row>
    <row r="43" spans="1:3" ht="15.5" x14ac:dyDescent="0.35">
      <c r="A43" t="s">
        <v>44</v>
      </c>
      <c r="B43">
        <v>2.5833333000000001</v>
      </c>
      <c r="C43" s="1">
        <v>98.816666699999999</v>
      </c>
    </row>
    <row r="44" spans="1:3" ht="15.5" x14ac:dyDescent="0.35">
      <c r="A44" t="s">
        <v>45</v>
      </c>
      <c r="B44">
        <v>3.3371694000000001</v>
      </c>
      <c r="C44" s="1">
        <v>99.057108900000003</v>
      </c>
    </row>
    <row r="45" spans="1:3" ht="15.5" x14ac:dyDescent="0.35">
      <c r="A45" t="s">
        <v>46</v>
      </c>
      <c r="B45">
        <v>3.1740979</v>
      </c>
      <c r="C45" s="1">
        <v>99.500614299999995</v>
      </c>
    </row>
    <row r="46" spans="1:3" ht="15.5" x14ac:dyDescent="0.35">
      <c r="A46" t="s">
        <v>47</v>
      </c>
      <c r="B46">
        <v>1.5758643999999999</v>
      </c>
      <c r="C46" s="1">
        <v>99.634135000000001</v>
      </c>
    </row>
    <row r="47" spans="1:3" ht="15.5" x14ac:dyDescent="0.35">
      <c r="A47" t="s">
        <v>48</v>
      </c>
      <c r="B47">
        <v>1.1186977</v>
      </c>
      <c r="C47" s="1">
        <v>99.812493500000002</v>
      </c>
    </row>
    <row r="48" spans="1:3" ht="15.5" x14ac:dyDescent="0.35">
      <c r="A48" t="s">
        <v>49</v>
      </c>
      <c r="B48">
        <v>1.8799353000000001</v>
      </c>
      <c r="C48" s="1">
        <v>100.17032570000001</v>
      </c>
    </row>
    <row r="49" spans="1:3" ht="15.5" x14ac:dyDescent="0.35">
      <c r="A49" t="s">
        <v>50</v>
      </c>
      <c r="B49">
        <v>2.3465638000000002</v>
      </c>
      <c r="C49" s="1">
        <v>99.812493500000002</v>
      </c>
    </row>
    <row r="50" spans="1:3" ht="15.5" x14ac:dyDescent="0.35">
      <c r="A50" t="s">
        <v>51</v>
      </c>
      <c r="B50">
        <v>1.1255279</v>
      </c>
      <c r="C50" s="1">
        <v>97.524724300000003</v>
      </c>
    </row>
    <row r="51" spans="1:3" ht="15.5" x14ac:dyDescent="0.35">
      <c r="A51" t="s">
        <v>52</v>
      </c>
      <c r="B51">
        <v>1.1255279</v>
      </c>
      <c r="C51" s="1">
        <v>97.524724300000003</v>
      </c>
    </row>
    <row r="52" spans="1:3" ht="15.5" x14ac:dyDescent="0.35">
      <c r="A52" t="s">
        <v>53</v>
      </c>
      <c r="B52">
        <v>1.7403744999999999</v>
      </c>
      <c r="C52" s="1">
        <v>98.782798799999995</v>
      </c>
    </row>
    <row r="53" spans="1:3" ht="15.5" x14ac:dyDescent="0.35">
      <c r="A53" t="s">
        <v>54</v>
      </c>
      <c r="B53">
        <v>2.965122</v>
      </c>
      <c r="C53" s="1">
        <v>99.800331</v>
      </c>
    </row>
    <row r="54" spans="1:3" ht="15.5" x14ac:dyDescent="0.35">
      <c r="A54" t="s">
        <v>55</v>
      </c>
      <c r="B54">
        <v>2.96</v>
      </c>
      <c r="C54" s="1">
        <v>99.06</v>
      </c>
    </row>
    <row r="55" spans="1:3" ht="15.5" x14ac:dyDescent="0.35">
      <c r="A55" t="s">
        <v>56</v>
      </c>
      <c r="B55">
        <v>3.3856204999999999</v>
      </c>
      <c r="C55" s="1">
        <v>99.200981499999997</v>
      </c>
    </row>
    <row r="56" spans="1:3" ht="15.5" x14ac:dyDescent="0.35">
      <c r="A56" t="s">
        <v>57</v>
      </c>
      <c r="B56">
        <v>3.585242</v>
      </c>
      <c r="C56" s="1">
        <v>98.6755979</v>
      </c>
    </row>
    <row r="57" spans="1:3" ht="15.5" x14ac:dyDescent="0.35">
      <c r="A57" t="s">
        <v>58</v>
      </c>
      <c r="B57">
        <v>3.594462</v>
      </c>
      <c r="C57" s="1">
        <v>98.482246000000004</v>
      </c>
    </row>
    <row r="58" spans="1:3" ht="15.5" x14ac:dyDescent="0.35">
      <c r="A58" t="s">
        <v>59</v>
      </c>
      <c r="B58">
        <v>1.3804240000000001</v>
      </c>
      <c r="C58" s="1">
        <v>99.273972000000001</v>
      </c>
    </row>
    <row r="59" spans="1:3" ht="15.5" x14ac:dyDescent="0.35">
      <c r="A59" t="s">
        <v>60</v>
      </c>
      <c r="B59">
        <v>1.2819640000000001</v>
      </c>
      <c r="C59" s="1">
        <v>97.615939999999995</v>
      </c>
    </row>
    <row r="60" spans="1:3" ht="15.5" x14ac:dyDescent="0.35">
      <c r="A60" t="s">
        <v>61</v>
      </c>
      <c r="B60">
        <v>-0.73993969999999998</v>
      </c>
      <c r="C60" s="1">
        <v>100.80000510000001</v>
      </c>
    </row>
    <row r="61" spans="1:3" ht="15.5" x14ac:dyDescent="0.35">
      <c r="A61" t="s">
        <v>62</v>
      </c>
      <c r="B61">
        <v>-1.4260010000000001</v>
      </c>
      <c r="C61" s="1">
        <v>98.924534300000005</v>
      </c>
    </row>
    <row r="62" spans="1:3" ht="15.5" x14ac:dyDescent="0.35">
      <c r="A62" t="s">
        <v>63</v>
      </c>
      <c r="B62">
        <v>-1.7223147000000001</v>
      </c>
      <c r="C62" s="1">
        <v>100.89030990000001</v>
      </c>
    </row>
    <row r="63" spans="1:3" ht="15.5" x14ac:dyDescent="0.35">
      <c r="A63" t="s">
        <v>64</v>
      </c>
      <c r="B63">
        <v>-0.80302700000000005</v>
      </c>
      <c r="C63" s="1">
        <v>100.644402</v>
      </c>
    </row>
    <row r="64" spans="1:3" ht="15.5" x14ac:dyDescent="0.35">
      <c r="A64" t="s">
        <v>65</v>
      </c>
      <c r="B64">
        <v>-0.68815859999999995</v>
      </c>
      <c r="C64" s="1">
        <v>100.997658</v>
      </c>
    </row>
    <row r="65" spans="1:3" ht="15.5" x14ac:dyDescent="0.35">
      <c r="A65" t="s">
        <v>66</v>
      </c>
      <c r="B65">
        <v>-0.47970429999999997</v>
      </c>
      <c r="C65" s="1">
        <v>100.5746224</v>
      </c>
    </row>
    <row r="66" spans="1:3" ht="15.5" x14ac:dyDescent="0.35">
      <c r="A66" t="s">
        <v>67</v>
      </c>
      <c r="B66">
        <v>-0.55467569999999999</v>
      </c>
      <c r="C66" s="1">
        <v>100.2151578</v>
      </c>
    </row>
    <row r="67" spans="1:3" ht="15.5" x14ac:dyDescent="0.35">
      <c r="A67" t="s">
        <v>68</v>
      </c>
      <c r="B67">
        <v>-0.2209392</v>
      </c>
      <c r="C67" s="1">
        <v>100.17032570000001</v>
      </c>
    </row>
    <row r="68" spans="1:3" ht="15.5" x14ac:dyDescent="0.35">
      <c r="A68" t="s">
        <v>69</v>
      </c>
      <c r="B68">
        <v>3.1682160000000001</v>
      </c>
      <c r="C68" s="1">
        <v>99.4187929</v>
      </c>
    </row>
    <row r="69" spans="1:3" ht="15.5" x14ac:dyDescent="0.35">
      <c r="A69" t="s">
        <v>70</v>
      </c>
      <c r="B69">
        <v>0.1288752</v>
      </c>
      <c r="C69" s="1">
        <v>99.790178100000006</v>
      </c>
    </row>
    <row r="70" spans="1:3" ht="15.5" x14ac:dyDescent="0.35">
      <c r="A70" t="s">
        <v>71</v>
      </c>
      <c r="B70">
        <v>-1.4157329000000001</v>
      </c>
      <c r="C70" s="1">
        <v>101.25237919999999</v>
      </c>
    </row>
    <row r="71" spans="1:3" ht="15.5" x14ac:dyDescent="0.35">
      <c r="A71" t="s">
        <v>1084</v>
      </c>
      <c r="B71">
        <v>-1.1120568</v>
      </c>
      <c r="C71" s="1">
        <v>101.6157773</v>
      </c>
    </row>
    <row r="72" spans="1:3" ht="15.5" x14ac:dyDescent="0.35">
      <c r="A72" t="s">
        <v>72</v>
      </c>
      <c r="B72">
        <v>0.22130050000000001</v>
      </c>
      <c r="C72" s="1">
        <v>99.634135000000001</v>
      </c>
    </row>
    <row r="73" spans="1:3" ht="15.5" x14ac:dyDescent="0.35">
      <c r="A73" t="s">
        <v>73</v>
      </c>
      <c r="B73">
        <v>-0.95</v>
      </c>
      <c r="C73" s="1">
        <v>100.3530556</v>
      </c>
    </row>
    <row r="74" spans="1:3" ht="15.5" x14ac:dyDescent="0.35">
      <c r="A74" t="s">
        <v>74</v>
      </c>
      <c r="B74">
        <v>-0.80302700000000005</v>
      </c>
      <c r="C74" s="1">
        <v>100.644402</v>
      </c>
    </row>
    <row r="75" spans="1:3" ht="15.5" x14ac:dyDescent="0.35">
      <c r="A75" t="s">
        <v>75</v>
      </c>
      <c r="B75">
        <v>-0.68102859999999998</v>
      </c>
      <c r="C75" s="1">
        <v>100.7763604</v>
      </c>
    </row>
    <row r="76" spans="1:3" ht="15.5" x14ac:dyDescent="0.35">
      <c r="A76" t="s">
        <v>76</v>
      </c>
      <c r="B76">
        <v>-0.47067900000000001</v>
      </c>
      <c r="C76" s="1">
        <v>100.4059456</v>
      </c>
    </row>
    <row r="77" spans="1:3" ht="15.5" x14ac:dyDescent="0.35">
      <c r="A77" t="s">
        <v>77</v>
      </c>
      <c r="B77">
        <v>-0.30555559999999998</v>
      </c>
      <c r="C77" s="1">
        <v>100.36916669999999</v>
      </c>
    </row>
    <row r="78" spans="1:3" ht="15.5" x14ac:dyDescent="0.35">
      <c r="A78" t="s">
        <v>78</v>
      </c>
      <c r="B78">
        <v>-0.22886999999999999</v>
      </c>
      <c r="C78" s="1">
        <v>100.632301</v>
      </c>
    </row>
    <row r="79" spans="1:3" ht="15.5" x14ac:dyDescent="0.35">
      <c r="A79" t="s">
        <v>79</v>
      </c>
      <c r="B79">
        <v>-0.62643890000000002</v>
      </c>
      <c r="C79" s="1">
        <v>100.11795739999999</v>
      </c>
    </row>
    <row r="80" spans="1:3" ht="15.5" x14ac:dyDescent="0.35">
      <c r="A80" t="s">
        <v>80</v>
      </c>
      <c r="B80">
        <v>0.29334690000000002</v>
      </c>
      <c r="C80" s="1">
        <v>101.7068294</v>
      </c>
    </row>
    <row r="81" spans="1:3" ht="15.5" x14ac:dyDescent="0.35">
      <c r="A81" t="s">
        <v>81</v>
      </c>
      <c r="B81">
        <v>-0.44115959999999999</v>
      </c>
      <c r="C81" s="1">
        <v>101.5248055</v>
      </c>
    </row>
    <row r="82" spans="1:3" ht="15.5" x14ac:dyDescent="0.35">
      <c r="A82" t="s">
        <v>82</v>
      </c>
      <c r="B82">
        <v>-0.7361181</v>
      </c>
      <c r="C82" s="1">
        <v>102.2547919</v>
      </c>
    </row>
    <row r="83" spans="1:3" ht="15.5" x14ac:dyDescent="0.35">
      <c r="A83" t="s">
        <v>83</v>
      </c>
      <c r="B83">
        <v>-0.14567330000000001</v>
      </c>
      <c r="C83" s="1">
        <v>102.989615</v>
      </c>
    </row>
    <row r="84" spans="1:3" ht="15.5" x14ac:dyDescent="0.35">
      <c r="A84" t="s">
        <v>84</v>
      </c>
      <c r="B84">
        <v>0.441415</v>
      </c>
      <c r="C84" s="1">
        <v>102.08869900000001</v>
      </c>
    </row>
    <row r="85" spans="1:3" ht="15.5" x14ac:dyDescent="0.35">
      <c r="A85" t="s">
        <v>85</v>
      </c>
      <c r="B85">
        <v>-0.78927499999999995</v>
      </c>
      <c r="C85" s="1">
        <v>113.92132700000001</v>
      </c>
    </row>
    <row r="86" spans="1:3" ht="15.5" x14ac:dyDescent="0.35">
      <c r="A86" t="s">
        <v>86</v>
      </c>
      <c r="B86">
        <v>0.146671</v>
      </c>
      <c r="C86" s="1">
        <v>101.1617356</v>
      </c>
    </row>
    <row r="87" spans="1:3" ht="15.5" x14ac:dyDescent="0.35">
      <c r="A87" t="s">
        <v>87</v>
      </c>
      <c r="B87">
        <v>1.0410934000000001</v>
      </c>
      <c r="C87" s="1">
        <v>100.439656</v>
      </c>
    </row>
    <row r="88" spans="1:3" ht="15.5" x14ac:dyDescent="0.35">
      <c r="A88" t="s">
        <v>88</v>
      </c>
      <c r="B88">
        <v>1.4897222000000001</v>
      </c>
      <c r="C88" s="1">
        <v>102.07972220000001</v>
      </c>
    </row>
    <row r="89" spans="1:3" ht="15.5" x14ac:dyDescent="0.35">
      <c r="A89" t="s">
        <v>89</v>
      </c>
      <c r="B89">
        <v>1.6463977999999999</v>
      </c>
      <c r="C89" s="1">
        <v>100.80000510000001</v>
      </c>
    </row>
    <row r="90" spans="1:3" ht="15.5" x14ac:dyDescent="0.35">
      <c r="A90" t="s">
        <v>90</v>
      </c>
      <c r="B90">
        <v>0.92087649999999999</v>
      </c>
      <c r="C90" s="1">
        <v>102.6675575</v>
      </c>
    </row>
    <row r="91" spans="1:3" ht="15.5" x14ac:dyDescent="0.35">
      <c r="A91" t="s">
        <v>91</v>
      </c>
      <c r="B91">
        <v>0.53333330000000001</v>
      </c>
      <c r="C91" s="1">
        <v>101.45</v>
      </c>
    </row>
    <row r="92" spans="1:3" ht="15.5" x14ac:dyDescent="0.35">
      <c r="A92" t="s">
        <v>92</v>
      </c>
      <c r="B92">
        <v>1.6657420000000001</v>
      </c>
      <c r="C92" s="1">
        <v>101.44760100000001</v>
      </c>
    </row>
    <row r="93" spans="1:3" ht="15.5" x14ac:dyDescent="0.35">
      <c r="A93" t="s">
        <v>93</v>
      </c>
      <c r="B93">
        <v>-1.4851831</v>
      </c>
      <c r="C93" s="1">
        <v>102.43805810000001</v>
      </c>
    </row>
    <row r="94" spans="1:3" ht="15.5" x14ac:dyDescent="0.35">
      <c r="A94" t="s">
        <v>94</v>
      </c>
      <c r="B94">
        <v>-1.8720467000000001</v>
      </c>
      <c r="C94" s="1">
        <v>101.4339148</v>
      </c>
    </row>
    <row r="95" spans="1:3" ht="15.5" x14ac:dyDescent="0.35">
      <c r="A95" t="s">
        <v>95</v>
      </c>
      <c r="B95">
        <v>-2.1752788999999999</v>
      </c>
      <c r="C95" s="1">
        <v>101.9804613</v>
      </c>
    </row>
    <row r="96" spans="1:3" ht="15.5" x14ac:dyDescent="0.35">
      <c r="A96" t="s">
        <v>96</v>
      </c>
      <c r="B96">
        <v>-2.2654936999999999</v>
      </c>
      <c r="C96" s="1">
        <v>102.6905326</v>
      </c>
    </row>
    <row r="97" spans="1:3" ht="15.5" x14ac:dyDescent="0.35">
      <c r="A97" t="s">
        <v>97</v>
      </c>
      <c r="B97">
        <v>-1.7083922</v>
      </c>
      <c r="C97" s="1">
        <v>103.08179029999999</v>
      </c>
    </row>
    <row r="98" spans="1:3" ht="15.5" x14ac:dyDescent="0.35">
      <c r="A98" t="s">
        <v>98</v>
      </c>
      <c r="B98">
        <v>-1.5966720000000001</v>
      </c>
      <c r="C98" s="1">
        <v>103.615799</v>
      </c>
    </row>
    <row r="99" spans="1:3" ht="15.5" x14ac:dyDescent="0.35">
      <c r="A99" t="s">
        <v>99</v>
      </c>
      <c r="B99">
        <v>-1.3291599000000001</v>
      </c>
      <c r="C99" s="1">
        <v>103.89973000000001</v>
      </c>
    </row>
    <row r="100" spans="1:3" ht="15.5" x14ac:dyDescent="0.35">
      <c r="A100" t="s">
        <v>100</v>
      </c>
      <c r="B100">
        <v>-1.2332122000000001</v>
      </c>
      <c r="C100" s="1">
        <v>103.7984428</v>
      </c>
    </row>
    <row r="101" spans="1:3" ht="15.5" x14ac:dyDescent="0.35">
      <c r="A101" t="s">
        <v>101</v>
      </c>
      <c r="B101">
        <v>-1.2592999</v>
      </c>
      <c r="C101" s="1">
        <v>102.34638750000001</v>
      </c>
    </row>
    <row r="102" spans="1:3" ht="15.5" x14ac:dyDescent="0.35">
      <c r="A102" t="s">
        <v>102</v>
      </c>
      <c r="B102">
        <v>-1.6401338000000001</v>
      </c>
      <c r="C102" s="1">
        <v>101.8891721</v>
      </c>
    </row>
    <row r="103" spans="1:3" ht="15.5" x14ac:dyDescent="0.35">
      <c r="A103" t="s">
        <v>103</v>
      </c>
      <c r="B103">
        <v>-1.5966720000000001</v>
      </c>
      <c r="C103" s="1">
        <v>103.615799</v>
      </c>
    </row>
    <row r="104" spans="1:3" ht="15.5" x14ac:dyDescent="0.35">
      <c r="A104" t="s">
        <v>104</v>
      </c>
      <c r="B104">
        <v>-2.0631400000000002</v>
      </c>
      <c r="C104" s="1">
        <v>101.387199</v>
      </c>
    </row>
    <row r="105" spans="1:3" ht="15.5" x14ac:dyDescent="0.35">
      <c r="A105" t="s">
        <v>105</v>
      </c>
      <c r="B105">
        <v>-3.3194374</v>
      </c>
      <c r="C105" s="1">
        <v>103.914399</v>
      </c>
    </row>
    <row r="106" spans="1:3" ht="15.5" x14ac:dyDescent="0.35">
      <c r="A106" t="s">
        <v>106</v>
      </c>
      <c r="B106">
        <v>-4.0283486000000002</v>
      </c>
      <c r="C106" s="1">
        <v>104.00723480000001</v>
      </c>
    </row>
    <row r="107" spans="1:3" ht="15.5" x14ac:dyDescent="0.35">
      <c r="A107" t="s">
        <v>107</v>
      </c>
      <c r="B107">
        <v>-3.4559744000000001</v>
      </c>
      <c r="C107" s="1">
        <v>105.2194808</v>
      </c>
    </row>
    <row r="108" spans="1:3" ht="15.5" x14ac:dyDescent="0.35">
      <c r="A108" t="s">
        <v>108</v>
      </c>
      <c r="B108">
        <v>-3.6515810000000002</v>
      </c>
      <c r="C108" s="1">
        <v>103.770798</v>
      </c>
    </row>
    <row r="109" spans="1:3" ht="15.5" x14ac:dyDescent="0.35">
      <c r="A109" t="s">
        <v>109</v>
      </c>
      <c r="B109">
        <v>-3.7863888999999999</v>
      </c>
      <c r="C109" s="1">
        <v>103.5427778</v>
      </c>
    </row>
    <row r="110" spans="1:3" ht="15.5" x14ac:dyDescent="0.35">
      <c r="A110" t="s">
        <v>110</v>
      </c>
      <c r="B110">
        <v>-2.8625305000000001</v>
      </c>
      <c r="C110" s="1">
        <v>102.989615</v>
      </c>
    </row>
    <row r="111" spans="1:3" ht="15.5" x14ac:dyDescent="0.35">
      <c r="A111" t="s">
        <v>111</v>
      </c>
      <c r="B111">
        <v>-2.5442029000000002</v>
      </c>
      <c r="C111" s="1">
        <v>103.7289167</v>
      </c>
    </row>
    <row r="112" spans="1:3" ht="15.5" x14ac:dyDescent="0.35">
      <c r="A112" t="s">
        <v>112</v>
      </c>
      <c r="B112">
        <v>-2.6095638999999999</v>
      </c>
      <c r="C112" s="1">
        <v>104.75209390000001</v>
      </c>
    </row>
    <row r="113" spans="1:3" ht="15.5" x14ac:dyDescent="0.35">
      <c r="A113" t="s">
        <v>113</v>
      </c>
      <c r="B113">
        <v>-4.6681951000000002</v>
      </c>
      <c r="C113" s="1">
        <v>104.00723480000001</v>
      </c>
    </row>
    <row r="114" spans="1:3" ht="15.5" x14ac:dyDescent="0.35">
      <c r="A114" t="s">
        <v>114</v>
      </c>
      <c r="B114">
        <v>-3.8567933999999999</v>
      </c>
      <c r="C114" s="1">
        <v>104.75209390000001</v>
      </c>
    </row>
    <row r="115" spans="1:3" ht="15.5" x14ac:dyDescent="0.35">
      <c r="A115" t="s">
        <v>115</v>
      </c>
      <c r="B115">
        <v>-3.4265439999999998</v>
      </c>
      <c r="C115" s="1">
        <v>104.61214750000001</v>
      </c>
    </row>
    <row r="116" spans="1:3" ht="15.5" x14ac:dyDescent="0.35">
      <c r="A116" t="s">
        <v>116</v>
      </c>
      <c r="B116">
        <v>-3.7286028999999998</v>
      </c>
      <c r="C116" s="1">
        <v>102.89750979999999</v>
      </c>
    </row>
    <row r="117" spans="1:3" ht="15.5" x14ac:dyDescent="0.35">
      <c r="A117" t="s">
        <v>117</v>
      </c>
      <c r="B117">
        <v>-3.2134200000000002</v>
      </c>
      <c r="C117" s="1">
        <v>104.08722</v>
      </c>
    </row>
    <row r="118" spans="1:3" ht="15.5" x14ac:dyDescent="0.35">
      <c r="A118" t="s">
        <v>118</v>
      </c>
      <c r="B118">
        <v>-2.7351999999999999</v>
      </c>
      <c r="C118" s="1">
        <v>102.9015</v>
      </c>
    </row>
    <row r="119" spans="1:3" ht="15.5" x14ac:dyDescent="0.35">
      <c r="A119" t="s">
        <v>119</v>
      </c>
      <c r="B119">
        <v>-5.1888360000000002</v>
      </c>
      <c r="C119" s="1">
        <v>103.935852</v>
      </c>
    </row>
    <row r="120" spans="1:3" ht="15.5" x14ac:dyDescent="0.35">
      <c r="A120" t="s">
        <v>120</v>
      </c>
      <c r="B120">
        <v>3</v>
      </c>
      <c r="C120" s="1">
        <v>106</v>
      </c>
    </row>
    <row r="121" spans="1:3" ht="15.5" x14ac:dyDescent="0.35">
      <c r="A121" t="s">
        <v>121</v>
      </c>
      <c r="B121">
        <v>-7.7016549999999997</v>
      </c>
      <c r="C121" s="1">
        <v>108.49422</v>
      </c>
    </row>
    <row r="122" spans="1:3" ht="15.5" x14ac:dyDescent="0.35">
      <c r="A122" t="s">
        <v>122</v>
      </c>
      <c r="B122">
        <v>-8.3699999999999992</v>
      </c>
      <c r="C122" s="1">
        <v>115.52</v>
      </c>
    </row>
    <row r="123" spans="1:3" ht="15.5" x14ac:dyDescent="0.35">
      <c r="A123" t="s">
        <v>123</v>
      </c>
      <c r="B123">
        <v>-9.5672219999999992</v>
      </c>
      <c r="C123" s="1">
        <v>124.9075</v>
      </c>
    </row>
    <row r="124" spans="1:3" ht="15.5" x14ac:dyDescent="0.35">
      <c r="A124" t="s">
        <v>124</v>
      </c>
      <c r="B124">
        <v>0.5</v>
      </c>
      <c r="C124" s="1">
        <v>115.28</v>
      </c>
    </row>
    <row r="125" spans="1:3" ht="15.5" x14ac:dyDescent="0.35">
      <c r="A125" t="s">
        <v>125</v>
      </c>
      <c r="B125">
        <v>-3.4548154000000002</v>
      </c>
      <c r="C125" s="1">
        <v>102.6675575</v>
      </c>
    </row>
    <row r="126" spans="1:3" ht="15.5" x14ac:dyDescent="0.35">
      <c r="A126" t="s">
        <v>126</v>
      </c>
      <c r="B126">
        <v>-3.4219555000000001</v>
      </c>
      <c r="C126" s="1">
        <v>102.1632718</v>
      </c>
    </row>
    <row r="127" spans="1:3" ht="15.5" x14ac:dyDescent="0.35">
      <c r="A127" t="s">
        <v>127</v>
      </c>
      <c r="B127">
        <v>-4.6792277999999996</v>
      </c>
      <c r="C127" s="1">
        <v>103.4511768</v>
      </c>
    </row>
    <row r="128" spans="1:3" ht="15.5" x14ac:dyDescent="0.35">
      <c r="A128" t="s">
        <v>128</v>
      </c>
      <c r="B128">
        <v>-4.0622929000000001</v>
      </c>
      <c r="C128" s="1">
        <v>102.5642261</v>
      </c>
    </row>
    <row r="129" spans="1:3" ht="15.5" x14ac:dyDescent="0.35">
      <c r="A129" t="s">
        <v>129</v>
      </c>
      <c r="B129">
        <v>-2.5760003</v>
      </c>
      <c r="C129" s="1">
        <v>101.1169805</v>
      </c>
    </row>
    <row r="130" spans="1:3" ht="15.5" x14ac:dyDescent="0.35">
      <c r="A130" t="s">
        <v>130</v>
      </c>
      <c r="B130">
        <v>-2.9926170000000001</v>
      </c>
      <c r="C130" s="1">
        <v>104.38220200000001</v>
      </c>
    </row>
    <row r="131" spans="1:3" ht="15.5" x14ac:dyDescent="0.35">
      <c r="A131" t="s">
        <v>131</v>
      </c>
      <c r="B131">
        <v>-3.6514310000000001</v>
      </c>
      <c r="C131" s="1">
        <v>102.57820100000001</v>
      </c>
    </row>
    <row r="132" spans="1:3" ht="15.5" x14ac:dyDescent="0.35">
      <c r="A132" t="s">
        <v>132</v>
      </c>
      <c r="B132">
        <v>-3.7955556000000001</v>
      </c>
      <c r="C132" s="1">
        <v>102.25916669999999</v>
      </c>
    </row>
    <row r="133" spans="1:3" ht="15.5" x14ac:dyDescent="0.35">
      <c r="A133" t="s">
        <v>133</v>
      </c>
      <c r="B133">
        <v>-3.7955556000000001</v>
      </c>
      <c r="C133" s="1">
        <v>102.25916669999999</v>
      </c>
    </row>
    <row r="134" spans="1:3" ht="15.5" x14ac:dyDescent="0.35">
      <c r="A134" t="s">
        <v>134</v>
      </c>
      <c r="B134">
        <v>-4.5585848999999996</v>
      </c>
      <c r="C134" s="1">
        <v>105.4068079</v>
      </c>
    </row>
    <row r="135" spans="1:3" ht="15.5" x14ac:dyDescent="0.35">
      <c r="A135" t="s">
        <v>135</v>
      </c>
      <c r="B135">
        <v>-5.1490396</v>
      </c>
      <c r="C135" s="1">
        <v>104.1930918</v>
      </c>
    </row>
    <row r="136" spans="1:3" ht="15.5" x14ac:dyDescent="0.35">
      <c r="A136" t="s">
        <v>136</v>
      </c>
      <c r="B136">
        <v>-5.3027489000000001</v>
      </c>
      <c r="C136" s="1">
        <v>104.5655273</v>
      </c>
    </row>
    <row r="137" spans="1:3" ht="15.5" x14ac:dyDescent="0.35">
      <c r="A137" t="s">
        <v>137</v>
      </c>
      <c r="B137">
        <v>-5.5622613999999997</v>
      </c>
      <c r="C137" s="1">
        <v>105.5474373</v>
      </c>
    </row>
    <row r="138" spans="1:3" ht="15.5" x14ac:dyDescent="0.35">
      <c r="A138" t="s">
        <v>138</v>
      </c>
      <c r="B138">
        <v>-5.1134994999999996</v>
      </c>
      <c r="C138" s="1">
        <v>105.6881788</v>
      </c>
    </row>
    <row r="139" spans="1:3" ht="15.5" x14ac:dyDescent="0.35">
      <c r="A139" t="s">
        <v>139</v>
      </c>
      <c r="B139">
        <v>-4.8008085999999999</v>
      </c>
      <c r="C139" s="1">
        <v>105.3131185</v>
      </c>
    </row>
    <row r="140" spans="1:3" ht="15.5" x14ac:dyDescent="0.35">
      <c r="A140" t="s">
        <v>140</v>
      </c>
      <c r="B140">
        <v>-4.8133904999999997</v>
      </c>
      <c r="C140" s="1">
        <v>104.75209390000001</v>
      </c>
    </row>
    <row r="141" spans="1:3" ht="15.5" x14ac:dyDescent="0.35">
      <c r="A141" t="s">
        <v>141</v>
      </c>
      <c r="B141">
        <v>-4.4963689000000002</v>
      </c>
      <c r="C141" s="1">
        <v>104.5655273</v>
      </c>
    </row>
    <row r="142" spans="1:3" ht="15.5" x14ac:dyDescent="0.35">
      <c r="A142" t="s">
        <v>142</v>
      </c>
      <c r="B142">
        <v>-4.3176576000000004</v>
      </c>
      <c r="C142" s="1">
        <v>105.50054830000001</v>
      </c>
    </row>
    <row r="143" spans="1:3" ht="15.5" x14ac:dyDescent="0.35">
      <c r="A143" t="s">
        <v>143</v>
      </c>
      <c r="B143">
        <v>-5.4932449999999999</v>
      </c>
      <c r="C143" s="1">
        <v>105.07912279999999</v>
      </c>
    </row>
    <row r="144" spans="1:3" ht="15.5" x14ac:dyDescent="0.35">
      <c r="A144" t="s">
        <v>144</v>
      </c>
      <c r="B144">
        <v>-5.3539884000000004</v>
      </c>
      <c r="C144" s="1">
        <v>104.9622498</v>
      </c>
    </row>
    <row r="145" spans="1:3" ht="15.5" x14ac:dyDescent="0.35">
      <c r="A145" t="s">
        <v>145</v>
      </c>
      <c r="B145">
        <v>-4.0044782999999997</v>
      </c>
      <c r="C145" s="1">
        <v>105.3131185</v>
      </c>
    </row>
    <row r="146" spans="1:3" ht="15.5" x14ac:dyDescent="0.35">
      <c r="A146" t="s">
        <v>146</v>
      </c>
      <c r="B146">
        <v>-4.5256967000000001</v>
      </c>
      <c r="C146" s="1">
        <v>105.07912279999999</v>
      </c>
    </row>
    <row r="147" spans="1:3" ht="15.5" x14ac:dyDescent="0.35">
      <c r="A147" t="s">
        <v>147</v>
      </c>
      <c r="B147">
        <v>-5.1888360000000002</v>
      </c>
      <c r="C147" s="1">
        <v>103.935852</v>
      </c>
    </row>
    <row r="148" spans="1:3" ht="15.5" x14ac:dyDescent="0.35">
      <c r="A148" t="s">
        <v>148</v>
      </c>
      <c r="B148">
        <v>-5.45</v>
      </c>
      <c r="C148" s="1">
        <v>105.2666667</v>
      </c>
    </row>
    <row r="149" spans="1:3" ht="15.5" x14ac:dyDescent="0.35">
      <c r="A149" t="s">
        <v>149</v>
      </c>
      <c r="B149">
        <v>-5.1166666999999997</v>
      </c>
      <c r="C149" s="1">
        <v>105.3</v>
      </c>
    </row>
    <row r="150" spans="1:3" ht="15.5" x14ac:dyDescent="0.35">
      <c r="A150" t="s">
        <v>150</v>
      </c>
      <c r="B150">
        <v>-2.7410513000000001</v>
      </c>
      <c r="C150" s="1">
        <v>106.4405872</v>
      </c>
    </row>
    <row r="151" spans="1:3" ht="15.5" x14ac:dyDescent="0.35">
      <c r="A151" t="s">
        <v>151</v>
      </c>
      <c r="B151">
        <v>-2.2884782000000001</v>
      </c>
      <c r="C151" s="1">
        <v>106.0640179</v>
      </c>
    </row>
    <row r="152" spans="1:3" ht="15.5" x14ac:dyDescent="0.35">
      <c r="A152" t="s">
        <v>152</v>
      </c>
      <c r="B152">
        <v>-2.8708938000000002</v>
      </c>
      <c r="C152" s="1">
        <v>107.9531836</v>
      </c>
    </row>
    <row r="153" spans="1:3" ht="15.5" x14ac:dyDescent="0.35">
      <c r="A153" t="s">
        <v>153</v>
      </c>
      <c r="B153">
        <v>-2.2884782000000001</v>
      </c>
      <c r="C153" s="1">
        <v>106.0640179</v>
      </c>
    </row>
    <row r="154" spans="1:3" ht="15.5" x14ac:dyDescent="0.35">
      <c r="A154" t="s">
        <v>154</v>
      </c>
      <c r="B154">
        <v>-2.2884782000000001</v>
      </c>
      <c r="C154" s="1">
        <v>106.0640179</v>
      </c>
    </row>
    <row r="155" spans="1:3" ht="15.5" x14ac:dyDescent="0.35">
      <c r="A155" t="s">
        <v>155</v>
      </c>
      <c r="B155">
        <v>-2.2884782000000001</v>
      </c>
      <c r="C155" s="1">
        <v>106.0640179</v>
      </c>
    </row>
    <row r="156" spans="1:3" ht="15.5" x14ac:dyDescent="0.35">
      <c r="A156" t="s">
        <v>156</v>
      </c>
      <c r="B156">
        <v>-2.8708938000000002</v>
      </c>
      <c r="C156" s="1">
        <v>107.9531836</v>
      </c>
    </row>
    <row r="157" spans="1:3" ht="15.5" x14ac:dyDescent="0.35">
      <c r="A157" t="s">
        <v>157</v>
      </c>
      <c r="B157">
        <v>-2.1293229999999999</v>
      </c>
      <c r="C157" s="1">
        <v>106.109596</v>
      </c>
    </row>
    <row r="158" spans="1:3" ht="15.5" x14ac:dyDescent="0.35">
      <c r="A158" t="s">
        <v>158</v>
      </c>
      <c r="B158">
        <v>3.9456514</v>
      </c>
      <c r="C158" s="1">
        <v>108.1428669</v>
      </c>
    </row>
    <row r="159" spans="1:3" ht="15.5" x14ac:dyDescent="0.35">
      <c r="A159" t="s">
        <v>159</v>
      </c>
      <c r="B159">
        <v>1.05</v>
      </c>
      <c r="C159" s="1">
        <v>103.3666667</v>
      </c>
    </row>
    <row r="160" spans="1:3" ht="15.5" x14ac:dyDescent="0.35">
      <c r="A160" t="s">
        <v>160</v>
      </c>
      <c r="B160">
        <v>1.0619173</v>
      </c>
      <c r="C160" s="1">
        <v>104.5189214</v>
      </c>
    </row>
    <row r="161" spans="1:3" ht="15.5" x14ac:dyDescent="0.35">
      <c r="A161" t="s">
        <v>161</v>
      </c>
      <c r="B161">
        <v>3.9329944999999999</v>
      </c>
      <c r="C161" s="1">
        <v>108.1812242</v>
      </c>
    </row>
    <row r="162" spans="1:3" ht="15.5" x14ac:dyDescent="0.35">
      <c r="A162" t="s">
        <v>162</v>
      </c>
      <c r="B162">
        <v>-0.16276860000000001</v>
      </c>
      <c r="C162" s="1">
        <v>104.6354631</v>
      </c>
    </row>
    <row r="163" spans="1:3" ht="15.5" x14ac:dyDescent="0.35">
      <c r="A163" t="s">
        <v>163</v>
      </c>
      <c r="B163">
        <v>3</v>
      </c>
      <c r="C163" s="1">
        <v>106</v>
      </c>
    </row>
    <row r="164" spans="1:3" ht="15.5" x14ac:dyDescent="0.35">
      <c r="A164" t="s">
        <v>164</v>
      </c>
      <c r="B164">
        <v>-7.7016549999999997</v>
      </c>
      <c r="C164" s="1">
        <v>108.49422</v>
      </c>
    </row>
    <row r="165" spans="1:3" ht="15.5" x14ac:dyDescent="0.35">
      <c r="A165" t="s">
        <v>165</v>
      </c>
      <c r="B165">
        <v>-8.3699999999999992</v>
      </c>
      <c r="C165" s="1">
        <v>115.52</v>
      </c>
    </row>
    <row r="166" spans="1:3" ht="15.5" x14ac:dyDescent="0.35">
      <c r="A166" t="s">
        <v>166</v>
      </c>
      <c r="B166">
        <v>-9.5672219999999992</v>
      </c>
      <c r="C166" s="1">
        <v>124.9075</v>
      </c>
    </row>
    <row r="167" spans="1:3" ht="15.5" x14ac:dyDescent="0.35">
      <c r="A167" t="s">
        <v>1085</v>
      </c>
      <c r="B167">
        <v>0.5</v>
      </c>
      <c r="C167" s="1">
        <v>115.28</v>
      </c>
    </row>
    <row r="168" spans="1:3" ht="15.5" x14ac:dyDescent="0.35">
      <c r="A168" t="s">
        <v>168</v>
      </c>
      <c r="B168">
        <v>-6.332973</v>
      </c>
      <c r="C168" s="1">
        <v>106.80791499999999</v>
      </c>
    </row>
    <row r="169" spans="1:3" ht="15.5" x14ac:dyDescent="0.35">
      <c r="A169" t="s">
        <v>169</v>
      </c>
      <c r="B169">
        <v>-6.211544</v>
      </c>
      <c r="C169" s="1">
        <v>106.84517200000001</v>
      </c>
    </row>
    <row r="170" spans="1:3" ht="15.5" x14ac:dyDescent="0.35">
      <c r="A170" t="s">
        <v>170</v>
      </c>
      <c r="B170">
        <v>-6.211544</v>
      </c>
      <c r="C170" s="1">
        <v>106.84517200000001</v>
      </c>
    </row>
    <row r="171" spans="1:3" ht="15.5" x14ac:dyDescent="0.35">
      <c r="A171" t="s">
        <v>171</v>
      </c>
      <c r="B171">
        <v>-6.211544</v>
      </c>
      <c r="C171" s="1">
        <v>106.84517200000001</v>
      </c>
    </row>
    <row r="172" spans="1:3" ht="15.5" x14ac:dyDescent="0.35">
      <c r="A172" t="s">
        <v>172</v>
      </c>
      <c r="B172">
        <v>-6.211544</v>
      </c>
      <c r="C172" s="1">
        <v>106.84517200000001</v>
      </c>
    </row>
    <row r="173" spans="1:3" ht="15.5" x14ac:dyDescent="0.35">
      <c r="A173" t="s">
        <v>173</v>
      </c>
      <c r="B173">
        <v>-7.0909110000000002</v>
      </c>
      <c r="C173" s="1">
        <v>107.668887</v>
      </c>
    </row>
    <row r="174" spans="1:3" ht="15.5" x14ac:dyDescent="0.35">
      <c r="A174" t="s">
        <v>174</v>
      </c>
      <c r="B174">
        <v>-6.6</v>
      </c>
      <c r="C174" s="1">
        <v>106.8</v>
      </c>
    </row>
    <row r="175" spans="1:3" ht="15.5" x14ac:dyDescent="0.35">
      <c r="A175" t="s">
        <v>175</v>
      </c>
      <c r="B175">
        <v>-6.9240500000000003</v>
      </c>
      <c r="C175" s="1">
        <v>106.922203</v>
      </c>
    </row>
    <row r="176" spans="1:3" ht="15.5" x14ac:dyDescent="0.35">
      <c r="A176" t="s">
        <v>176</v>
      </c>
      <c r="B176">
        <v>-6.8172531000000003</v>
      </c>
      <c r="C176" s="1">
        <v>107.13072889999999</v>
      </c>
    </row>
    <row r="177" spans="1:3" ht="15.5" x14ac:dyDescent="0.35">
      <c r="A177" t="s">
        <v>177</v>
      </c>
      <c r="B177">
        <v>-6.9147444</v>
      </c>
      <c r="C177" s="1">
        <v>107.6098111</v>
      </c>
    </row>
    <row r="178" spans="1:3" ht="15.5" x14ac:dyDescent="0.35">
      <c r="A178" t="s">
        <v>178</v>
      </c>
      <c r="B178">
        <v>-7.2279059999999999</v>
      </c>
      <c r="C178" s="1">
        <v>107.908699</v>
      </c>
    </row>
    <row r="179" spans="1:3" ht="15.5" x14ac:dyDescent="0.35">
      <c r="A179" t="s">
        <v>179</v>
      </c>
      <c r="B179">
        <v>-7.3279540000000001</v>
      </c>
      <c r="C179" s="1">
        <v>108.21410400000001</v>
      </c>
    </row>
    <row r="180" spans="1:3" ht="15.5" x14ac:dyDescent="0.35">
      <c r="A180" t="s">
        <v>180</v>
      </c>
      <c r="B180">
        <v>-7.3333332999999996</v>
      </c>
      <c r="C180" s="1">
        <v>108.35</v>
      </c>
    </row>
    <row r="181" spans="1:3" ht="15.5" x14ac:dyDescent="0.35">
      <c r="A181" t="s">
        <v>181</v>
      </c>
      <c r="B181">
        <v>-6.9833333</v>
      </c>
      <c r="C181" s="1">
        <v>108.4833333</v>
      </c>
    </row>
    <row r="182" spans="1:3" ht="15.5" x14ac:dyDescent="0.35">
      <c r="A182" t="s">
        <v>182</v>
      </c>
      <c r="B182">
        <v>-6.7155339999999999</v>
      </c>
      <c r="C182" s="1">
        <v>108.564003</v>
      </c>
    </row>
    <row r="183" spans="1:3" ht="15.5" x14ac:dyDescent="0.35">
      <c r="A183" t="s">
        <v>183</v>
      </c>
      <c r="B183">
        <v>-6.8531025999999997</v>
      </c>
      <c r="C183" s="1">
        <v>108.2258897</v>
      </c>
    </row>
    <row r="184" spans="1:3" ht="15.5" x14ac:dyDescent="0.35">
      <c r="A184" t="s">
        <v>184</v>
      </c>
      <c r="B184">
        <v>0.60959490000000005</v>
      </c>
      <c r="C184" s="1">
        <v>110.03305539999999</v>
      </c>
    </row>
    <row r="185" spans="1:3" ht="15.5" x14ac:dyDescent="0.35">
      <c r="A185" t="s">
        <v>185</v>
      </c>
      <c r="B185">
        <v>-6.3363149999999999</v>
      </c>
      <c r="C185" s="1">
        <v>108.325104</v>
      </c>
    </row>
    <row r="186" spans="1:3" ht="15.5" x14ac:dyDescent="0.35">
      <c r="A186" t="s">
        <v>186</v>
      </c>
      <c r="B186">
        <v>-6.5693609999999998</v>
      </c>
      <c r="C186" s="1">
        <v>107.752403</v>
      </c>
    </row>
    <row r="187" spans="1:3" ht="15.5" x14ac:dyDescent="0.35">
      <c r="A187" t="s">
        <v>187</v>
      </c>
      <c r="B187">
        <v>-6.5386806000000002</v>
      </c>
      <c r="C187" s="1">
        <v>107.4499404</v>
      </c>
    </row>
    <row r="188" spans="1:3" ht="15.5" x14ac:dyDescent="0.35">
      <c r="A188" t="s">
        <v>188</v>
      </c>
      <c r="B188">
        <v>-6.3227302999999999</v>
      </c>
      <c r="C188" s="1">
        <v>107.3375791</v>
      </c>
    </row>
    <row r="189" spans="1:3" ht="15.5" x14ac:dyDescent="0.35">
      <c r="A189" t="s">
        <v>189</v>
      </c>
      <c r="B189">
        <v>-6.2333333</v>
      </c>
      <c r="C189" s="1">
        <v>107</v>
      </c>
    </row>
    <row r="190" spans="1:3" ht="15.5" x14ac:dyDescent="0.35">
      <c r="A190" t="s">
        <v>190</v>
      </c>
      <c r="B190">
        <v>-6.8937121000000001</v>
      </c>
      <c r="C190" s="1">
        <v>107.4321959</v>
      </c>
    </row>
    <row r="191" spans="1:3" ht="15.5" x14ac:dyDescent="0.35">
      <c r="A191" t="s">
        <v>191</v>
      </c>
      <c r="B191">
        <v>-7.7016549999999997</v>
      </c>
      <c r="C191" s="1">
        <v>108.49422</v>
      </c>
    </row>
    <row r="192" spans="1:3" ht="15.5" x14ac:dyDescent="0.35">
      <c r="A192" t="s">
        <v>192</v>
      </c>
      <c r="B192">
        <v>-6.6</v>
      </c>
      <c r="C192" s="1">
        <v>106.8</v>
      </c>
    </row>
    <row r="193" spans="1:3" ht="15.5" x14ac:dyDescent="0.35">
      <c r="A193" t="s">
        <v>193</v>
      </c>
      <c r="B193">
        <v>-6.9240500000000003</v>
      </c>
      <c r="C193" s="1">
        <v>106.922203</v>
      </c>
    </row>
    <row r="194" spans="1:3" ht="15.5" x14ac:dyDescent="0.35">
      <c r="A194" t="s">
        <v>194</v>
      </c>
      <c r="B194">
        <v>-6.9147444</v>
      </c>
      <c r="C194" s="1">
        <v>107.6098111</v>
      </c>
    </row>
    <row r="195" spans="1:3" ht="15.5" x14ac:dyDescent="0.35">
      <c r="A195" t="s">
        <v>195</v>
      </c>
      <c r="B195">
        <v>-6.7155339999999999</v>
      </c>
      <c r="C195" s="1">
        <v>108.564003</v>
      </c>
    </row>
    <row r="196" spans="1:3" ht="15.5" x14ac:dyDescent="0.35">
      <c r="A196" t="s">
        <v>196</v>
      </c>
      <c r="B196">
        <v>-6.2333333</v>
      </c>
      <c r="C196" s="1">
        <v>107</v>
      </c>
    </row>
    <row r="197" spans="1:3" ht="15.5" x14ac:dyDescent="0.35">
      <c r="A197" t="s">
        <v>197</v>
      </c>
      <c r="B197">
        <v>-6.39</v>
      </c>
      <c r="C197" s="1">
        <v>106.83</v>
      </c>
    </row>
    <row r="198" spans="1:3" ht="15.5" x14ac:dyDescent="0.35">
      <c r="A198" t="s">
        <v>198</v>
      </c>
      <c r="B198">
        <v>-6.8802390000000004</v>
      </c>
      <c r="C198" s="1">
        <v>107.5355</v>
      </c>
    </row>
    <row r="199" spans="1:3" ht="15.5" x14ac:dyDescent="0.35">
      <c r="A199" t="s">
        <v>199</v>
      </c>
      <c r="B199">
        <v>-7.3279540000000001</v>
      </c>
      <c r="C199" s="1">
        <v>108.21410400000001</v>
      </c>
    </row>
    <row r="200" spans="1:3" ht="15.5" x14ac:dyDescent="0.35">
      <c r="A200" t="s">
        <v>200</v>
      </c>
      <c r="B200">
        <v>-7.3666666999999997</v>
      </c>
      <c r="C200" s="1">
        <v>108.5333333</v>
      </c>
    </row>
    <row r="201" spans="1:3" ht="15.5" x14ac:dyDescent="0.35">
      <c r="A201" t="s">
        <v>201</v>
      </c>
      <c r="B201">
        <v>-7.1509749999999999</v>
      </c>
      <c r="C201" s="1">
        <v>110.14025940000001</v>
      </c>
    </row>
    <row r="202" spans="1:3" ht="15.5" x14ac:dyDescent="0.35">
      <c r="A202" t="s">
        <v>202</v>
      </c>
      <c r="B202">
        <v>-7.733333</v>
      </c>
      <c r="C202" s="1">
        <v>109</v>
      </c>
    </row>
    <row r="203" spans="1:3" ht="15.5" x14ac:dyDescent="0.35">
      <c r="A203" t="s">
        <v>203</v>
      </c>
      <c r="B203">
        <v>-7.4832133000000001</v>
      </c>
      <c r="C203" s="1">
        <v>109.140438</v>
      </c>
    </row>
    <row r="204" spans="1:3" ht="15.5" x14ac:dyDescent="0.35">
      <c r="A204" t="s">
        <v>204</v>
      </c>
      <c r="B204">
        <v>-7.3907470000000002</v>
      </c>
      <c r="C204" s="1">
        <v>109.3638</v>
      </c>
    </row>
    <row r="205" spans="1:3" ht="15.5" x14ac:dyDescent="0.35">
      <c r="A205" t="s">
        <v>205</v>
      </c>
      <c r="B205">
        <v>-7.4027060000000002</v>
      </c>
      <c r="C205" s="1">
        <v>109.68139600000001</v>
      </c>
    </row>
    <row r="206" spans="1:3" ht="15.5" x14ac:dyDescent="0.35">
      <c r="A206" t="s">
        <v>206</v>
      </c>
      <c r="B206">
        <v>-7.6786820000000002</v>
      </c>
      <c r="C206" s="1">
        <v>109.656502</v>
      </c>
    </row>
    <row r="207" spans="1:3" ht="15.5" x14ac:dyDescent="0.35">
      <c r="A207" t="s">
        <v>207</v>
      </c>
      <c r="B207">
        <v>-7.7097309999999997</v>
      </c>
      <c r="C207" s="1">
        <v>110.008003</v>
      </c>
    </row>
    <row r="208" spans="1:3" ht="15.5" x14ac:dyDescent="0.35">
      <c r="A208" t="s">
        <v>208</v>
      </c>
      <c r="B208">
        <v>-7.3621090000000002</v>
      </c>
      <c r="C208" s="1">
        <v>109.899399</v>
      </c>
    </row>
    <row r="209" spans="1:3" ht="15.5" x14ac:dyDescent="0.35">
      <c r="A209" t="s">
        <v>209</v>
      </c>
      <c r="B209">
        <v>-7.4812529999999997</v>
      </c>
      <c r="C209" s="1">
        <v>110.21379899999999</v>
      </c>
    </row>
    <row r="210" spans="1:3" ht="15.5" x14ac:dyDescent="0.35">
      <c r="A210" t="s">
        <v>210</v>
      </c>
      <c r="B210">
        <v>-7.5238189999999996</v>
      </c>
      <c r="C210" s="1">
        <v>110.595901</v>
      </c>
    </row>
    <row r="211" spans="1:3" ht="15.5" x14ac:dyDescent="0.35">
      <c r="A211" t="s">
        <v>211</v>
      </c>
      <c r="B211">
        <v>-7.7116870000000004</v>
      </c>
      <c r="C211" s="1">
        <v>110.59549699999999</v>
      </c>
    </row>
    <row r="212" spans="1:3" ht="15.5" x14ac:dyDescent="0.35">
      <c r="A212" t="s">
        <v>212</v>
      </c>
      <c r="B212">
        <v>-7.6808817999999999</v>
      </c>
      <c r="C212" s="1">
        <v>110.81952920000001</v>
      </c>
    </row>
    <row r="213" spans="1:3" ht="15.5" x14ac:dyDescent="0.35">
      <c r="A213" t="s">
        <v>213</v>
      </c>
      <c r="B213">
        <v>-7.8177820000000002</v>
      </c>
      <c r="C213" s="1">
        <v>110.920601</v>
      </c>
    </row>
    <row r="214" spans="1:3" ht="15.5" x14ac:dyDescent="0.35">
      <c r="A214" t="s">
        <v>214</v>
      </c>
      <c r="B214">
        <v>-7.5961110999999999</v>
      </c>
      <c r="C214" s="1">
        <v>110.9508333</v>
      </c>
    </row>
    <row r="215" spans="1:3" ht="15.5" x14ac:dyDescent="0.35">
      <c r="A215" t="s">
        <v>215</v>
      </c>
      <c r="B215">
        <v>-7.4302289999999998</v>
      </c>
      <c r="C215" s="1">
        <v>111.02130099999999</v>
      </c>
    </row>
    <row r="216" spans="1:3" ht="15.5" x14ac:dyDescent="0.35">
      <c r="A216" t="s">
        <v>216</v>
      </c>
      <c r="B216">
        <v>-7.0217194000000003</v>
      </c>
      <c r="C216" s="1">
        <v>110.96258539999999</v>
      </c>
    </row>
    <row r="217" spans="1:3" ht="15.5" x14ac:dyDescent="0.35">
      <c r="A217" t="s">
        <v>217</v>
      </c>
      <c r="B217">
        <v>-6.95</v>
      </c>
      <c r="C217" s="1">
        <v>111.41666669999999</v>
      </c>
    </row>
    <row r="218" spans="1:3" ht="15.5" x14ac:dyDescent="0.35">
      <c r="A218" t="s">
        <v>218</v>
      </c>
      <c r="B218">
        <v>-6.7112400000000001</v>
      </c>
      <c r="C218" s="1">
        <v>111.345299</v>
      </c>
    </row>
    <row r="219" spans="1:3" ht="15.5" x14ac:dyDescent="0.35">
      <c r="A219" t="s">
        <v>219</v>
      </c>
      <c r="B219">
        <v>-6.7513379999999996</v>
      </c>
      <c r="C219" s="1">
        <v>111.03800200000001</v>
      </c>
    </row>
    <row r="220" spans="1:3" ht="15.5" x14ac:dyDescent="0.35">
      <c r="A220" t="s">
        <v>220</v>
      </c>
      <c r="B220">
        <v>-6.804087</v>
      </c>
      <c r="C220" s="1">
        <v>110.83820299999999</v>
      </c>
    </row>
    <row r="221" spans="1:3" ht="15.5" x14ac:dyDescent="0.35">
      <c r="A221" t="s">
        <v>221</v>
      </c>
      <c r="B221">
        <v>-6.5596059000000002</v>
      </c>
      <c r="C221" s="1">
        <v>110.6717</v>
      </c>
    </row>
    <row r="222" spans="1:3" ht="15.5" x14ac:dyDescent="0.35">
      <c r="A222" t="s">
        <v>222</v>
      </c>
      <c r="B222">
        <v>-6.888115</v>
      </c>
      <c r="C222" s="1">
        <v>110.639297</v>
      </c>
    </row>
    <row r="223" spans="1:3" ht="15.5" x14ac:dyDescent="0.35">
      <c r="A223" t="s">
        <v>223</v>
      </c>
      <c r="B223">
        <v>-6.9666667000000002</v>
      </c>
      <c r="C223" s="1">
        <v>110.41666669999999</v>
      </c>
    </row>
    <row r="224" spans="1:3" ht="15.5" x14ac:dyDescent="0.35">
      <c r="A224" t="s">
        <v>224</v>
      </c>
      <c r="B224">
        <v>-7.3166690000000001</v>
      </c>
      <c r="C224" s="1">
        <v>110.174797</v>
      </c>
    </row>
    <row r="225" spans="1:3" ht="15.5" x14ac:dyDescent="0.35">
      <c r="A225" t="s">
        <v>225</v>
      </c>
      <c r="B225">
        <v>-6.9196859999999996</v>
      </c>
      <c r="C225" s="1">
        <v>110.205597</v>
      </c>
    </row>
    <row r="226" spans="1:3" ht="15.5" x14ac:dyDescent="0.35">
      <c r="A226" t="s">
        <v>226</v>
      </c>
      <c r="B226">
        <v>-6.8941110999999999</v>
      </c>
      <c r="C226" s="1">
        <v>109.7234519</v>
      </c>
    </row>
    <row r="227" spans="1:3" ht="15.5" x14ac:dyDescent="0.35">
      <c r="A227" t="s">
        <v>227</v>
      </c>
      <c r="B227">
        <v>-6.8828870000000002</v>
      </c>
      <c r="C227" s="1">
        <v>109.66999800000001</v>
      </c>
    </row>
    <row r="228" spans="1:3" ht="15.5" x14ac:dyDescent="0.35">
      <c r="A228" t="s">
        <v>228</v>
      </c>
      <c r="B228">
        <v>-6.8842340000000002</v>
      </c>
      <c r="C228" s="1">
        <v>109.37799800000001</v>
      </c>
    </row>
    <row r="229" spans="1:3" ht="15.5" x14ac:dyDescent="0.35">
      <c r="A229" t="s">
        <v>229</v>
      </c>
      <c r="B229">
        <v>-6.8666666999999997</v>
      </c>
      <c r="C229" s="1">
        <v>109.1333333</v>
      </c>
    </row>
    <row r="230" spans="1:3" ht="15.5" x14ac:dyDescent="0.35">
      <c r="A230" t="s">
        <v>230</v>
      </c>
      <c r="B230">
        <v>-6.8833333000000003</v>
      </c>
      <c r="C230" s="1">
        <v>109.05</v>
      </c>
    </row>
    <row r="231" spans="1:3" ht="15.5" x14ac:dyDescent="0.35">
      <c r="A231" t="s">
        <v>231</v>
      </c>
      <c r="B231">
        <v>-7.4812529999999997</v>
      </c>
      <c r="C231" s="1">
        <v>110.21379899999999</v>
      </c>
    </row>
    <row r="232" spans="1:3" ht="15.5" x14ac:dyDescent="0.35">
      <c r="A232" t="s">
        <v>232</v>
      </c>
      <c r="B232">
        <v>-7.5666666999999999</v>
      </c>
      <c r="C232" s="1">
        <v>110.8166667</v>
      </c>
    </row>
    <row r="233" spans="1:3" ht="15.5" x14ac:dyDescent="0.35">
      <c r="A233" t="s">
        <v>233</v>
      </c>
      <c r="B233">
        <v>-7.3023280000000002</v>
      </c>
      <c r="C233" s="1">
        <v>110.4729</v>
      </c>
    </row>
    <row r="234" spans="1:3" ht="15.5" x14ac:dyDescent="0.35">
      <c r="A234" t="s">
        <v>234</v>
      </c>
      <c r="B234">
        <v>-6.9666667000000002</v>
      </c>
      <c r="C234" s="1">
        <v>110.41666669999999</v>
      </c>
    </row>
    <row r="235" spans="1:3" ht="15.5" x14ac:dyDescent="0.35">
      <c r="A235" t="s">
        <v>235</v>
      </c>
      <c r="B235">
        <v>-6.8828870000000002</v>
      </c>
      <c r="C235" s="1">
        <v>109.66999800000001</v>
      </c>
    </row>
    <row r="236" spans="1:3" ht="15.5" x14ac:dyDescent="0.35">
      <c r="A236" t="s">
        <v>236</v>
      </c>
      <c r="B236">
        <v>-6.8666666999999997</v>
      </c>
      <c r="C236" s="1">
        <v>109.1333333</v>
      </c>
    </row>
    <row r="237" spans="1:3" ht="15.5" x14ac:dyDescent="0.35">
      <c r="A237" t="s">
        <v>768</v>
      </c>
      <c r="B237">
        <v>-7.8753849000000002</v>
      </c>
      <c r="C237" s="1">
        <v>110.4262088</v>
      </c>
    </row>
    <row r="238" spans="1:3" ht="15.5" x14ac:dyDescent="0.35">
      <c r="A238" t="s">
        <v>237</v>
      </c>
      <c r="B238">
        <v>-7.8266798</v>
      </c>
      <c r="C238" s="1">
        <v>110.1640846</v>
      </c>
    </row>
    <row r="239" spans="1:3" ht="15.5" x14ac:dyDescent="0.35">
      <c r="A239" t="s">
        <v>238</v>
      </c>
      <c r="B239">
        <v>-7.8846110999999999</v>
      </c>
      <c r="C239" s="1">
        <v>110.3341111</v>
      </c>
    </row>
    <row r="240" spans="1:3" ht="15.5" x14ac:dyDescent="0.35">
      <c r="A240" t="s">
        <v>239</v>
      </c>
      <c r="B240">
        <v>-8.0305090999999997</v>
      </c>
      <c r="C240" s="1">
        <v>110.6168921</v>
      </c>
    </row>
    <row r="241" spans="1:3" ht="15.5" x14ac:dyDescent="0.35">
      <c r="A241" t="s">
        <v>240</v>
      </c>
      <c r="B241">
        <v>-7.7161650000000002</v>
      </c>
      <c r="C241" s="1">
        <v>110.335403</v>
      </c>
    </row>
    <row r="242" spans="1:3" ht="15.5" x14ac:dyDescent="0.35">
      <c r="A242" t="s">
        <v>241</v>
      </c>
      <c r="B242">
        <v>-7.7972239999999999</v>
      </c>
      <c r="C242" s="1">
        <v>110.368797</v>
      </c>
    </row>
    <row r="243" spans="1:3" ht="15.5" x14ac:dyDescent="0.35">
      <c r="A243" t="s">
        <v>242</v>
      </c>
      <c r="B243">
        <v>-7.5360639000000003</v>
      </c>
      <c r="C243" s="1">
        <v>112.2384017</v>
      </c>
    </row>
    <row r="244" spans="1:3" ht="15.5" x14ac:dyDescent="0.35">
      <c r="A244" t="s">
        <v>243</v>
      </c>
      <c r="B244">
        <v>-8.2046139999999994</v>
      </c>
      <c r="C244" s="1">
        <v>111.08768999999999</v>
      </c>
    </row>
    <row r="245" spans="1:3" ht="15.5" x14ac:dyDescent="0.35">
      <c r="A245" t="s">
        <v>244</v>
      </c>
      <c r="B245">
        <v>-7.8678270000000001</v>
      </c>
      <c r="C245" s="1">
        <v>111.466003</v>
      </c>
    </row>
    <row r="246" spans="1:3" ht="15.5" x14ac:dyDescent="0.35">
      <c r="A246" t="s">
        <v>245</v>
      </c>
      <c r="B246">
        <v>-8.0500000000000007</v>
      </c>
      <c r="C246" s="1">
        <v>111.7166667</v>
      </c>
    </row>
    <row r="247" spans="1:3" ht="15.5" x14ac:dyDescent="0.35">
      <c r="A247" t="s">
        <v>246</v>
      </c>
      <c r="B247">
        <v>-8.0666667000000007</v>
      </c>
      <c r="C247" s="1">
        <v>111.9</v>
      </c>
    </row>
    <row r="248" spans="1:3" ht="15.5" x14ac:dyDescent="0.35">
      <c r="A248" t="s">
        <v>247</v>
      </c>
      <c r="B248">
        <v>-8.1014418999999993</v>
      </c>
      <c r="C248" s="1">
        <v>112.162762</v>
      </c>
    </row>
    <row r="249" spans="1:3" ht="15.5" x14ac:dyDescent="0.35">
      <c r="A249" t="s">
        <v>248</v>
      </c>
      <c r="B249">
        <v>-7.8093560000000002</v>
      </c>
      <c r="C249" s="1">
        <v>112.03235599999999</v>
      </c>
    </row>
    <row r="250" spans="1:3" ht="15.5" x14ac:dyDescent="0.35">
      <c r="A250" t="s">
        <v>249</v>
      </c>
      <c r="B250">
        <v>-8.0495643000000001</v>
      </c>
      <c r="C250" s="1">
        <v>112.6884549</v>
      </c>
    </row>
    <row r="251" spans="1:3" ht="15.5" x14ac:dyDescent="0.35">
      <c r="A251" t="s">
        <v>250</v>
      </c>
      <c r="B251">
        <v>-8.137022</v>
      </c>
      <c r="C251" s="1">
        <v>113.226601</v>
      </c>
    </row>
    <row r="252" spans="1:3" ht="15.5" x14ac:dyDescent="0.35">
      <c r="A252" t="s">
        <v>251</v>
      </c>
      <c r="B252">
        <v>-8.1723569999999999</v>
      </c>
      <c r="C252" s="1">
        <v>113.70030199999999</v>
      </c>
    </row>
    <row r="253" spans="1:3" ht="15.5" x14ac:dyDescent="0.35">
      <c r="A253" t="s">
        <v>252</v>
      </c>
      <c r="B253">
        <v>-8.2186111000000004</v>
      </c>
      <c r="C253" s="1">
        <v>114.36694439999999</v>
      </c>
    </row>
    <row r="254" spans="1:3" ht="15.5" x14ac:dyDescent="0.35">
      <c r="A254" t="s">
        <v>253</v>
      </c>
      <c r="B254">
        <v>-7.9177039999999996</v>
      </c>
      <c r="C254" s="1">
        <v>113.81348300000001</v>
      </c>
    </row>
    <row r="255" spans="1:3" ht="15.5" x14ac:dyDescent="0.35">
      <c r="A255" t="s">
        <v>254</v>
      </c>
      <c r="B255">
        <v>-7.702534</v>
      </c>
      <c r="C255" s="1">
        <v>113.95560500000001</v>
      </c>
    </row>
    <row r="256" spans="1:3" ht="15.5" x14ac:dyDescent="0.35">
      <c r="A256" t="s">
        <v>255</v>
      </c>
      <c r="B256">
        <v>-7.753965</v>
      </c>
      <c r="C256" s="1">
        <v>113.21067499999999</v>
      </c>
    </row>
    <row r="257" spans="1:3" ht="15.5" x14ac:dyDescent="0.35">
      <c r="A257" t="s">
        <v>256</v>
      </c>
      <c r="B257">
        <v>-6.8623098000000002</v>
      </c>
      <c r="C257" s="1">
        <v>108.8001936</v>
      </c>
    </row>
    <row r="258" spans="1:3" ht="15.5" x14ac:dyDescent="0.35">
      <c r="A258" t="s">
        <v>257</v>
      </c>
      <c r="B258">
        <v>-7.4530278000000001</v>
      </c>
      <c r="C258" s="1">
        <v>112.7173389</v>
      </c>
    </row>
    <row r="259" spans="1:3" ht="15.5" x14ac:dyDescent="0.35">
      <c r="A259" t="s">
        <v>258</v>
      </c>
      <c r="B259">
        <v>-7.4880750000000003</v>
      </c>
      <c r="C259" s="1">
        <v>112.427027</v>
      </c>
    </row>
    <row r="260" spans="1:3" ht="15.5" x14ac:dyDescent="0.35">
      <c r="A260" t="s">
        <v>259</v>
      </c>
      <c r="B260">
        <v>-7.5468394999999999</v>
      </c>
      <c r="C260" s="1">
        <v>112.2264794</v>
      </c>
    </row>
    <row r="261" spans="1:3" ht="15.5" x14ac:dyDescent="0.35">
      <c r="A261" t="s">
        <v>260</v>
      </c>
      <c r="B261">
        <v>-7.602932</v>
      </c>
      <c r="C261" s="1">
        <v>111.901808</v>
      </c>
    </row>
    <row r="262" spans="1:3" ht="15.5" x14ac:dyDescent="0.35">
      <c r="A262" t="s">
        <v>261</v>
      </c>
      <c r="B262">
        <v>-7.6277530000000002</v>
      </c>
      <c r="C262" s="1">
        <v>111.505483</v>
      </c>
    </row>
    <row r="263" spans="1:3" ht="15.5" x14ac:dyDescent="0.35">
      <c r="A263" t="s">
        <v>262</v>
      </c>
      <c r="B263">
        <v>-7.6493412999999997</v>
      </c>
      <c r="C263" s="1">
        <v>111.3381593</v>
      </c>
    </row>
    <row r="264" spans="1:3" ht="15.5" x14ac:dyDescent="0.35">
      <c r="A264" t="s">
        <v>263</v>
      </c>
      <c r="B264">
        <v>-7.3899299999999997</v>
      </c>
      <c r="C264" s="1">
        <v>111.46193</v>
      </c>
    </row>
    <row r="265" spans="1:3" ht="15.5" x14ac:dyDescent="0.35">
      <c r="A265" t="s">
        <v>264</v>
      </c>
      <c r="B265">
        <v>0.88268100000000005</v>
      </c>
      <c r="C265" s="1">
        <v>124.4669566</v>
      </c>
    </row>
    <row r="266" spans="1:3" ht="15.5" x14ac:dyDescent="0.35">
      <c r="A266" t="s">
        <v>265</v>
      </c>
      <c r="B266">
        <v>-8.7493145999999999</v>
      </c>
      <c r="C266" s="1">
        <v>115.1711298</v>
      </c>
    </row>
    <row r="267" spans="1:3" ht="15.5" x14ac:dyDescent="0.35">
      <c r="A267" t="s">
        <v>266</v>
      </c>
      <c r="B267">
        <v>-7.4061529999999998</v>
      </c>
      <c r="C267" s="1">
        <v>109.3946794</v>
      </c>
    </row>
    <row r="268" spans="1:3" ht="15.5" x14ac:dyDescent="0.35">
      <c r="A268" t="s">
        <v>267</v>
      </c>
      <c r="B268">
        <v>-7.15665</v>
      </c>
      <c r="C268" s="1">
        <v>112.6555</v>
      </c>
    </row>
    <row r="269" spans="1:3" ht="15.5" x14ac:dyDescent="0.35">
      <c r="A269" t="s">
        <v>268</v>
      </c>
      <c r="B269">
        <v>-7.0306911999999997</v>
      </c>
      <c r="C269" s="1">
        <v>112.7450068</v>
      </c>
    </row>
    <row r="270" spans="1:3" ht="15.5" x14ac:dyDescent="0.35">
      <c r="A270" t="s">
        <v>269</v>
      </c>
      <c r="B270">
        <v>-7.5782556000000003</v>
      </c>
      <c r="C270" s="1">
        <v>109.20584359999999</v>
      </c>
    </row>
    <row r="271" spans="1:3" ht="15.5" x14ac:dyDescent="0.35">
      <c r="A271" t="s">
        <v>270</v>
      </c>
      <c r="B271">
        <v>-7.1666667000000004</v>
      </c>
      <c r="C271" s="1">
        <v>113.4666667</v>
      </c>
    </row>
    <row r="272" spans="1:3" ht="15.5" x14ac:dyDescent="0.35">
      <c r="A272" t="s">
        <v>271</v>
      </c>
      <c r="B272">
        <v>-6.9253999000000004</v>
      </c>
      <c r="C272" s="1">
        <v>113.9060624</v>
      </c>
    </row>
    <row r="273" spans="1:3" ht="15.5" x14ac:dyDescent="0.35">
      <c r="A273" t="s">
        <v>272</v>
      </c>
      <c r="B273">
        <v>-7.8168949999999997</v>
      </c>
      <c r="C273" s="1">
        <v>112.011398</v>
      </c>
    </row>
    <row r="274" spans="1:3" ht="15.5" x14ac:dyDescent="0.35">
      <c r="A274" t="s">
        <v>273</v>
      </c>
      <c r="B274">
        <v>-8.1</v>
      </c>
      <c r="C274" s="1">
        <v>112.15</v>
      </c>
    </row>
    <row r="275" spans="1:3" ht="15.5" x14ac:dyDescent="0.35">
      <c r="A275" t="s">
        <v>274</v>
      </c>
      <c r="B275">
        <v>-7.9818939999999996</v>
      </c>
      <c r="C275" s="1">
        <v>112.626503</v>
      </c>
    </row>
    <row r="276" spans="1:3" ht="15.5" x14ac:dyDescent="0.35">
      <c r="A276" t="s">
        <v>275</v>
      </c>
      <c r="B276">
        <v>-7.7569280000000003</v>
      </c>
      <c r="C276" s="1">
        <v>113.211502</v>
      </c>
    </row>
    <row r="277" spans="1:3" ht="15.5" x14ac:dyDescent="0.35">
      <c r="A277" t="s">
        <v>276</v>
      </c>
      <c r="B277">
        <v>-7.6448720000000003</v>
      </c>
      <c r="C277" s="1">
        <v>112.90329699999999</v>
      </c>
    </row>
    <row r="278" spans="1:3" ht="15.5" x14ac:dyDescent="0.35">
      <c r="A278" t="s">
        <v>277</v>
      </c>
      <c r="B278">
        <v>-7.4722222</v>
      </c>
      <c r="C278" s="1">
        <v>112.43361109999999</v>
      </c>
    </row>
    <row r="279" spans="1:3" ht="15.5" x14ac:dyDescent="0.35">
      <c r="A279" t="s">
        <v>278</v>
      </c>
      <c r="B279">
        <v>-7.6297139999999999</v>
      </c>
      <c r="C279" s="1">
        <v>111.51370199999999</v>
      </c>
    </row>
    <row r="280" spans="1:3" ht="15.5" x14ac:dyDescent="0.35">
      <c r="A280" t="s">
        <v>279</v>
      </c>
      <c r="B280">
        <v>-7.2891659999999998</v>
      </c>
      <c r="C280" s="1">
        <v>112.734398</v>
      </c>
    </row>
    <row r="281" spans="1:3" ht="15.5" x14ac:dyDescent="0.35">
      <c r="A281" t="s">
        <v>280</v>
      </c>
      <c r="B281">
        <v>-7.8670999999999998</v>
      </c>
      <c r="C281" s="1">
        <v>112.5239</v>
      </c>
    </row>
    <row r="282" spans="1:3" ht="15.5" x14ac:dyDescent="0.35">
      <c r="A282" t="s">
        <v>281</v>
      </c>
      <c r="B282">
        <v>-6.4058172000000004</v>
      </c>
      <c r="C282" s="1">
        <v>106.0640179</v>
      </c>
    </row>
    <row r="283" spans="1:3" ht="15.5" x14ac:dyDescent="0.35">
      <c r="A283" t="s">
        <v>282</v>
      </c>
      <c r="B283">
        <v>-6.3148350000000004</v>
      </c>
      <c r="C283" s="1">
        <v>106.103897</v>
      </c>
    </row>
    <row r="284" spans="1:3" ht="15.5" x14ac:dyDescent="0.35">
      <c r="A284" t="s">
        <v>283</v>
      </c>
      <c r="B284">
        <v>-6.5643956000000001</v>
      </c>
      <c r="C284" s="1">
        <v>106.25221430000001</v>
      </c>
    </row>
    <row r="285" spans="1:3" ht="15.5" x14ac:dyDescent="0.35">
      <c r="A285" t="s">
        <v>284</v>
      </c>
      <c r="B285">
        <v>-6.1783055999999998</v>
      </c>
      <c r="C285" s="1">
        <v>106.63188890000001</v>
      </c>
    </row>
    <row r="286" spans="1:3" ht="15.5" x14ac:dyDescent="0.35">
      <c r="A286" t="s">
        <v>285</v>
      </c>
      <c r="B286">
        <v>-6.1200900000000003</v>
      </c>
      <c r="C286" s="1">
        <v>106.150299</v>
      </c>
    </row>
    <row r="287" spans="1:3" ht="15.5" x14ac:dyDescent="0.35">
      <c r="A287" t="s">
        <v>286</v>
      </c>
      <c r="B287">
        <v>-6.1783055999999998</v>
      </c>
      <c r="C287" s="1">
        <v>106.63188890000001</v>
      </c>
    </row>
    <row r="288" spans="1:3" ht="15.5" x14ac:dyDescent="0.35">
      <c r="A288" t="s">
        <v>287</v>
      </c>
      <c r="B288">
        <v>-6.0169825000000001</v>
      </c>
      <c r="C288" s="1">
        <v>106.04050599999999</v>
      </c>
    </row>
    <row r="289" spans="1:3" ht="15.5" x14ac:dyDescent="0.35">
      <c r="A289" t="s">
        <v>288</v>
      </c>
      <c r="B289">
        <v>-6.1200900000000003</v>
      </c>
      <c r="C289" s="1">
        <v>106.150299</v>
      </c>
    </row>
    <row r="290" spans="1:3" ht="15.5" x14ac:dyDescent="0.35">
      <c r="A290" t="s">
        <v>289</v>
      </c>
      <c r="B290">
        <v>-6.2888888999999999</v>
      </c>
      <c r="C290" s="1">
        <v>106.7180556</v>
      </c>
    </row>
    <row r="291" spans="1:3" ht="15.5" x14ac:dyDescent="0.35">
      <c r="A291" t="s">
        <v>290</v>
      </c>
      <c r="B291">
        <v>-8.4095177999999997</v>
      </c>
      <c r="C291" s="1">
        <v>115.18891600000001</v>
      </c>
    </row>
    <row r="292" spans="1:3" ht="15.5" x14ac:dyDescent="0.35">
      <c r="A292" t="s">
        <v>291</v>
      </c>
      <c r="B292">
        <v>-8.3618520000000007</v>
      </c>
      <c r="C292" s="1">
        <v>114.6418</v>
      </c>
    </row>
    <row r="293" spans="1:3" ht="15.5" x14ac:dyDescent="0.35">
      <c r="A293" t="s">
        <v>292</v>
      </c>
      <c r="B293">
        <v>-8.5445159999999998</v>
      </c>
      <c r="C293" s="1">
        <v>115.11979700000001</v>
      </c>
    </row>
    <row r="294" spans="1:3" ht="15.5" x14ac:dyDescent="0.35">
      <c r="A294" t="s">
        <v>293</v>
      </c>
      <c r="B294">
        <v>-8.5819296000000005</v>
      </c>
      <c r="C294" s="1">
        <v>115.1770586</v>
      </c>
    </row>
    <row r="295" spans="1:3" ht="15.5" x14ac:dyDescent="0.35">
      <c r="A295" t="s">
        <v>294</v>
      </c>
      <c r="B295">
        <v>-8.5441850000000006</v>
      </c>
      <c r="C295" s="1">
        <v>115.32550000000001</v>
      </c>
    </row>
    <row r="296" spans="1:3" ht="15.5" x14ac:dyDescent="0.35">
      <c r="A296" t="s">
        <v>295</v>
      </c>
      <c r="B296">
        <v>-8.5389222</v>
      </c>
      <c r="C296" s="1">
        <v>115.40451109999999</v>
      </c>
    </row>
    <row r="297" spans="1:3" ht="15.5" x14ac:dyDescent="0.35">
      <c r="A297" t="s">
        <v>296</v>
      </c>
      <c r="B297">
        <v>-8.4543029999999995</v>
      </c>
      <c r="C297" s="1">
        <v>115.35489699999999</v>
      </c>
    </row>
    <row r="298" spans="1:3" ht="15.5" x14ac:dyDescent="0.35">
      <c r="A298" t="s">
        <v>297</v>
      </c>
      <c r="B298">
        <v>-8.3699999999999992</v>
      </c>
      <c r="C298" s="1">
        <v>115.52</v>
      </c>
    </row>
    <row r="299" spans="1:3" ht="15.5" x14ac:dyDescent="0.35">
      <c r="A299" t="s">
        <v>298</v>
      </c>
      <c r="B299">
        <v>-8.1138309999999993</v>
      </c>
      <c r="C299" s="1">
        <v>115.126999</v>
      </c>
    </row>
    <row r="300" spans="1:3" ht="15.5" x14ac:dyDescent="0.35">
      <c r="A300" t="s">
        <v>299</v>
      </c>
      <c r="B300">
        <v>-8.6562900000000003</v>
      </c>
      <c r="C300" s="1">
        <v>115.222099</v>
      </c>
    </row>
    <row r="301" spans="1:3" ht="15.5" x14ac:dyDescent="0.35">
      <c r="A301" t="s">
        <v>300</v>
      </c>
      <c r="B301">
        <v>-8.6529334000000002</v>
      </c>
      <c r="C301" s="1">
        <v>117.3616476</v>
      </c>
    </row>
    <row r="302" spans="1:3" ht="15.5" x14ac:dyDescent="0.35">
      <c r="A302" t="s">
        <v>301</v>
      </c>
      <c r="B302">
        <v>-8.6464599</v>
      </c>
      <c r="C302" s="1">
        <v>116.1123078</v>
      </c>
    </row>
    <row r="303" spans="1:3" ht="15.5" x14ac:dyDescent="0.35">
      <c r="A303" t="s">
        <v>302</v>
      </c>
      <c r="B303">
        <v>-8.694623</v>
      </c>
      <c r="C303" s="1">
        <v>116.2777073</v>
      </c>
    </row>
    <row r="304" spans="1:3" ht="15.5" x14ac:dyDescent="0.35">
      <c r="A304" t="s">
        <v>303</v>
      </c>
      <c r="B304">
        <v>-8.5134471000000005</v>
      </c>
      <c r="C304" s="1">
        <v>116.5609857</v>
      </c>
    </row>
    <row r="305" spans="1:3" ht="15.5" x14ac:dyDescent="0.35">
      <c r="A305" t="s">
        <v>304</v>
      </c>
      <c r="B305">
        <v>-8.6529334000000002</v>
      </c>
      <c r="C305" s="1">
        <v>117.3616476</v>
      </c>
    </row>
    <row r="306" spans="1:3" ht="15.5" x14ac:dyDescent="0.35">
      <c r="A306" t="s">
        <v>305</v>
      </c>
      <c r="B306">
        <v>-8.4966317999999994</v>
      </c>
      <c r="C306" s="1">
        <v>118.47471729999999</v>
      </c>
    </row>
    <row r="307" spans="1:3" ht="15.5" x14ac:dyDescent="0.35">
      <c r="A307" t="s">
        <v>306</v>
      </c>
      <c r="B307">
        <v>-8.460566</v>
      </c>
      <c r="C307" s="1">
        <v>118.727402</v>
      </c>
    </row>
    <row r="308" spans="1:3" ht="15.5" x14ac:dyDescent="0.35">
      <c r="A308" t="s">
        <v>307</v>
      </c>
      <c r="B308">
        <v>-8.9292906999999992</v>
      </c>
      <c r="C308" s="1">
        <v>116.89103420000001</v>
      </c>
    </row>
    <row r="309" spans="1:3" ht="15.5" x14ac:dyDescent="0.35">
      <c r="A309" t="s">
        <v>308</v>
      </c>
      <c r="B309">
        <v>-8.3739076000000008</v>
      </c>
      <c r="C309" s="1">
        <v>116.2777073</v>
      </c>
    </row>
    <row r="310" spans="1:3" ht="15.5" x14ac:dyDescent="0.35">
      <c r="A310" t="s">
        <v>309</v>
      </c>
      <c r="B310">
        <v>-8.5833332999999996</v>
      </c>
      <c r="C310" s="1">
        <v>116.1166667</v>
      </c>
    </row>
    <row r="311" spans="1:3" ht="15.5" x14ac:dyDescent="0.35">
      <c r="A311" t="s">
        <v>310</v>
      </c>
      <c r="B311">
        <v>-8.460566</v>
      </c>
      <c r="C311" s="1">
        <v>118.727402</v>
      </c>
    </row>
    <row r="312" spans="1:3" ht="15.5" x14ac:dyDescent="0.35">
      <c r="A312" t="s">
        <v>311</v>
      </c>
      <c r="B312">
        <v>-8.6573819000000007</v>
      </c>
      <c r="C312" s="1">
        <v>121.0793705</v>
      </c>
    </row>
    <row r="313" spans="1:3" ht="15.5" x14ac:dyDescent="0.35">
      <c r="A313" t="s">
        <v>312</v>
      </c>
      <c r="B313">
        <v>-9.6548326000000007</v>
      </c>
      <c r="C313" s="1">
        <v>119.39471349999999</v>
      </c>
    </row>
    <row r="314" spans="1:3" ht="15.5" x14ac:dyDescent="0.35">
      <c r="A314" t="s">
        <v>313</v>
      </c>
      <c r="B314">
        <v>-9.9802102999999995</v>
      </c>
      <c r="C314" s="1">
        <v>120.3435506</v>
      </c>
    </row>
    <row r="315" spans="1:3" ht="15.5" x14ac:dyDescent="0.35">
      <c r="A315" t="s">
        <v>314</v>
      </c>
      <c r="B315">
        <v>-10.183333299999999</v>
      </c>
      <c r="C315" s="1">
        <v>123.58333330000001</v>
      </c>
    </row>
    <row r="316" spans="1:3" ht="15.5" x14ac:dyDescent="0.35">
      <c r="A316" t="s">
        <v>315</v>
      </c>
      <c r="B316">
        <v>-9.7762816000000008</v>
      </c>
      <c r="C316" s="1">
        <v>124.4198243</v>
      </c>
    </row>
    <row r="317" spans="1:3" ht="15.5" x14ac:dyDescent="0.35">
      <c r="A317" t="s">
        <v>316</v>
      </c>
      <c r="B317">
        <v>-9.4522647000000006</v>
      </c>
      <c r="C317" s="1">
        <v>124.597132</v>
      </c>
    </row>
    <row r="318" spans="1:3" ht="15.5" x14ac:dyDescent="0.35">
      <c r="A318" t="s">
        <v>317</v>
      </c>
      <c r="B318">
        <v>-9.4125796000000008</v>
      </c>
      <c r="C318" s="1">
        <v>124.95066250000001</v>
      </c>
    </row>
    <row r="319" spans="1:3" ht="15.5" x14ac:dyDescent="0.35">
      <c r="A319" t="s">
        <v>318</v>
      </c>
      <c r="B319">
        <v>-8.2754027000000008</v>
      </c>
      <c r="C319" s="1">
        <v>124.7298765</v>
      </c>
    </row>
    <row r="320" spans="1:3" ht="15.5" x14ac:dyDescent="0.35">
      <c r="A320" t="s">
        <v>319</v>
      </c>
      <c r="B320">
        <v>-8.4719075000000004</v>
      </c>
      <c r="C320" s="1">
        <v>123.4831906</v>
      </c>
    </row>
    <row r="321" spans="1:3" ht="15.5" x14ac:dyDescent="0.35">
      <c r="A321" t="s">
        <v>320</v>
      </c>
      <c r="B321">
        <v>-8.3130942000000001</v>
      </c>
      <c r="C321" s="1">
        <v>122.9663018</v>
      </c>
    </row>
    <row r="322" spans="1:3" ht="15.5" x14ac:dyDescent="0.35">
      <c r="A322" t="s">
        <v>321</v>
      </c>
      <c r="B322">
        <v>-8.6766175000000008</v>
      </c>
      <c r="C322" s="1">
        <v>122.12918430000001</v>
      </c>
    </row>
    <row r="323" spans="1:3" ht="15.5" x14ac:dyDescent="0.35">
      <c r="A323" t="s">
        <v>322</v>
      </c>
      <c r="B323">
        <v>-8.8540530000000004</v>
      </c>
      <c r="C323" s="1">
        <v>121.65419799999999</v>
      </c>
    </row>
    <row r="324" spans="1:3" ht="15.5" x14ac:dyDescent="0.35">
      <c r="A324" t="s">
        <v>323</v>
      </c>
      <c r="B324">
        <v>-8.7430424000000002</v>
      </c>
      <c r="C324" s="1">
        <v>120.9876321</v>
      </c>
    </row>
    <row r="325" spans="1:3" ht="15.5" x14ac:dyDescent="0.35">
      <c r="A325" t="s">
        <v>324</v>
      </c>
      <c r="B325">
        <v>-8.6796986999999994</v>
      </c>
      <c r="C325" s="1">
        <v>120.3896651</v>
      </c>
    </row>
    <row r="326" spans="1:3" ht="15.5" x14ac:dyDescent="0.35">
      <c r="A326" t="s">
        <v>325</v>
      </c>
      <c r="B326">
        <v>-10.7386421</v>
      </c>
      <c r="C326" s="1">
        <v>123.1239049</v>
      </c>
    </row>
    <row r="327" spans="1:3" ht="15.5" x14ac:dyDescent="0.35">
      <c r="A327" t="s">
        <v>326</v>
      </c>
      <c r="B327">
        <v>-8.6688148999999992</v>
      </c>
      <c r="C327" s="1">
        <v>120.0665236</v>
      </c>
    </row>
    <row r="328" spans="1:3" ht="15.5" x14ac:dyDescent="0.35">
      <c r="A328" t="s">
        <v>327</v>
      </c>
      <c r="B328">
        <v>-9.4879225999999992</v>
      </c>
      <c r="C328" s="1">
        <v>119.69626770000001</v>
      </c>
    </row>
    <row r="329" spans="1:3" ht="15.5" x14ac:dyDescent="0.35">
      <c r="A329" t="s">
        <v>328</v>
      </c>
      <c r="B329">
        <v>-9.5391390000000005</v>
      </c>
      <c r="C329" s="1">
        <v>119.13906420000001</v>
      </c>
    </row>
    <row r="330" spans="1:3" ht="15.5" x14ac:dyDescent="0.35">
      <c r="A330" t="s">
        <v>329</v>
      </c>
      <c r="B330">
        <v>-8.6753544999999992</v>
      </c>
      <c r="C330" s="1">
        <v>121.3084088</v>
      </c>
    </row>
    <row r="331" spans="1:3" ht="15.5" x14ac:dyDescent="0.35">
      <c r="A331" t="s">
        <v>330</v>
      </c>
      <c r="B331">
        <v>-8.6206712000000003</v>
      </c>
      <c r="C331" s="1">
        <v>120.6199895</v>
      </c>
    </row>
    <row r="332" spans="1:3" ht="15.5" x14ac:dyDescent="0.35">
      <c r="A332" t="s">
        <v>331</v>
      </c>
      <c r="B332">
        <v>-10.554111600000001</v>
      </c>
      <c r="C332" s="1">
        <v>121.8334868</v>
      </c>
    </row>
    <row r="333" spans="1:3" ht="15.5" x14ac:dyDescent="0.35">
      <c r="A333" t="s">
        <v>332</v>
      </c>
      <c r="B333">
        <v>-9.5672219999999992</v>
      </c>
      <c r="C333" s="1">
        <v>124.9075</v>
      </c>
    </row>
    <row r="334" spans="1:3" ht="15.5" x14ac:dyDescent="0.35">
      <c r="A334" t="s">
        <v>333</v>
      </c>
      <c r="B334">
        <v>-10.183333299999999</v>
      </c>
      <c r="C334" s="1">
        <v>123.58333330000001</v>
      </c>
    </row>
    <row r="335" spans="1:3" ht="15.5" x14ac:dyDescent="0.35">
      <c r="A335" t="s">
        <v>334</v>
      </c>
      <c r="B335">
        <v>-0.2787808</v>
      </c>
      <c r="C335" s="1">
        <v>111.47528509999999</v>
      </c>
    </row>
    <row r="336" spans="1:3" ht="15.5" x14ac:dyDescent="0.35">
      <c r="A336" t="s">
        <v>335</v>
      </c>
      <c r="B336">
        <v>1.3613280000000001</v>
      </c>
      <c r="C336" s="1">
        <v>109.30999799999999</v>
      </c>
    </row>
    <row r="337" spans="1:3" ht="15.5" x14ac:dyDescent="0.35">
      <c r="A337" t="s">
        <v>336</v>
      </c>
      <c r="B337">
        <v>0.82097290000000001</v>
      </c>
      <c r="C337" s="1">
        <v>109.477699</v>
      </c>
    </row>
    <row r="338" spans="1:3" ht="15.5" x14ac:dyDescent="0.35">
      <c r="A338" t="s">
        <v>337</v>
      </c>
      <c r="B338">
        <v>0.42372870000000001</v>
      </c>
      <c r="C338" s="1">
        <v>109.7591675</v>
      </c>
    </row>
    <row r="339" spans="1:3" ht="15.5" x14ac:dyDescent="0.35">
      <c r="A339" t="s">
        <v>338</v>
      </c>
      <c r="B339">
        <v>0.25</v>
      </c>
      <c r="C339" s="1">
        <v>109.16667</v>
      </c>
    </row>
    <row r="340" spans="1:3" ht="15.5" x14ac:dyDescent="0.35">
      <c r="A340" t="s">
        <v>339</v>
      </c>
      <c r="B340">
        <v>0.11927500000000001</v>
      </c>
      <c r="C340" s="1">
        <v>110.59729799999999</v>
      </c>
    </row>
    <row r="341" spans="1:3" ht="15.5" x14ac:dyDescent="0.35">
      <c r="A341" t="s">
        <v>340</v>
      </c>
      <c r="B341">
        <v>-1.8590979999999999</v>
      </c>
      <c r="C341" s="1">
        <v>109.971901</v>
      </c>
    </row>
    <row r="342" spans="1:3" ht="15.5" x14ac:dyDescent="0.35">
      <c r="A342" t="s">
        <v>341</v>
      </c>
      <c r="B342">
        <v>8.0238000000000004E-2</v>
      </c>
      <c r="C342" s="1">
        <v>111.495499</v>
      </c>
    </row>
    <row r="343" spans="1:3" ht="15.5" x14ac:dyDescent="0.35">
      <c r="A343" t="s">
        <v>342</v>
      </c>
      <c r="B343">
        <v>-0.79310040000000004</v>
      </c>
      <c r="C343" s="1">
        <v>113.9060624</v>
      </c>
    </row>
    <row r="344" spans="1:3" ht="15.5" x14ac:dyDescent="0.35">
      <c r="A344" t="s">
        <v>343</v>
      </c>
      <c r="B344">
        <v>1.5637000000000002E-2</v>
      </c>
      <c r="C344" s="1">
        <v>110.888603</v>
      </c>
    </row>
    <row r="345" spans="1:3" ht="15.5" x14ac:dyDescent="0.35">
      <c r="A345" t="s">
        <v>344</v>
      </c>
      <c r="B345">
        <v>-0.70006809999999997</v>
      </c>
      <c r="C345" s="1">
        <v>111.6660725</v>
      </c>
    </row>
    <row r="346" spans="1:3" ht="15.5" x14ac:dyDescent="0.35">
      <c r="A346" t="s">
        <v>345</v>
      </c>
      <c r="B346">
        <v>-0.92258770000000001</v>
      </c>
      <c r="C346" s="1">
        <v>110.0449662</v>
      </c>
    </row>
    <row r="347" spans="1:3" ht="15.5" x14ac:dyDescent="0.35">
      <c r="A347" t="s">
        <v>346</v>
      </c>
      <c r="B347">
        <v>-0.35339379999999998</v>
      </c>
      <c r="C347" s="1">
        <v>109.47350659999999</v>
      </c>
    </row>
    <row r="348" spans="1:3" ht="15.5" x14ac:dyDescent="0.35">
      <c r="A348" t="s">
        <v>347</v>
      </c>
      <c r="B348">
        <v>-2.2523000000000001E-2</v>
      </c>
      <c r="C348" s="1">
        <v>109.330307</v>
      </c>
    </row>
    <row r="349" spans="1:3" ht="15.5" x14ac:dyDescent="0.35">
      <c r="A349" t="s">
        <v>348</v>
      </c>
      <c r="B349">
        <v>0.90879500000000002</v>
      </c>
      <c r="C349" s="1">
        <v>108.984596</v>
      </c>
    </row>
    <row r="350" spans="1:3" ht="15.5" x14ac:dyDescent="0.35">
      <c r="A350" t="s">
        <v>349</v>
      </c>
      <c r="B350">
        <v>-1.6814878</v>
      </c>
      <c r="C350" s="1">
        <v>113.38235450000001</v>
      </c>
    </row>
    <row r="351" spans="1:3" ht="15.5" x14ac:dyDescent="0.35">
      <c r="A351" t="s">
        <v>350</v>
      </c>
      <c r="B351">
        <v>-6.1961130999999998</v>
      </c>
      <c r="C351" s="1">
        <v>106.8630174</v>
      </c>
    </row>
    <row r="352" spans="1:3" ht="15.5" x14ac:dyDescent="0.35">
      <c r="A352" t="s">
        <v>351</v>
      </c>
      <c r="B352">
        <v>-6.1952992</v>
      </c>
      <c r="C352" s="1">
        <v>106.8630737</v>
      </c>
    </row>
    <row r="353" spans="1:3" ht="15.5" x14ac:dyDescent="0.35">
      <c r="A353" t="s">
        <v>352</v>
      </c>
      <c r="B353">
        <v>-4.5997200000000002E-2</v>
      </c>
      <c r="C353" s="1">
        <v>110.1313251</v>
      </c>
    </row>
    <row r="354" spans="1:3" ht="15.5" x14ac:dyDescent="0.35">
      <c r="A354" t="s">
        <v>353</v>
      </c>
      <c r="B354">
        <v>-1.8759429999999999</v>
      </c>
      <c r="C354" s="1">
        <v>114.80926909999999</v>
      </c>
    </row>
    <row r="355" spans="1:3" ht="15.5" x14ac:dyDescent="0.35">
      <c r="A355" t="s">
        <v>354</v>
      </c>
      <c r="B355">
        <v>-0.95871360000000005</v>
      </c>
      <c r="C355" s="1">
        <v>115.09404499999999</v>
      </c>
    </row>
    <row r="356" spans="1:3" ht="15.5" x14ac:dyDescent="0.35">
      <c r="A356" t="s">
        <v>355</v>
      </c>
      <c r="B356">
        <v>-2.6267516999999998</v>
      </c>
      <c r="C356" s="1">
        <v>111.2368084</v>
      </c>
    </row>
    <row r="357" spans="1:3" ht="15.5" x14ac:dyDescent="0.35">
      <c r="A357" t="s">
        <v>356</v>
      </c>
      <c r="B357">
        <v>-1.9269166</v>
      </c>
      <c r="C357" s="1">
        <v>111.1891151</v>
      </c>
    </row>
    <row r="358" spans="1:3" ht="15.5" x14ac:dyDescent="0.35">
      <c r="A358" t="s">
        <v>357</v>
      </c>
      <c r="B358">
        <v>-3.0123467000000002</v>
      </c>
      <c r="C358" s="1">
        <v>112.42914639999999</v>
      </c>
    </row>
    <row r="359" spans="1:3" ht="15.5" x14ac:dyDescent="0.35">
      <c r="A359" t="s">
        <v>358</v>
      </c>
      <c r="B359">
        <v>-0.97583790000000004</v>
      </c>
      <c r="C359" s="1">
        <v>112.81055120000001</v>
      </c>
    </row>
    <row r="360" spans="1:3" ht="15.5" x14ac:dyDescent="0.35">
      <c r="A360" t="s">
        <v>359</v>
      </c>
      <c r="B360">
        <v>-2.6849607</v>
      </c>
      <c r="C360" s="1">
        <v>113.9536466</v>
      </c>
    </row>
    <row r="361" spans="1:3" ht="15.5" x14ac:dyDescent="0.35">
      <c r="A361" t="s">
        <v>360</v>
      </c>
      <c r="B361">
        <v>-6.7052778000000002</v>
      </c>
      <c r="C361" s="1">
        <v>106.9913889</v>
      </c>
    </row>
    <row r="362" spans="1:3" ht="15.5" x14ac:dyDescent="0.35">
      <c r="A362" t="s">
        <v>361</v>
      </c>
      <c r="B362">
        <v>-2.0123999000000001</v>
      </c>
      <c r="C362" s="1">
        <v>115.18891600000001</v>
      </c>
    </row>
    <row r="363" spans="1:3" ht="15.5" x14ac:dyDescent="0.35">
      <c r="A363" t="s">
        <v>362</v>
      </c>
      <c r="B363">
        <v>-0.13621710000000001</v>
      </c>
      <c r="C363" s="1">
        <v>114.3341432</v>
      </c>
    </row>
    <row r="364" spans="1:3" ht="15.5" x14ac:dyDescent="0.35">
      <c r="A364" t="s">
        <v>363</v>
      </c>
      <c r="B364">
        <v>-2.21</v>
      </c>
      <c r="C364" s="1">
        <v>113.92</v>
      </c>
    </row>
    <row r="365" spans="1:3" ht="15.5" x14ac:dyDescent="0.35">
      <c r="A365" t="s">
        <v>364</v>
      </c>
      <c r="B365">
        <v>-3.0926415</v>
      </c>
      <c r="C365" s="1">
        <v>115.2837585</v>
      </c>
    </row>
    <row r="366" spans="1:3" ht="15.5" x14ac:dyDescent="0.35">
      <c r="A366" t="s">
        <v>365</v>
      </c>
      <c r="B366">
        <v>-3.7694046999999999</v>
      </c>
      <c r="C366" s="1">
        <v>114.80926909999999</v>
      </c>
    </row>
    <row r="367" spans="1:3" ht="15.5" x14ac:dyDescent="0.35">
      <c r="A367" t="s">
        <v>1087</v>
      </c>
      <c r="B367">
        <v>-6.332973</v>
      </c>
      <c r="C367" s="1">
        <v>106.80791499999999</v>
      </c>
    </row>
    <row r="368" spans="1:3" ht="15.5" x14ac:dyDescent="0.35">
      <c r="A368" t="s">
        <v>366</v>
      </c>
      <c r="B368">
        <v>-7.3666666999999997</v>
      </c>
      <c r="C368" s="1">
        <v>108.5333333</v>
      </c>
    </row>
    <row r="369" spans="1:3" ht="15.5" x14ac:dyDescent="0.35">
      <c r="A369" t="s">
        <v>367</v>
      </c>
      <c r="B369">
        <v>-3.0714738000000001</v>
      </c>
      <c r="C369" s="1">
        <v>114.6667939</v>
      </c>
    </row>
    <row r="370" spans="1:3" ht="15.5" x14ac:dyDescent="0.35">
      <c r="A370" t="s">
        <v>368</v>
      </c>
      <c r="B370">
        <v>-2.9160746</v>
      </c>
      <c r="C370" s="1">
        <v>115.04659909999999</v>
      </c>
    </row>
    <row r="371" spans="1:3" ht="15.5" x14ac:dyDescent="0.35">
      <c r="A371" t="s">
        <v>369</v>
      </c>
      <c r="B371">
        <v>-2.7662681</v>
      </c>
      <c r="C371" s="1">
        <v>115.23634079999999</v>
      </c>
    </row>
    <row r="372" spans="1:3" ht="15.5" x14ac:dyDescent="0.35">
      <c r="A372" t="s">
        <v>370</v>
      </c>
      <c r="B372">
        <v>-2.6153162000000001</v>
      </c>
      <c r="C372" s="1">
        <v>115.5207358</v>
      </c>
    </row>
    <row r="373" spans="1:3" ht="15.5" x14ac:dyDescent="0.35">
      <c r="A373" t="s">
        <v>371</v>
      </c>
      <c r="B373">
        <v>-2.4421225</v>
      </c>
      <c r="C373" s="1">
        <v>115.18891600000001</v>
      </c>
    </row>
    <row r="374" spans="1:3" ht="15.5" x14ac:dyDescent="0.35">
      <c r="A374" t="s">
        <v>372</v>
      </c>
      <c r="B374">
        <v>-1.8643019999999999</v>
      </c>
      <c r="C374" s="1">
        <v>115.5681084</v>
      </c>
    </row>
    <row r="375" spans="1:3" ht="15.5" x14ac:dyDescent="0.35">
      <c r="A375" t="s">
        <v>373</v>
      </c>
      <c r="B375">
        <v>-3.4512244000000001</v>
      </c>
      <c r="C375" s="1">
        <v>115.5681084</v>
      </c>
    </row>
    <row r="376" spans="1:3" ht="15.5" x14ac:dyDescent="0.35">
      <c r="A376" t="s">
        <v>374</v>
      </c>
      <c r="B376">
        <v>-2.3260424999999998</v>
      </c>
      <c r="C376" s="1">
        <v>115.6154732</v>
      </c>
    </row>
    <row r="377" spans="1:3" ht="15.5" x14ac:dyDescent="0.35">
      <c r="A377" t="s">
        <v>375</v>
      </c>
      <c r="B377">
        <v>-3.3284989999999999</v>
      </c>
      <c r="C377" s="1">
        <v>114.589203</v>
      </c>
    </row>
    <row r="378" spans="1:3" ht="15.5" x14ac:dyDescent="0.35">
      <c r="A378" t="s">
        <v>376</v>
      </c>
      <c r="B378">
        <v>-3.4666667000000002</v>
      </c>
      <c r="C378" s="1">
        <v>114.75</v>
      </c>
    </row>
    <row r="379" spans="1:3" ht="15.5" x14ac:dyDescent="0.35">
      <c r="A379" t="s">
        <v>377</v>
      </c>
      <c r="B379">
        <v>1.6406296</v>
      </c>
      <c r="C379" s="1">
        <v>116.419389</v>
      </c>
    </row>
    <row r="380" spans="1:3" ht="15.5" x14ac:dyDescent="0.35">
      <c r="A380" t="s">
        <v>1088</v>
      </c>
      <c r="B380">
        <v>-1.7175266</v>
      </c>
      <c r="C380" s="1">
        <v>115.9467997</v>
      </c>
    </row>
    <row r="381" spans="1:3" ht="15.5" x14ac:dyDescent="0.35">
      <c r="A381" t="s">
        <v>378</v>
      </c>
      <c r="B381">
        <v>0.13538810000000001</v>
      </c>
      <c r="C381" s="1">
        <v>115.09404499999999</v>
      </c>
    </row>
    <row r="382" spans="1:3" ht="15.5" x14ac:dyDescent="0.35">
      <c r="A382" t="s">
        <v>379</v>
      </c>
      <c r="B382">
        <v>-0.13366549999999999</v>
      </c>
      <c r="C382" s="1">
        <v>116.6081653</v>
      </c>
    </row>
    <row r="383" spans="1:3" ht="15.5" x14ac:dyDescent="0.35">
      <c r="A383" t="s">
        <v>380</v>
      </c>
      <c r="B383">
        <v>0.94337740000000003</v>
      </c>
      <c r="C383" s="1">
        <v>116.9852422</v>
      </c>
    </row>
    <row r="384" spans="1:3" ht="15.5" x14ac:dyDescent="0.35">
      <c r="A384" t="s">
        <v>381</v>
      </c>
      <c r="B384">
        <v>2.0450883000000002</v>
      </c>
      <c r="C384" s="1">
        <v>117.3616476</v>
      </c>
    </row>
    <row r="385" spans="1:3" ht="15.5" x14ac:dyDescent="0.35">
      <c r="A385" t="s">
        <v>382</v>
      </c>
      <c r="B385">
        <v>-1.2917094</v>
      </c>
      <c r="C385" s="1">
        <v>116.5137964</v>
      </c>
    </row>
    <row r="386" spans="1:3" ht="15.5" x14ac:dyDescent="0.35">
      <c r="A386" t="s">
        <v>383</v>
      </c>
      <c r="B386">
        <v>0.5</v>
      </c>
      <c r="C386" s="1">
        <v>115.28</v>
      </c>
    </row>
    <row r="387" spans="1:3" ht="15.5" x14ac:dyDescent="0.35">
      <c r="A387" t="s">
        <v>384</v>
      </c>
      <c r="B387">
        <v>-1.2635388999999999</v>
      </c>
      <c r="C387" s="1">
        <v>116.8278833</v>
      </c>
    </row>
    <row r="388" spans="1:3" ht="15.5" x14ac:dyDescent="0.35">
      <c r="A388" t="s">
        <v>385</v>
      </c>
      <c r="B388">
        <v>-0.50218300000000005</v>
      </c>
      <c r="C388" s="1">
        <v>117.153801</v>
      </c>
    </row>
    <row r="389" spans="1:3" ht="15.5" x14ac:dyDescent="0.35">
      <c r="A389" t="s">
        <v>386</v>
      </c>
      <c r="B389">
        <v>0.13333329999999999</v>
      </c>
      <c r="C389" s="1">
        <v>117.5</v>
      </c>
    </row>
    <row r="390" spans="1:3" ht="15.5" x14ac:dyDescent="0.35">
      <c r="A390" t="s">
        <v>387</v>
      </c>
      <c r="B390">
        <v>3</v>
      </c>
      <c r="C390" s="1">
        <v>116.333333</v>
      </c>
    </row>
    <row r="391" spans="1:3" ht="15.5" x14ac:dyDescent="0.35">
      <c r="A391" t="s">
        <v>388</v>
      </c>
      <c r="B391">
        <v>3.5842209999999999</v>
      </c>
      <c r="C391" s="1">
        <v>116.647797</v>
      </c>
    </row>
    <row r="392" spans="1:3" ht="15.5" x14ac:dyDescent="0.35">
      <c r="A392" t="s">
        <v>389</v>
      </c>
      <c r="B392">
        <v>2.9042476000000002</v>
      </c>
      <c r="C392" s="1">
        <v>116.9852422</v>
      </c>
    </row>
    <row r="393" spans="1:3" ht="15.5" x14ac:dyDescent="0.35">
      <c r="A393" t="s">
        <v>390</v>
      </c>
      <c r="B393">
        <v>3.5518689999999999</v>
      </c>
      <c r="C393" s="1">
        <v>117.0794082</v>
      </c>
    </row>
    <row r="394" spans="1:3" ht="15.5" x14ac:dyDescent="0.35">
      <c r="A394" t="s">
        <v>391</v>
      </c>
      <c r="B394">
        <v>4.0609226999999999</v>
      </c>
      <c r="C394" s="1">
        <v>117.66695199999999</v>
      </c>
    </row>
    <row r="395" spans="1:3" ht="15.5" x14ac:dyDescent="0.35">
      <c r="A395" t="s">
        <v>392</v>
      </c>
      <c r="B395">
        <v>3.3</v>
      </c>
      <c r="C395" s="1">
        <v>117.6333333</v>
      </c>
    </row>
    <row r="396" spans="1:3" ht="15.5" x14ac:dyDescent="0.35">
      <c r="A396" t="s">
        <v>393</v>
      </c>
      <c r="B396">
        <v>0.62469319999999995</v>
      </c>
      <c r="C396" s="1">
        <v>123.9750018</v>
      </c>
    </row>
    <row r="397" spans="1:3" ht="15.5" x14ac:dyDescent="0.35">
      <c r="A397" t="s">
        <v>394</v>
      </c>
      <c r="B397">
        <v>0.68709940000000003</v>
      </c>
      <c r="C397" s="1">
        <v>124.0641419</v>
      </c>
    </row>
    <row r="398" spans="1:3" ht="15.5" x14ac:dyDescent="0.35">
      <c r="A398" t="s">
        <v>395</v>
      </c>
      <c r="B398">
        <v>1</v>
      </c>
      <c r="C398" s="1">
        <v>124.58333330000001</v>
      </c>
    </row>
    <row r="399" spans="1:3" ht="15.5" x14ac:dyDescent="0.35">
      <c r="A399" t="s">
        <v>396</v>
      </c>
      <c r="B399">
        <v>3.5303211999999999</v>
      </c>
      <c r="C399" s="1">
        <v>125.5438967</v>
      </c>
    </row>
    <row r="400" spans="1:3" ht="15.5" x14ac:dyDescent="0.35">
      <c r="A400" t="s">
        <v>397</v>
      </c>
      <c r="B400">
        <v>4.0919999999999996</v>
      </c>
      <c r="C400" s="1">
        <v>126.768</v>
      </c>
    </row>
    <row r="401" spans="1:3" ht="15.5" x14ac:dyDescent="0.35">
      <c r="A401" t="s">
        <v>398</v>
      </c>
      <c r="B401">
        <v>1.0946773000000001</v>
      </c>
      <c r="C401" s="1">
        <v>124.4641848</v>
      </c>
    </row>
    <row r="402" spans="1:3" ht="15.5" x14ac:dyDescent="0.35">
      <c r="A402" t="s">
        <v>399</v>
      </c>
      <c r="B402">
        <v>1.5327972999999999</v>
      </c>
      <c r="C402" s="1">
        <v>124.99475099999999</v>
      </c>
    </row>
    <row r="403" spans="1:3" ht="15.5" x14ac:dyDescent="0.35">
      <c r="A403" t="s">
        <v>400</v>
      </c>
      <c r="B403">
        <v>0.81869099999999995</v>
      </c>
      <c r="C403" s="1">
        <v>123.5280072</v>
      </c>
    </row>
    <row r="404" spans="1:3" ht="15.5" x14ac:dyDescent="0.35">
      <c r="A404" t="s">
        <v>401</v>
      </c>
      <c r="B404">
        <v>2.3459639999999999</v>
      </c>
      <c r="C404" s="1">
        <v>125.4124355</v>
      </c>
    </row>
    <row r="405" spans="1:3" ht="15.5" x14ac:dyDescent="0.35">
      <c r="A405" t="s">
        <v>402</v>
      </c>
      <c r="B405">
        <v>1.0278551</v>
      </c>
      <c r="C405" s="1">
        <v>124.7298765</v>
      </c>
    </row>
    <row r="406" spans="1:3" ht="15.5" x14ac:dyDescent="0.35">
      <c r="A406" t="s">
        <v>403</v>
      </c>
      <c r="B406">
        <v>0.3528</v>
      </c>
      <c r="C406" s="1">
        <v>123.7992</v>
      </c>
    </row>
    <row r="407" spans="1:3" ht="15.5" x14ac:dyDescent="0.35">
      <c r="A407" t="s">
        <v>404</v>
      </c>
      <c r="B407">
        <v>0.77</v>
      </c>
      <c r="C407" s="1">
        <v>124.6139</v>
      </c>
    </row>
    <row r="408" spans="1:3" ht="15.5" x14ac:dyDescent="0.35">
      <c r="A408" t="s">
        <v>405</v>
      </c>
      <c r="B408">
        <v>1.4917014</v>
      </c>
      <c r="C408" s="1">
        <v>124.842843</v>
      </c>
    </row>
    <row r="409" spans="1:3" ht="15.5" x14ac:dyDescent="0.35">
      <c r="A409" t="s">
        <v>406</v>
      </c>
      <c r="B409">
        <v>1.4553529000000001</v>
      </c>
      <c r="C409" s="1">
        <v>125.204697</v>
      </c>
    </row>
    <row r="410" spans="1:3" ht="15.5" x14ac:dyDescent="0.35">
      <c r="A410" t="s">
        <v>407</v>
      </c>
      <c r="B410">
        <v>1.3234131</v>
      </c>
      <c r="C410" s="1">
        <v>124.8384504</v>
      </c>
    </row>
    <row r="411" spans="1:3" ht="15.5" x14ac:dyDescent="0.35">
      <c r="A411" t="s">
        <v>408</v>
      </c>
      <c r="B411">
        <v>0.73333329999999997</v>
      </c>
      <c r="C411" s="1">
        <v>124.3166667</v>
      </c>
    </row>
    <row r="412" spans="1:3" ht="15.5" x14ac:dyDescent="0.35">
      <c r="A412" t="s">
        <v>409</v>
      </c>
      <c r="B412">
        <v>-1.4300253999999999</v>
      </c>
      <c r="C412" s="1">
        <v>121.4456179</v>
      </c>
    </row>
    <row r="413" spans="1:3" ht="15.5" x14ac:dyDescent="0.35">
      <c r="A413" t="s">
        <v>410</v>
      </c>
      <c r="B413">
        <v>-1.6408137</v>
      </c>
      <c r="C413" s="1">
        <v>123.5504076</v>
      </c>
    </row>
    <row r="414" spans="1:3" ht="15.5" x14ac:dyDescent="0.35">
      <c r="A414" t="s">
        <v>411</v>
      </c>
      <c r="B414">
        <v>-1.6408137</v>
      </c>
      <c r="C414" s="1">
        <v>123.5504076</v>
      </c>
    </row>
    <row r="415" spans="1:3" ht="15.5" x14ac:dyDescent="0.35">
      <c r="A415" t="s">
        <v>412</v>
      </c>
      <c r="B415">
        <v>-2.3003072000000002</v>
      </c>
      <c r="C415" s="1">
        <v>121.5370003</v>
      </c>
    </row>
    <row r="416" spans="1:3" ht="15.5" x14ac:dyDescent="0.35">
      <c r="A416" t="s">
        <v>413</v>
      </c>
      <c r="B416">
        <v>-1.3919220000000001</v>
      </c>
      <c r="C416" s="1">
        <v>120.766998</v>
      </c>
    </row>
    <row r="417" spans="1:3" ht="15.5" x14ac:dyDescent="0.35">
      <c r="A417" t="s">
        <v>414</v>
      </c>
      <c r="B417">
        <v>-0.42331550000000001</v>
      </c>
      <c r="C417" s="1">
        <v>119.83523030000001</v>
      </c>
    </row>
    <row r="418" spans="1:3" ht="15.5" x14ac:dyDescent="0.35">
      <c r="A418" t="s">
        <v>415</v>
      </c>
      <c r="B418">
        <v>0.87682309999999997</v>
      </c>
      <c r="C418" s="1">
        <v>120.7579834</v>
      </c>
    </row>
    <row r="419" spans="1:3" ht="15.5" x14ac:dyDescent="0.35">
      <c r="A419" t="s">
        <v>416</v>
      </c>
      <c r="B419">
        <v>0.9695452</v>
      </c>
      <c r="C419" s="1">
        <v>121.35416309999999</v>
      </c>
    </row>
    <row r="420" spans="1:3" ht="15.5" x14ac:dyDescent="0.35">
      <c r="A420" t="s">
        <v>417</v>
      </c>
      <c r="B420">
        <v>0.58176070000000002</v>
      </c>
      <c r="C420" s="1">
        <v>120.8039474</v>
      </c>
    </row>
    <row r="421" spans="1:3" ht="15.5" x14ac:dyDescent="0.35">
      <c r="A421" t="s">
        <v>418</v>
      </c>
      <c r="B421">
        <v>-1.098757</v>
      </c>
      <c r="C421" s="1">
        <v>121.5370003</v>
      </c>
    </row>
    <row r="422" spans="1:3" ht="15.5" x14ac:dyDescent="0.35">
      <c r="A422" t="s">
        <v>419</v>
      </c>
      <c r="B422">
        <v>-1.3834127000000001</v>
      </c>
      <c r="C422" s="1">
        <v>120.0665236</v>
      </c>
    </row>
    <row r="423" spans="1:3" ht="15.5" x14ac:dyDescent="0.35">
      <c r="A423" t="s">
        <v>420</v>
      </c>
      <c r="B423">
        <v>-1.5888</v>
      </c>
      <c r="C423" s="1">
        <v>123.5008</v>
      </c>
    </row>
    <row r="424" spans="1:3" ht="15.5" x14ac:dyDescent="0.35">
      <c r="A424" t="s">
        <v>421</v>
      </c>
      <c r="B424">
        <v>-1.7206999999999999</v>
      </c>
      <c r="C424" s="1">
        <v>121.24648999999999</v>
      </c>
    </row>
    <row r="425" spans="1:3" ht="15.5" x14ac:dyDescent="0.35">
      <c r="A425" t="s">
        <v>422</v>
      </c>
      <c r="B425">
        <v>-0.89858300000000002</v>
      </c>
      <c r="C425" s="1">
        <v>119.850601</v>
      </c>
    </row>
    <row r="426" spans="1:3" ht="15.5" x14ac:dyDescent="0.35">
      <c r="A426" t="s">
        <v>423</v>
      </c>
      <c r="B426">
        <v>-3.6687994000000002</v>
      </c>
      <c r="C426" s="1">
        <v>119.9740534</v>
      </c>
    </row>
    <row r="427" spans="1:3" ht="15.5" x14ac:dyDescent="0.35">
      <c r="A427" t="s">
        <v>424</v>
      </c>
      <c r="B427">
        <v>-6.5750000000000002</v>
      </c>
      <c r="C427" s="1">
        <v>121.02500000000001</v>
      </c>
    </row>
    <row r="428" spans="1:3" ht="15.5" x14ac:dyDescent="0.35">
      <c r="A428" t="s">
        <v>425</v>
      </c>
      <c r="B428">
        <v>-5.4329368000000002</v>
      </c>
      <c r="C428" s="1">
        <v>120.2051096</v>
      </c>
    </row>
    <row r="429" spans="1:3" ht="15.5" x14ac:dyDescent="0.35">
      <c r="A429" t="s">
        <v>426</v>
      </c>
      <c r="B429">
        <v>-5.5169316000000004</v>
      </c>
      <c r="C429" s="1">
        <v>120.02029640000001</v>
      </c>
    </row>
    <row r="430" spans="1:3" ht="15.5" x14ac:dyDescent="0.35">
      <c r="A430" t="s">
        <v>427</v>
      </c>
      <c r="B430">
        <v>-5.5545790000000004</v>
      </c>
      <c r="C430" s="1">
        <v>119.6730939</v>
      </c>
    </row>
    <row r="431" spans="1:3" ht="15.5" x14ac:dyDescent="0.35">
      <c r="A431" t="s">
        <v>428</v>
      </c>
      <c r="B431">
        <v>-5.4162492999999996</v>
      </c>
      <c r="C431" s="1">
        <v>119.4875668</v>
      </c>
    </row>
    <row r="432" spans="1:3" ht="15.5" x14ac:dyDescent="0.35">
      <c r="A432" t="s">
        <v>429</v>
      </c>
      <c r="B432">
        <v>-5.3102888000000004</v>
      </c>
      <c r="C432" s="1">
        <v>119.742604</v>
      </c>
    </row>
    <row r="433" spans="1:3" ht="15.5" x14ac:dyDescent="0.35">
      <c r="A433" t="s">
        <v>430</v>
      </c>
      <c r="B433">
        <v>-5.2171960999999998</v>
      </c>
      <c r="C433" s="1">
        <v>120.112735</v>
      </c>
    </row>
    <row r="434" spans="1:3" ht="15.5" x14ac:dyDescent="0.35">
      <c r="A434" t="s">
        <v>431</v>
      </c>
      <c r="B434">
        <v>-4.9469500000000002</v>
      </c>
      <c r="C434" s="1">
        <v>119.578903</v>
      </c>
    </row>
    <row r="435" spans="1:3" ht="15.5" x14ac:dyDescent="0.35">
      <c r="A435" t="s">
        <v>432</v>
      </c>
      <c r="B435">
        <v>-4.8050350000000002</v>
      </c>
      <c r="C435" s="1">
        <v>119.55716769999999</v>
      </c>
    </row>
    <row r="436" spans="1:3" ht="15.5" x14ac:dyDescent="0.35">
      <c r="A436" t="s">
        <v>433</v>
      </c>
      <c r="B436">
        <v>-4.4172650999999998</v>
      </c>
      <c r="C436" s="1">
        <v>119.6730939</v>
      </c>
    </row>
    <row r="437" spans="1:3" ht="15.5" x14ac:dyDescent="0.35">
      <c r="A437" t="s">
        <v>434</v>
      </c>
      <c r="B437">
        <v>-2.0833330000000001</v>
      </c>
      <c r="C437" s="1">
        <v>120.216667</v>
      </c>
    </row>
    <row r="438" spans="1:3" ht="15.5" x14ac:dyDescent="0.35">
      <c r="A438" t="s">
        <v>435</v>
      </c>
      <c r="B438">
        <v>-4.3518540999999997</v>
      </c>
      <c r="C438" s="1">
        <v>119.92779470000001</v>
      </c>
    </row>
    <row r="439" spans="1:3" ht="15.5" x14ac:dyDescent="0.35">
      <c r="A439" t="s">
        <v>436</v>
      </c>
      <c r="B439">
        <v>-4.0222290000000003</v>
      </c>
      <c r="C439" s="1">
        <v>120.0665236</v>
      </c>
    </row>
    <row r="440" spans="1:3" ht="15.5" x14ac:dyDescent="0.35">
      <c r="A440" t="s">
        <v>437</v>
      </c>
      <c r="B440">
        <v>-3.7738980999999998</v>
      </c>
      <c r="C440" s="1">
        <v>120.02029640000001</v>
      </c>
    </row>
    <row r="441" spans="1:3" ht="15.5" x14ac:dyDescent="0.35">
      <c r="A441" t="s">
        <v>438</v>
      </c>
      <c r="B441">
        <v>-3.7930709999999999</v>
      </c>
      <c r="C441" s="1">
        <v>119.6408</v>
      </c>
    </row>
    <row r="442" spans="1:3" ht="15.5" x14ac:dyDescent="0.35">
      <c r="A442" t="s">
        <v>439</v>
      </c>
      <c r="B442">
        <v>-3.5631279999999999</v>
      </c>
      <c r="C442" s="1">
        <v>119.7612</v>
      </c>
    </row>
    <row r="443" spans="1:3" ht="15.5" x14ac:dyDescent="0.35">
      <c r="A443" t="s">
        <v>440</v>
      </c>
      <c r="B443">
        <v>-3.3052214000000002</v>
      </c>
      <c r="C443" s="1">
        <v>120.2512728</v>
      </c>
    </row>
    <row r="444" spans="1:3" ht="15.5" x14ac:dyDescent="0.35">
      <c r="A444" t="s">
        <v>441</v>
      </c>
      <c r="B444">
        <v>-3.0753002999999999</v>
      </c>
      <c r="C444" s="1">
        <v>119.742604</v>
      </c>
    </row>
    <row r="445" spans="1:3" ht="15.5" x14ac:dyDescent="0.35">
      <c r="A445" t="s">
        <v>442</v>
      </c>
      <c r="B445">
        <v>-2.2690446</v>
      </c>
      <c r="C445" s="1">
        <v>119.9740534</v>
      </c>
    </row>
    <row r="446" spans="1:3" ht="15.5" x14ac:dyDescent="0.35">
      <c r="A446" t="s">
        <v>443</v>
      </c>
      <c r="B446">
        <v>-2.5825518000000001</v>
      </c>
      <c r="C446" s="1">
        <v>121.1710389</v>
      </c>
    </row>
    <row r="447" spans="1:3" ht="15.5" x14ac:dyDescent="0.35">
      <c r="A447" t="s">
        <v>444</v>
      </c>
      <c r="B447">
        <v>-2.8621941999999998</v>
      </c>
      <c r="C447" s="1">
        <v>119.83523030000001</v>
      </c>
    </row>
    <row r="448" spans="1:3" ht="15.5" x14ac:dyDescent="0.35">
      <c r="A448" t="s">
        <v>1089</v>
      </c>
      <c r="B448">
        <v>-5.1333333000000003</v>
      </c>
      <c r="C448" s="1">
        <v>119.41666669999999</v>
      </c>
    </row>
    <row r="449" spans="1:3" ht="15.5" x14ac:dyDescent="0.35">
      <c r="A449" t="s">
        <v>1090</v>
      </c>
      <c r="B449">
        <v>-4.0166667</v>
      </c>
      <c r="C449" s="1">
        <v>119.62361110000001</v>
      </c>
    </row>
    <row r="450" spans="1:3" ht="15.5" x14ac:dyDescent="0.35">
      <c r="A450" t="s">
        <v>446</v>
      </c>
      <c r="B450">
        <v>-3</v>
      </c>
      <c r="C450" s="1">
        <v>120.2</v>
      </c>
    </row>
    <row r="451" spans="1:3" ht="15.5" x14ac:dyDescent="0.35">
      <c r="A451" t="s">
        <v>447</v>
      </c>
      <c r="B451">
        <v>-4.1449100000000003</v>
      </c>
      <c r="C451" s="1">
        <v>122.174605</v>
      </c>
    </row>
    <row r="452" spans="1:3" ht="15.5" x14ac:dyDescent="0.35">
      <c r="A452" t="s">
        <v>448</v>
      </c>
      <c r="B452">
        <v>-5.3096354999999997</v>
      </c>
      <c r="C452" s="1">
        <v>122.98883189999999</v>
      </c>
    </row>
    <row r="453" spans="1:3" ht="15.5" x14ac:dyDescent="0.35">
      <c r="A453" t="s">
        <v>449</v>
      </c>
      <c r="B453">
        <v>-4.9016289999999998</v>
      </c>
      <c r="C453" s="1">
        <v>122.6277455</v>
      </c>
    </row>
    <row r="454" spans="1:3" ht="15.5" x14ac:dyDescent="0.35">
      <c r="A454" t="s">
        <v>450</v>
      </c>
      <c r="B454">
        <v>-3.9380432000000001</v>
      </c>
      <c r="C454" s="1">
        <v>122.08374449999999</v>
      </c>
    </row>
    <row r="455" spans="1:3" ht="15.5" x14ac:dyDescent="0.35">
      <c r="A455" t="s">
        <v>451</v>
      </c>
      <c r="B455">
        <v>-4.0496650000000001</v>
      </c>
      <c r="C455" s="1">
        <v>121.59380299999999</v>
      </c>
    </row>
    <row r="456" spans="1:3" ht="15.5" x14ac:dyDescent="0.35">
      <c r="A456" t="s">
        <v>452</v>
      </c>
      <c r="B456">
        <v>-4.2027915</v>
      </c>
      <c r="C456" s="1">
        <v>122.4467238</v>
      </c>
    </row>
    <row r="457" spans="1:3" ht="15.5" x14ac:dyDescent="0.35">
      <c r="A457" t="s">
        <v>453</v>
      </c>
      <c r="B457">
        <v>-4.6543462</v>
      </c>
      <c r="C457" s="1">
        <v>121.9017954</v>
      </c>
    </row>
    <row r="458" spans="1:3" ht="15.5" x14ac:dyDescent="0.35">
      <c r="A458" t="s">
        <v>454</v>
      </c>
      <c r="B458">
        <v>-5.3264442000000001</v>
      </c>
      <c r="C458" s="1">
        <v>123.5951925</v>
      </c>
    </row>
    <row r="459" spans="1:3" ht="15.5" x14ac:dyDescent="0.35">
      <c r="A459" t="s">
        <v>455</v>
      </c>
      <c r="B459">
        <v>-3.1347227000000002</v>
      </c>
      <c r="C459" s="1">
        <v>121.1710389</v>
      </c>
    </row>
    <row r="460" spans="1:3" ht="15.5" x14ac:dyDescent="0.35">
      <c r="A460" t="s">
        <v>456</v>
      </c>
      <c r="B460">
        <v>-4.7023424</v>
      </c>
      <c r="C460" s="1">
        <v>123.03387669999999</v>
      </c>
    </row>
    <row r="461" spans="1:3" ht="15.5" x14ac:dyDescent="0.35">
      <c r="A461" t="s">
        <v>457</v>
      </c>
      <c r="B461">
        <v>-3.3803291</v>
      </c>
      <c r="C461" s="1">
        <v>122.08374449999999</v>
      </c>
    </row>
    <row r="462" spans="1:3" ht="15.5" x14ac:dyDescent="0.35">
      <c r="A462" t="s">
        <v>458</v>
      </c>
      <c r="B462">
        <v>-4.0180699999999998</v>
      </c>
      <c r="C462" s="1">
        <v>121.86172000000001</v>
      </c>
    </row>
    <row r="463" spans="1:3" ht="15.5" x14ac:dyDescent="0.35">
      <c r="A463" t="s">
        <v>459</v>
      </c>
      <c r="B463">
        <v>-4.1165599999999998</v>
      </c>
      <c r="C463" s="1">
        <v>123.10181</v>
      </c>
    </row>
    <row r="464" spans="1:3" ht="15.5" x14ac:dyDescent="0.35">
      <c r="A464" t="s">
        <v>460</v>
      </c>
      <c r="B464">
        <v>-4.8333300000000001</v>
      </c>
      <c r="C464" s="1">
        <v>122.48333</v>
      </c>
    </row>
    <row r="465" spans="1:3" ht="15.5" x14ac:dyDescent="0.35">
      <c r="A465" t="s">
        <v>461</v>
      </c>
      <c r="B465">
        <v>-5.3166700000000002</v>
      </c>
      <c r="C465" s="1">
        <v>122.33333</v>
      </c>
    </row>
    <row r="466" spans="1:3" ht="15.5" x14ac:dyDescent="0.35">
      <c r="A466" t="s">
        <v>462</v>
      </c>
      <c r="B466">
        <v>-5.5666700000000002</v>
      </c>
      <c r="C466" s="1">
        <v>122.7</v>
      </c>
    </row>
    <row r="467" spans="1:3" ht="15.5" x14ac:dyDescent="0.35">
      <c r="A467" t="s">
        <v>463</v>
      </c>
      <c r="B467">
        <v>-3.9722010000000001</v>
      </c>
      <c r="C467" s="1">
        <v>122.5149028</v>
      </c>
    </row>
    <row r="468" spans="1:3" ht="15.5" x14ac:dyDescent="0.35">
      <c r="A468" t="s">
        <v>464</v>
      </c>
      <c r="B468">
        <v>-5.4666699999999997</v>
      </c>
      <c r="C468" s="1">
        <v>122.633</v>
      </c>
    </row>
    <row r="469" spans="1:3" ht="15.5" x14ac:dyDescent="0.35">
      <c r="A469" t="s">
        <v>465</v>
      </c>
      <c r="B469">
        <v>0.69993720000000004</v>
      </c>
      <c r="C469" s="1">
        <v>122.4467238</v>
      </c>
    </row>
    <row r="470" spans="1:3" ht="15.5" x14ac:dyDescent="0.35">
      <c r="A470" t="s">
        <v>466</v>
      </c>
      <c r="B470">
        <v>0.70134189999999996</v>
      </c>
      <c r="C470" s="1">
        <v>122.2653887</v>
      </c>
    </row>
    <row r="471" spans="1:3" ht="15.5" x14ac:dyDescent="0.35">
      <c r="A471" t="s">
        <v>467</v>
      </c>
      <c r="B471">
        <v>0.69993720000000004</v>
      </c>
      <c r="C471" s="1">
        <v>122.4467238</v>
      </c>
    </row>
    <row r="472" spans="1:3" ht="15.5" x14ac:dyDescent="0.35">
      <c r="A472" t="s">
        <v>468</v>
      </c>
      <c r="B472">
        <v>0.70552780000000004</v>
      </c>
      <c r="C472" s="1">
        <v>121.7195459</v>
      </c>
    </row>
    <row r="473" spans="1:3" ht="15.5" x14ac:dyDescent="0.35">
      <c r="A473" t="s">
        <v>469</v>
      </c>
      <c r="B473">
        <v>0.56578850000000003</v>
      </c>
      <c r="C473" s="1">
        <v>123.3486147</v>
      </c>
    </row>
    <row r="474" spans="1:3" ht="15.5" x14ac:dyDescent="0.35">
      <c r="A474" t="s">
        <v>470</v>
      </c>
      <c r="B474">
        <v>0.92526470000000005</v>
      </c>
      <c r="C474" s="1">
        <v>122.49200879999999</v>
      </c>
    </row>
    <row r="475" spans="1:3" ht="15.5" x14ac:dyDescent="0.35">
      <c r="A475" t="s">
        <v>471</v>
      </c>
      <c r="B475">
        <v>0.53333330000000001</v>
      </c>
      <c r="C475" s="1">
        <v>123.0666667</v>
      </c>
    </row>
    <row r="476" spans="1:3" ht="15.5" x14ac:dyDescent="0.35">
      <c r="A476" t="s">
        <v>472</v>
      </c>
      <c r="B476">
        <v>-2.8441371000000002</v>
      </c>
      <c r="C476" s="1">
        <v>119.23207840000001</v>
      </c>
    </row>
    <row r="477" spans="1:3" ht="15.5" x14ac:dyDescent="0.35">
      <c r="A477" t="s">
        <v>473</v>
      </c>
      <c r="B477">
        <v>-3.0297250999999998</v>
      </c>
      <c r="C477" s="1">
        <v>118.9062794</v>
      </c>
    </row>
    <row r="478" spans="1:3" ht="15.5" x14ac:dyDescent="0.35">
      <c r="A478" t="s">
        <v>474</v>
      </c>
      <c r="B478">
        <v>-3.3419322999999999</v>
      </c>
      <c r="C478" s="1">
        <v>119.13906420000001</v>
      </c>
    </row>
    <row r="479" spans="1:3" ht="15.5" x14ac:dyDescent="0.35">
      <c r="A479" t="s">
        <v>475</v>
      </c>
      <c r="B479">
        <v>-2.9601350000000002</v>
      </c>
      <c r="C479" s="1">
        <v>119.368202</v>
      </c>
    </row>
    <row r="480" spans="1:3" ht="15.5" x14ac:dyDescent="0.35">
      <c r="A480" t="s">
        <v>476</v>
      </c>
      <c r="B480">
        <v>-2.7293364000000002</v>
      </c>
      <c r="C480" s="1">
        <v>118.92957370000001</v>
      </c>
    </row>
    <row r="481" spans="1:3" ht="15.5" x14ac:dyDescent="0.35">
      <c r="A481" t="s">
        <v>1064</v>
      </c>
      <c r="B481">
        <v>-1.5264542000000001</v>
      </c>
      <c r="C481" s="1">
        <v>119.5107708</v>
      </c>
    </row>
    <row r="482" spans="1:3" ht="15.5" x14ac:dyDescent="0.35">
      <c r="A482" t="s">
        <v>477</v>
      </c>
      <c r="B482">
        <v>-2.0901049999999999</v>
      </c>
      <c r="C482" s="1">
        <v>119.488072</v>
      </c>
    </row>
    <row r="483" spans="1:3" ht="15.5" x14ac:dyDescent="0.35">
      <c r="A483" t="s">
        <v>478</v>
      </c>
      <c r="B483">
        <v>-3.2384615999999999</v>
      </c>
      <c r="C483" s="1">
        <v>130.14527340000001</v>
      </c>
    </row>
    <row r="484" spans="1:3" ht="15.5" x14ac:dyDescent="0.35">
      <c r="A484" t="s">
        <v>1063</v>
      </c>
      <c r="B484">
        <v>-7.5322642000000002</v>
      </c>
      <c r="C484" s="1">
        <v>131.36111210000001</v>
      </c>
    </row>
    <row r="485" spans="1:3" ht="15.5" x14ac:dyDescent="0.35">
      <c r="A485" t="s">
        <v>479</v>
      </c>
      <c r="B485">
        <v>-5.7512454999999996</v>
      </c>
      <c r="C485" s="1">
        <v>132.72715869999999</v>
      </c>
    </row>
    <row r="486" spans="1:3" ht="15.5" x14ac:dyDescent="0.35">
      <c r="A486" t="s">
        <v>480</v>
      </c>
      <c r="B486">
        <v>-3.0166501000000001</v>
      </c>
      <c r="C486" s="1">
        <v>129.48644110000001</v>
      </c>
    </row>
    <row r="487" spans="1:3" ht="15.5" x14ac:dyDescent="0.35">
      <c r="A487" t="s">
        <v>481</v>
      </c>
      <c r="B487">
        <v>-3.3927754000000001</v>
      </c>
      <c r="C487" s="1">
        <v>126.78195049999999</v>
      </c>
    </row>
    <row r="488" spans="1:3" ht="15.5" x14ac:dyDescent="0.35">
      <c r="A488" t="s">
        <v>482</v>
      </c>
      <c r="B488">
        <v>-6.1946501999999999</v>
      </c>
      <c r="C488" s="1">
        <v>134.55019350000001</v>
      </c>
    </row>
    <row r="489" spans="1:3" ht="15.5" x14ac:dyDescent="0.35">
      <c r="A489" t="s">
        <v>483</v>
      </c>
      <c r="B489">
        <v>-3.1271575</v>
      </c>
      <c r="C489" s="1">
        <v>128.40083569999999</v>
      </c>
    </row>
    <row r="490" spans="1:3" ht="15.5" x14ac:dyDescent="0.35">
      <c r="A490" t="s">
        <v>484</v>
      </c>
      <c r="B490">
        <v>-3.4150760999999998</v>
      </c>
      <c r="C490" s="1">
        <v>130.390488</v>
      </c>
    </row>
    <row r="491" spans="1:3" ht="15.5" x14ac:dyDescent="0.35">
      <c r="A491" t="s">
        <v>485</v>
      </c>
      <c r="B491">
        <v>-7.7851587999999996</v>
      </c>
      <c r="C491" s="1">
        <v>126.34980969999999</v>
      </c>
    </row>
    <row r="492" spans="1:3" ht="15.5" x14ac:dyDescent="0.35">
      <c r="A492" t="s">
        <v>486</v>
      </c>
      <c r="B492">
        <v>-3.3927754000000001</v>
      </c>
      <c r="C492" s="1">
        <v>126.78195049999999</v>
      </c>
    </row>
    <row r="493" spans="1:3" ht="15.5" x14ac:dyDescent="0.35">
      <c r="A493" t="s">
        <v>487</v>
      </c>
      <c r="B493">
        <v>-3.6560700000000002</v>
      </c>
      <c r="C493" s="1">
        <v>128.16641899999999</v>
      </c>
    </row>
    <row r="494" spans="1:3" ht="15.5" x14ac:dyDescent="0.35">
      <c r="A494" t="s">
        <v>488</v>
      </c>
      <c r="B494">
        <v>-5.6425770000000002</v>
      </c>
      <c r="C494" s="1">
        <v>132.74299300000001</v>
      </c>
    </row>
    <row r="495" spans="1:3" ht="15.5" x14ac:dyDescent="0.35">
      <c r="A495" t="s">
        <v>489</v>
      </c>
      <c r="B495">
        <v>1.5709993</v>
      </c>
      <c r="C495" s="1">
        <v>127.80876929999999</v>
      </c>
    </row>
    <row r="496" spans="1:3" ht="15.5" x14ac:dyDescent="0.35">
      <c r="A496" t="s">
        <v>490</v>
      </c>
      <c r="B496">
        <v>1.3121235</v>
      </c>
      <c r="C496" s="1">
        <v>128.48499229999999</v>
      </c>
    </row>
    <row r="497" spans="1:3" ht="15.5" x14ac:dyDescent="0.35">
      <c r="A497" t="s">
        <v>491</v>
      </c>
      <c r="B497">
        <v>1.3121235</v>
      </c>
      <c r="C497" s="1">
        <v>128.48499229999999</v>
      </c>
    </row>
    <row r="498" spans="1:3" ht="15.5" x14ac:dyDescent="0.35">
      <c r="A498" t="s">
        <v>492</v>
      </c>
      <c r="B498">
        <v>-1.8666666999999999</v>
      </c>
      <c r="C498" s="1">
        <v>125.3666667</v>
      </c>
    </row>
    <row r="499" spans="1:3" ht="15.5" x14ac:dyDescent="0.35">
      <c r="A499" t="s">
        <v>493</v>
      </c>
      <c r="B499">
        <v>1.3121235</v>
      </c>
      <c r="C499" s="1">
        <v>128.48499229999999</v>
      </c>
    </row>
    <row r="500" spans="1:3" ht="15.5" x14ac:dyDescent="0.35">
      <c r="A500" t="s">
        <v>494</v>
      </c>
      <c r="B500">
        <v>1.3121235</v>
      </c>
      <c r="C500" s="1">
        <v>128.48499229999999</v>
      </c>
    </row>
    <row r="501" spans="1:3" ht="15.5" x14ac:dyDescent="0.35">
      <c r="A501" t="s">
        <v>495</v>
      </c>
      <c r="B501">
        <v>1.3121235</v>
      </c>
      <c r="C501" s="1">
        <v>128.48499229999999</v>
      </c>
    </row>
    <row r="502" spans="1:3" ht="15.5" x14ac:dyDescent="0.35">
      <c r="A502" t="s">
        <v>496</v>
      </c>
      <c r="B502">
        <v>2</v>
      </c>
      <c r="C502" s="1">
        <v>128</v>
      </c>
    </row>
    <row r="503" spans="1:3" ht="15.5" x14ac:dyDescent="0.35">
      <c r="A503" t="s">
        <v>497</v>
      </c>
      <c r="B503">
        <v>-1.8</v>
      </c>
      <c r="C503" s="1">
        <v>124.8</v>
      </c>
    </row>
    <row r="504" spans="1:3" ht="15.5" x14ac:dyDescent="0.35">
      <c r="A504" t="s">
        <v>498</v>
      </c>
      <c r="B504">
        <v>0.78333330000000001</v>
      </c>
      <c r="C504" s="1">
        <v>127.3666667</v>
      </c>
    </row>
    <row r="505" spans="1:3" ht="15.5" x14ac:dyDescent="0.35">
      <c r="A505" t="s">
        <v>499</v>
      </c>
      <c r="B505">
        <v>0.68333330000000003</v>
      </c>
      <c r="C505" s="1">
        <v>127.4</v>
      </c>
    </row>
    <row r="506" spans="1:3" ht="15.5" x14ac:dyDescent="0.35">
      <c r="A506" t="s">
        <v>500</v>
      </c>
      <c r="B506">
        <v>-1.3361154</v>
      </c>
      <c r="C506" s="1">
        <v>133.17471620000001</v>
      </c>
    </row>
    <row r="507" spans="1:3" ht="15.5" x14ac:dyDescent="0.35">
      <c r="A507" t="s">
        <v>501</v>
      </c>
      <c r="B507">
        <v>-2.8852370000000001</v>
      </c>
      <c r="C507" s="1">
        <v>132.26582819999999</v>
      </c>
    </row>
    <row r="508" spans="1:3" ht="15.5" x14ac:dyDescent="0.35">
      <c r="A508" t="s">
        <v>502</v>
      </c>
      <c r="B508">
        <v>-3.6609250000000002</v>
      </c>
      <c r="C508" s="1">
        <v>133.774506</v>
      </c>
    </row>
    <row r="509" spans="1:3" ht="15.5" x14ac:dyDescent="0.35">
      <c r="A509" t="s">
        <v>503</v>
      </c>
      <c r="B509">
        <v>-2.8551698999999999</v>
      </c>
      <c r="C509" s="1">
        <v>134.32365569999999</v>
      </c>
    </row>
    <row r="510" spans="1:3" ht="15.5" x14ac:dyDescent="0.35">
      <c r="A510" t="s">
        <v>504</v>
      </c>
      <c r="B510">
        <v>-1.9056848</v>
      </c>
      <c r="C510" s="1">
        <v>133.329466</v>
      </c>
    </row>
    <row r="511" spans="1:3" ht="15.5" x14ac:dyDescent="0.35">
      <c r="A511" t="s">
        <v>505</v>
      </c>
      <c r="B511">
        <v>-0.86145309999999997</v>
      </c>
      <c r="C511" s="1">
        <v>134.06204210000001</v>
      </c>
    </row>
    <row r="512" spans="1:3" ht="15.5" x14ac:dyDescent="0.35">
      <c r="A512" t="s">
        <v>506</v>
      </c>
      <c r="B512">
        <v>-0.86666670000000001</v>
      </c>
      <c r="C512" s="1">
        <v>131.25</v>
      </c>
    </row>
    <row r="513" spans="1:3" ht="15.5" x14ac:dyDescent="0.35">
      <c r="A513" t="s">
        <v>507</v>
      </c>
      <c r="B513">
        <v>-0.86666670000000001</v>
      </c>
      <c r="C513" s="1">
        <v>131.25</v>
      </c>
    </row>
    <row r="514" spans="1:3" ht="15.5" x14ac:dyDescent="0.35">
      <c r="A514" t="s">
        <v>508</v>
      </c>
      <c r="B514">
        <v>-1.0915151000000001</v>
      </c>
      <c r="C514" s="1">
        <v>130.8778586</v>
      </c>
    </row>
    <row r="515" spans="1:3" ht="15.5" x14ac:dyDescent="0.35">
      <c r="A515" t="s">
        <v>509</v>
      </c>
      <c r="B515">
        <v>-0.60514999999999997</v>
      </c>
      <c r="C515" s="1">
        <v>132.48962</v>
      </c>
    </row>
    <row r="516" spans="1:3" ht="15.5" x14ac:dyDescent="0.35">
      <c r="A516" t="s">
        <v>510</v>
      </c>
      <c r="B516">
        <v>-1.2155</v>
      </c>
      <c r="C516" s="1">
        <v>132.35092</v>
      </c>
    </row>
    <row r="517" spans="1:3" ht="15.5" x14ac:dyDescent="0.35">
      <c r="A517" t="s">
        <v>511</v>
      </c>
      <c r="B517">
        <v>-1.0798000000000001</v>
      </c>
      <c r="C517" s="1">
        <v>133.96728999999999</v>
      </c>
    </row>
    <row r="518" spans="1:3" ht="15.5" x14ac:dyDescent="0.35">
      <c r="A518" t="s">
        <v>512</v>
      </c>
      <c r="B518">
        <v>-0.93523000000000001</v>
      </c>
      <c r="C518" s="1">
        <v>133.89587</v>
      </c>
    </row>
    <row r="519" spans="1:3" ht="15.5" x14ac:dyDescent="0.35">
      <c r="A519" t="s">
        <v>513</v>
      </c>
      <c r="B519">
        <v>-0.86666670000000001</v>
      </c>
      <c r="C519" s="1">
        <v>131.25</v>
      </c>
    </row>
    <row r="520" spans="1:3" ht="15.5" x14ac:dyDescent="0.35">
      <c r="A520" t="s">
        <v>514</v>
      </c>
      <c r="B520">
        <v>-3.8833299999999999</v>
      </c>
      <c r="C520" s="1">
        <v>139.16667000000001</v>
      </c>
    </row>
    <row r="521" spans="1:3" ht="15.5" x14ac:dyDescent="0.35">
      <c r="A521" t="s">
        <v>508</v>
      </c>
      <c r="B521">
        <v>-1.0915151000000001</v>
      </c>
      <c r="C521" s="1">
        <v>130.8778586</v>
      </c>
    </row>
    <row r="522" spans="1:3" ht="15.5" x14ac:dyDescent="0.35">
      <c r="A522" t="s">
        <v>507</v>
      </c>
      <c r="B522">
        <v>-0.86666670000000001</v>
      </c>
      <c r="C522" s="1">
        <v>131.25</v>
      </c>
    </row>
    <row r="523" spans="1:3" ht="15.5" x14ac:dyDescent="0.35">
      <c r="A523" t="s">
        <v>506</v>
      </c>
      <c r="B523">
        <v>-0.86666670000000001</v>
      </c>
      <c r="C523" s="1">
        <v>131.25</v>
      </c>
    </row>
    <row r="524" spans="1:3" ht="15.5" x14ac:dyDescent="0.35">
      <c r="A524" t="s">
        <v>510</v>
      </c>
      <c r="B524">
        <v>-0.86666670000000001</v>
      </c>
      <c r="C524" s="1">
        <v>131.25</v>
      </c>
    </row>
    <row r="525" spans="1:3" ht="15.5" x14ac:dyDescent="0.35">
      <c r="A525" t="s">
        <v>509</v>
      </c>
      <c r="B525">
        <v>-4.2699280000000002</v>
      </c>
      <c r="C525" s="1">
        <v>138.08035290000001</v>
      </c>
    </row>
    <row r="526" spans="1:3" ht="15.5" x14ac:dyDescent="0.35">
      <c r="A526" t="s">
        <v>513</v>
      </c>
      <c r="B526">
        <v>-8.4960406000000006</v>
      </c>
      <c r="C526" s="1">
        <v>140.39455269999999</v>
      </c>
    </row>
    <row r="527" spans="1:3" ht="15.5" x14ac:dyDescent="0.35">
      <c r="A527" t="s">
        <v>515</v>
      </c>
      <c r="B527">
        <v>-4.0004480999999998</v>
      </c>
      <c r="C527" s="1">
        <v>138.79951220000001</v>
      </c>
    </row>
    <row r="528" spans="1:3" ht="15.5" x14ac:dyDescent="0.35">
      <c r="A528" t="s">
        <v>516</v>
      </c>
      <c r="B528">
        <v>-2.5329999999999999</v>
      </c>
      <c r="C528" s="1">
        <v>140.71700000000001</v>
      </c>
    </row>
    <row r="529" spans="1:3" ht="15.5" x14ac:dyDescent="0.35">
      <c r="A529" t="s">
        <v>517</v>
      </c>
      <c r="B529">
        <v>-3.5095461999999999</v>
      </c>
      <c r="C529" s="1">
        <v>135.75209849999999</v>
      </c>
    </row>
    <row r="530" spans="1:3" ht="15.5" x14ac:dyDescent="0.35">
      <c r="A530" t="s">
        <v>518</v>
      </c>
      <c r="B530">
        <v>-1.7469359</v>
      </c>
      <c r="C530" s="1">
        <v>136.1709012</v>
      </c>
    </row>
    <row r="531" spans="1:3" ht="15.5" x14ac:dyDescent="0.35">
      <c r="A531" t="s">
        <v>519</v>
      </c>
      <c r="B531">
        <v>-1.0381022</v>
      </c>
      <c r="C531" s="1">
        <v>135.98008479999999</v>
      </c>
    </row>
    <row r="532" spans="1:3" ht="15.5" x14ac:dyDescent="0.35">
      <c r="A532" t="s">
        <v>520</v>
      </c>
      <c r="B532">
        <v>-3.7876441000000001</v>
      </c>
      <c r="C532" s="1">
        <v>136.3624686</v>
      </c>
    </row>
    <row r="533" spans="1:3" ht="15.5" x14ac:dyDescent="0.35">
      <c r="A533" t="s">
        <v>521</v>
      </c>
      <c r="B533">
        <v>-4.0836110999999997</v>
      </c>
      <c r="C533" s="1">
        <v>137.18472220000001</v>
      </c>
    </row>
    <row r="534" spans="1:3" ht="15.5" x14ac:dyDescent="0.35">
      <c r="A534" t="s">
        <v>522</v>
      </c>
      <c r="B534">
        <v>-4.4553222999999997</v>
      </c>
      <c r="C534" s="1">
        <v>137.1362125</v>
      </c>
    </row>
    <row r="535" spans="1:3" ht="15.5" x14ac:dyDescent="0.35">
      <c r="A535" t="s">
        <v>523</v>
      </c>
      <c r="B535">
        <v>-5.7400017999999999</v>
      </c>
      <c r="C535" s="1">
        <v>140.3481835</v>
      </c>
    </row>
    <row r="536" spans="1:3" ht="15.5" x14ac:dyDescent="0.35">
      <c r="A536" t="s">
        <v>524</v>
      </c>
      <c r="B536">
        <v>-7.1022319999999999</v>
      </c>
      <c r="C536" s="1">
        <v>139.39639299999999</v>
      </c>
    </row>
    <row r="537" spans="1:3" ht="15.5" x14ac:dyDescent="0.35">
      <c r="A537" t="s">
        <v>525</v>
      </c>
      <c r="B537">
        <v>-5.0573958000000001</v>
      </c>
      <c r="C537" s="1">
        <v>138.3988186</v>
      </c>
    </row>
    <row r="538" spans="1:3" ht="15.5" x14ac:dyDescent="0.35">
      <c r="A538" t="s">
        <v>526</v>
      </c>
      <c r="B538">
        <v>-4.4939717000000003</v>
      </c>
      <c r="C538" s="1">
        <v>139.52799959999999</v>
      </c>
    </row>
    <row r="539" spans="1:3" ht="15.5" x14ac:dyDescent="0.35">
      <c r="A539" t="s">
        <v>527</v>
      </c>
      <c r="B539">
        <v>-4.5589871999999998</v>
      </c>
      <c r="C539" s="1">
        <v>140.51355889999999</v>
      </c>
    </row>
    <row r="540" spans="1:3" ht="15.5" x14ac:dyDescent="0.35">
      <c r="A540" t="s">
        <v>528</v>
      </c>
      <c r="B540">
        <v>-3.4811320000000001</v>
      </c>
      <c r="C540" s="1">
        <v>138.47872580000001</v>
      </c>
    </row>
    <row r="541" spans="1:3" ht="15.5" x14ac:dyDescent="0.35">
      <c r="A541" t="s">
        <v>529</v>
      </c>
      <c r="B541">
        <v>-1.868727</v>
      </c>
      <c r="C541" s="1">
        <v>138.743607</v>
      </c>
    </row>
    <row r="542" spans="1:3" ht="15.5" x14ac:dyDescent="0.35">
      <c r="A542" t="s">
        <v>530</v>
      </c>
      <c r="B542">
        <v>-3.3449536000000002</v>
      </c>
      <c r="C542" s="1">
        <v>140.76244929999999</v>
      </c>
    </row>
    <row r="543" spans="1:3" ht="15.5" x14ac:dyDescent="0.35">
      <c r="A543" t="s">
        <v>531</v>
      </c>
      <c r="B543">
        <v>-2.8435717</v>
      </c>
      <c r="C543" s="1">
        <v>136.670534</v>
      </c>
    </row>
    <row r="544" spans="1:3" ht="15.5" x14ac:dyDescent="0.35">
      <c r="A544" t="s">
        <v>532</v>
      </c>
      <c r="B544">
        <v>-0.72950990000000004</v>
      </c>
      <c r="C544" s="1">
        <v>135.63851249999999</v>
      </c>
    </row>
    <row r="545" spans="1:3" ht="15.5" x14ac:dyDescent="0.35">
      <c r="A545" t="s">
        <v>533</v>
      </c>
      <c r="B545">
        <v>-2.5331255000000001</v>
      </c>
      <c r="C545" s="1">
        <v>137.7637565</v>
      </c>
    </row>
    <row r="546" spans="1:3" ht="15.5" x14ac:dyDescent="0.35">
      <c r="A546" t="s">
        <v>534</v>
      </c>
      <c r="B546">
        <v>-4.4069495999999999</v>
      </c>
      <c r="C546" s="1">
        <v>138.23935280000001</v>
      </c>
    </row>
    <row r="547" spans="1:3" ht="15.5" x14ac:dyDescent="0.35">
      <c r="A547" t="s">
        <v>535</v>
      </c>
      <c r="B547">
        <v>-3.9710329999999998</v>
      </c>
      <c r="C547" s="1">
        <v>138.3190276</v>
      </c>
    </row>
    <row r="548" spans="1:3" ht="15.5" x14ac:dyDescent="0.35">
      <c r="A548" t="s">
        <v>536</v>
      </c>
      <c r="B548">
        <v>-3.7852847000000001</v>
      </c>
      <c r="C548" s="1">
        <v>139.44660049999999</v>
      </c>
    </row>
    <row r="549" spans="1:3" ht="15.5" x14ac:dyDescent="0.35">
      <c r="A549" t="s">
        <v>537</v>
      </c>
      <c r="B549">
        <v>-6.7125475999999997</v>
      </c>
      <c r="C549" s="1">
        <v>106.95424250000001</v>
      </c>
    </row>
    <row r="550" spans="1:3" ht="15.5" x14ac:dyDescent="0.35">
      <c r="A550" t="s">
        <v>538</v>
      </c>
      <c r="B550">
        <v>-4.0193871999999997</v>
      </c>
      <c r="C550" s="1">
        <v>135.96104460000001</v>
      </c>
    </row>
    <row r="551" spans="1:3" ht="15.5" x14ac:dyDescent="0.35">
      <c r="A551" t="s">
        <v>539</v>
      </c>
      <c r="B551">
        <v>-3.5076421999999998</v>
      </c>
      <c r="C551" s="1">
        <v>136.74784930000001</v>
      </c>
    </row>
    <row r="552" spans="1:3" ht="15.5" x14ac:dyDescent="0.35">
      <c r="A552" t="s">
        <v>540</v>
      </c>
      <c r="B552">
        <v>-4.0974893000000003</v>
      </c>
      <c r="C552" s="1">
        <v>136.43930539999999</v>
      </c>
    </row>
    <row r="553" spans="1:3" x14ac:dyDescent="0.35">
      <c r="A553" t="s">
        <v>541</v>
      </c>
      <c r="B553">
        <v>-2.5329999999999999</v>
      </c>
      <c r="C553">
        <v>140.71700000000001</v>
      </c>
    </row>
    <row r="554" spans="1:3" x14ac:dyDescent="0.35">
      <c r="A554" t="s">
        <v>542</v>
      </c>
      <c r="B554">
        <v>-8.4960406000000006</v>
      </c>
      <c r="C554">
        <v>140.39455269999999</v>
      </c>
    </row>
    <row r="555" spans="1:3" x14ac:dyDescent="0.35">
      <c r="A555" t="s">
        <v>543</v>
      </c>
      <c r="B555">
        <v>-5.7400017999999999</v>
      </c>
      <c r="C555">
        <v>140.3481835</v>
      </c>
    </row>
    <row r="556" spans="1:3" x14ac:dyDescent="0.35">
      <c r="A556" t="s">
        <v>544</v>
      </c>
      <c r="B556">
        <v>-7.1022319999999999</v>
      </c>
      <c r="C556">
        <v>139.39639299999999</v>
      </c>
    </row>
    <row r="557" spans="1:3" x14ac:dyDescent="0.35">
      <c r="A557" t="s">
        <v>545</v>
      </c>
      <c r="B557">
        <v>-5.0573958000000001</v>
      </c>
      <c r="C557">
        <v>138.3988186</v>
      </c>
    </row>
    <row r="558" spans="1:3" x14ac:dyDescent="0.35">
      <c r="A558" t="s">
        <v>516</v>
      </c>
      <c r="B558">
        <v>-4.4553222999999997</v>
      </c>
      <c r="C558">
        <v>137.1362125</v>
      </c>
    </row>
    <row r="559" spans="1:3" x14ac:dyDescent="0.35">
      <c r="A559" t="s">
        <v>525</v>
      </c>
      <c r="B559">
        <v>-4.0193871999999997</v>
      </c>
      <c r="C559">
        <v>135.96104460000001</v>
      </c>
    </row>
    <row r="560" spans="1:3" x14ac:dyDescent="0.35">
      <c r="A560" t="s">
        <v>526</v>
      </c>
      <c r="B560">
        <v>-4.0974893000000003</v>
      </c>
      <c r="C560">
        <v>136.43930539999999</v>
      </c>
    </row>
    <row r="561" spans="1:3" x14ac:dyDescent="0.35">
      <c r="A561" t="s">
        <v>527</v>
      </c>
      <c r="B561">
        <v>-3.5095461999999999</v>
      </c>
      <c r="C561">
        <v>135.75209849999999</v>
      </c>
    </row>
    <row r="562" spans="1:3" x14ac:dyDescent="0.35">
      <c r="A562" t="s">
        <v>546</v>
      </c>
      <c r="B562">
        <v>-3.7876441000000001</v>
      </c>
      <c r="C562">
        <v>136.3624686</v>
      </c>
    </row>
    <row r="563" spans="1:3" x14ac:dyDescent="0.35">
      <c r="A563" t="s">
        <v>524</v>
      </c>
      <c r="B563">
        <v>-3.5076421999999998</v>
      </c>
      <c r="C563">
        <v>136.74784930000001</v>
      </c>
    </row>
    <row r="564" spans="1:3" x14ac:dyDescent="0.35">
      <c r="A564" t="s">
        <v>541</v>
      </c>
      <c r="B564">
        <v>-6.7125475999999997</v>
      </c>
      <c r="C564">
        <v>106.95424250000001</v>
      </c>
    </row>
    <row r="565" spans="1:3" x14ac:dyDescent="0.35">
      <c r="A565" t="s">
        <v>543</v>
      </c>
      <c r="B565">
        <v>-4.0836110999999997</v>
      </c>
      <c r="C565">
        <v>137.18472220000001</v>
      </c>
    </row>
    <row r="566" spans="1:3" x14ac:dyDescent="0.35">
      <c r="A566" t="s">
        <v>519</v>
      </c>
      <c r="B566">
        <v>-4.4069495999999999</v>
      </c>
      <c r="C566">
        <v>138.23935280000001</v>
      </c>
    </row>
    <row r="567" spans="1:3" x14ac:dyDescent="0.35">
      <c r="A567" t="s">
        <v>522</v>
      </c>
      <c r="B567">
        <v>-4.0004480999999998</v>
      </c>
      <c r="C567">
        <v>138.79951220000001</v>
      </c>
    </row>
    <row r="568" spans="1:3" x14ac:dyDescent="0.35">
      <c r="A568" t="s">
        <v>542</v>
      </c>
      <c r="B568">
        <v>-3.9710329999999998</v>
      </c>
      <c r="C568">
        <v>138.3190276</v>
      </c>
    </row>
    <row r="569" spans="1:3" x14ac:dyDescent="0.35">
      <c r="A569" t="s">
        <v>540</v>
      </c>
      <c r="B569">
        <v>-3.4811320000000001</v>
      </c>
      <c r="C569">
        <v>138.47872580000001</v>
      </c>
    </row>
    <row r="570" spans="1:3" x14ac:dyDescent="0.35">
      <c r="A570" t="s">
        <v>523</v>
      </c>
      <c r="B570">
        <v>-3.7852847000000001</v>
      </c>
      <c r="C570">
        <v>139.44660049999999</v>
      </c>
    </row>
    <row r="571" spans="1:3" x14ac:dyDescent="0.35">
      <c r="A571" t="s">
        <v>547</v>
      </c>
      <c r="B571">
        <v>-4.4939717000000003</v>
      </c>
      <c r="C571">
        <v>139.52799959999999</v>
      </c>
    </row>
    <row r="572" spans="1:3" x14ac:dyDescent="0.35">
      <c r="A572" t="s">
        <v>536</v>
      </c>
      <c r="B572">
        <v>-4.4667000000000003</v>
      </c>
      <c r="C572">
        <v>139.58330000000001</v>
      </c>
    </row>
    <row r="573" spans="1:3" x14ac:dyDescent="0.35">
      <c r="A573" t="s">
        <v>517</v>
      </c>
      <c r="B573">
        <v>-4.5216700000000003</v>
      </c>
      <c r="C573">
        <v>140.29541</v>
      </c>
    </row>
    <row r="574" spans="1:3" x14ac:dyDescent="0.35">
      <c r="A574" t="s">
        <v>537</v>
      </c>
    </row>
    <row r="575" spans="1:3" x14ac:dyDescent="0.35">
      <c r="A575" t="s">
        <v>530</v>
      </c>
    </row>
    <row r="576" spans="1:3" x14ac:dyDescent="0.35">
      <c r="A576" t="s">
        <v>538</v>
      </c>
    </row>
    <row r="577" spans="1:1" x14ac:dyDescent="0.35">
      <c r="A577" t="s">
        <v>539</v>
      </c>
    </row>
    <row r="578" spans="1:1" x14ac:dyDescent="0.35">
      <c r="A578" t="s">
        <v>528</v>
      </c>
    </row>
    <row r="579" spans="1:1" x14ac:dyDescent="0.35">
      <c r="A579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639B-9228-41FE-BFB7-58B2F7AAF95D}">
  <dimension ref="A1:AX580"/>
  <sheetViews>
    <sheetView topLeftCell="AI1" workbookViewId="0">
      <pane ySplit="1" topLeftCell="A551" activePane="bottomLeft" state="frozen"/>
      <selection activeCell="K1" sqref="K1"/>
      <selection pane="bottomLeft" activeCell="AW556" sqref="AW556"/>
    </sheetView>
  </sheetViews>
  <sheetFormatPr defaultRowHeight="14.5" x14ac:dyDescent="0.35"/>
  <cols>
    <col min="1" max="1" width="44.26953125" customWidth="1"/>
    <col min="4" max="4" width="44.6328125" customWidth="1"/>
    <col min="7" max="7" width="30.36328125" customWidth="1"/>
    <col min="10" max="10" width="22.90625" customWidth="1"/>
    <col min="13" max="13" width="27.1796875" customWidth="1"/>
    <col min="16" max="16" width="26.54296875" customWidth="1"/>
    <col min="19" max="19" width="25.7265625" customWidth="1"/>
    <col min="20" max="20" width="26.26953125" customWidth="1"/>
    <col min="22" max="22" width="28.90625" customWidth="1"/>
    <col min="25" max="25" width="35.6328125" customWidth="1"/>
    <col min="28" max="28" width="24.08984375" customWidth="1"/>
    <col min="29" max="29" width="24.453125" customWidth="1"/>
    <col min="30" max="30" width="13.26953125" bestFit="1" customWidth="1"/>
    <col min="31" max="31" width="18.36328125" bestFit="1" customWidth="1"/>
    <col min="35" max="35" width="18.26953125" customWidth="1"/>
  </cols>
  <sheetData>
    <row r="1" spans="1:50" x14ac:dyDescent="0.35">
      <c r="A1" t="s">
        <v>0</v>
      </c>
      <c r="B1" t="s">
        <v>550</v>
      </c>
      <c r="D1" t="s">
        <v>0</v>
      </c>
      <c r="E1" t="s">
        <v>1060</v>
      </c>
      <c r="G1" t="s">
        <v>0</v>
      </c>
      <c r="H1" t="s">
        <v>1059</v>
      </c>
      <c r="J1" t="s">
        <v>0</v>
      </c>
      <c r="K1" t="s">
        <v>1061</v>
      </c>
      <c r="M1" t="s">
        <v>0</v>
      </c>
      <c r="N1" t="s">
        <v>1062</v>
      </c>
      <c r="P1" t="s">
        <v>1068</v>
      </c>
      <c r="Q1" t="s">
        <v>1067</v>
      </c>
      <c r="S1" t="s">
        <v>0</v>
      </c>
      <c r="T1" t="s">
        <v>1069</v>
      </c>
      <c r="V1" t="s">
        <v>0</v>
      </c>
      <c r="W1" t="s">
        <v>1070</v>
      </c>
      <c r="Y1" t="s">
        <v>1071</v>
      </c>
      <c r="Z1" t="s">
        <v>1072</v>
      </c>
      <c r="AC1" t="s">
        <v>1103</v>
      </c>
      <c r="AD1" t="s">
        <v>1104</v>
      </c>
      <c r="AE1" t="s">
        <v>1105</v>
      </c>
      <c r="AF1" t="s">
        <v>1106</v>
      </c>
      <c r="AI1" t="s">
        <v>1162</v>
      </c>
      <c r="AJ1" t="s">
        <v>1163</v>
      </c>
      <c r="AL1" t="s">
        <v>1165</v>
      </c>
      <c r="AM1" t="s">
        <v>1170</v>
      </c>
      <c r="AO1" t="s">
        <v>1162</v>
      </c>
      <c r="AP1" t="s">
        <v>1174</v>
      </c>
      <c r="AQ1" t="s">
        <v>1175</v>
      </c>
      <c r="AS1" t="s">
        <v>1162</v>
      </c>
      <c r="AT1" t="s">
        <v>1177</v>
      </c>
      <c r="AU1" t="s">
        <v>1178</v>
      </c>
      <c r="AW1" t="s">
        <v>1162</v>
      </c>
      <c r="AX1" t="s">
        <v>1183</v>
      </c>
    </row>
    <row r="2" spans="1:50" x14ac:dyDescent="0.35">
      <c r="A2" t="s">
        <v>3</v>
      </c>
      <c r="B2">
        <v>92.55</v>
      </c>
      <c r="D2" t="s">
        <v>3</v>
      </c>
      <c r="E2">
        <v>63.56</v>
      </c>
      <c r="G2" t="s">
        <v>3</v>
      </c>
      <c r="H2">
        <v>0.48899999999999999</v>
      </c>
      <c r="J2" t="s">
        <v>3</v>
      </c>
      <c r="K2">
        <v>11.11</v>
      </c>
      <c r="M2" t="s">
        <v>3</v>
      </c>
      <c r="N2">
        <v>55.77</v>
      </c>
      <c r="P2" t="s">
        <v>4</v>
      </c>
      <c r="Q2">
        <v>10.91</v>
      </c>
      <c r="S2" t="s">
        <v>3</v>
      </c>
      <c r="T2">
        <v>0.20899999999999999</v>
      </c>
      <c r="V2" t="s">
        <v>3</v>
      </c>
      <c r="W2">
        <v>34.5</v>
      </c>
      <c r="Y2" t="s">
        <v>3</v>
      </c>
      <c r="Z2">
        <v>2.42</v>
      </c>
      <c r="AC2" s="4" t="s">
        <v>1108</v>
      </c>
      <c r="AD2" s="5">
        <v>226421030</v>
      </c>
      <c r="AE2" s="5">
        <v>41187010</v>
      </c>
      <c r="AF2" s="5">
        <v>23846273</v>
      </c>
      <c r="AI2" t="s">
        <v>3</v>
      </c>
      <c r="AJ2">
        <v>22.88</v>
      </c>
      <c r="AL2" t="s">
        <v>3</v>
      </c>
      <c r="AM2">
        <v>14.45</v>
      </c>
      <c r="AO2" t="s">
        <v>3</v>
      </c>
      <c r="AP2">
        <v>68.42</v>
      </c>
      <c r="AQ2">
        <v>72.349999999999994</v>
      </c>
      <c r="AS2" t="s">
        <v>3</v>
      </c>
      <c r="AT2">
        <v>9.6999999999999993</v>
      </c>
      <c r="AU2">
        <v>9.4</v>
      </c>
      <c r="AW2" t="s">
        <v>3</v>
      </c>
      <c r="AX2">
        <v>44.57</v>
      </c>
    </row>
    <row r="3" spans="1:50" x14ac:dyDescent="0.35">
      <c r="A3" t="s">
        <v>4</v>
      </c>
      <c r="B3">
        <v>79.41</v>
      </c>
      <c r="D3" t="s">
        <v>551</v>
      </c>
      <c r="E3">
        <v>64.790000000000006</v>
      </c>
      <c r="G3" t="s">
        <v>4</v>
      </c>
      <c r="H3">
        <v>0.30199999999999999</v>
      </c>
      <c r="J3" t="s">
        <v>551</v>
      </c>
      <c r="K3">
        <v>20</v>
      </c>
      <c r="M3" t="s">
        <v>551</v>
      </c>
      <c r="N3">
        <v>52.38</v>
      </c>
      <c r="P3" t="s">
        <v>5</v>
      </c>
      <c r="Q3">
        <v>7.31</v>
      </c>
      <c r="S3" t="s">
        <v>4</v>
      </c>
      <c r="T3">
        <v>0.26100000000000001</v>
      </c>
      <c r="V3" t="s">
        <v>551</v>
      </c>
      <c r="W3">
        <v>24.04</v>
      </c>
      <c r="Y3" t="s">
        <v>551</v>
      </c>
      <c r="Z3">
        <v>2.71</v>
      </c>
      <c r="AC3" s="4" t="s">
        <v>10</v>
      </c>
      <c r="AD3" s="5">
        <v>63513911</v>
      </c>
      <c r="AE3" s="5">
        <v>31594492</v>
      </c>
      <c r="AF3" s="5">
        <v>17535407</v>
      </c>
      <c r="AI3" t="s">
        <v>551</v>
      </c>
      <c r="AJ3">
        <v>38.9</v>
      </c>
      <c r="AL3" t="s">
        <v>4</v>
      </c>
      <c r="AM3">
        <v>17.920000000000002</v>
      </c>
      <c r="AO3" t="s">
        <v>4</v>
      </c>
      <c r="AP3">
        <v>63.72</v>
      </c>
      <c r="AQ3">
        <v>67.59</v>
      </c>
      <c r="AS3" t="s">
        <v>4</v>
      </c>
      <c r="AT3">
        <v>10.15</v>
      </c>
      <c r="AU3">
        <v>9.3699999999999992</v>
      </c>
      <c r="AW3" t="s">
        <v>4</v>
      </c>
      <c r="AX3">
        <v>42.67</v>
      </c>
    </row>
    <row r="4" spans="1:50" x14ac:dyDescent="0.35">
      <c r="A4" t="s">
        <v>5</v>
      </c>
      <c r="B4">
        <v>85.23</v>
      </c>
      <c r="D4" t="s">
        <v>552</v>
      </c>
      <c r="E4">
        <v>59.84</v>
      </c>
      <c r="G4" t="s">
        <v>5</v>
      </c>
      <c r="H4">
        <v>0.52500000000000002</v>
      </c>
      <c r="J4" t="s">
        <v>552</v>
      </c>
      <c r="K4">
        <v>12</v>
      </c>
      <c r="M4" t="s">
        <v>552</v>
      </c>
      <c r="N4">
        <v>58.41</v>
      </c>
      <c r="P4" t="s">
        <v>6</v>
      </c>
      <c r="Q4">
        <v>13.7</v>
      </c>
      <c r="S4" t="s">
        <v>5</v>
      </c>
      <c r="T4">
        <v>0.27900000000000003</v>
      </c>
      <c r="V4" t="s">
        <v>552</v>
      </c>
      <c r="W4">
        <v>29.1</v>
      </c>
      <c r="Y4" t="s">
        <v>552</v>
      </c>
      <c r="Z4">
        <v>3.04</v>
      </c>
      <c r="AC4" s="4" t="s">
        <v>11</v>
      </c>
      <c r="AD4" s="5">
        <v>74512082</v>
      </c>
      <c r="AE4" s="5">
        <v>44604335</v>
      </c>
      <c r="AF4" s="5">
        <v>21647988</v>
      </c>
      <c r="AI4" t="s">
        <v>552</v>
      </c>
      <c r="AJ4">
        <v>39.299999999999997</v>
      </c>
      <c r="AL4" t="s">
        <v>5</v>
      </c>
      <c r="AM4">
        <v>19.149999999999999</v>
      </c>
      <c r="AO4" t="s">
        <v>5</v>
      </c>
      <c r="AP4">
        <v>65.84</v>
      </c>
      <c r="AQ4">
        <v>69.819999999999993</v>
      </c>
      <c r="AS4" t="s">
        <v>5</v>
      </c>
      <c r="AT4">
        <v>9.0299999999999994</v>
      </c>
      <c r="AU4">
        <v>8.2799999999999994</v>
      </c>
      <c r="AW4" t="s">
        <v>5</v>
      </c>
      <c r="AX4">
        <v>38.619999999999997</v>
      </c>
    </row>
    <row r="5" spans="1:50" x14ac:dyDescent="0.35">
      <c r="A5" t="s">
        <v>6</v>
      </c>
      <c r="B5">
        <v>92.12</v>
      </c>
      <c r="D5" t="s">
        <v>553</v>
      </c>
      <c r="E5">
        <v>57.65</v>
      </c>
      <c r="G5" t="s">
        <v>6</v>
      </c>
      <c r="H5">
        <v>0.45700000000000002</v>
      </c>
      <c r="J5" t="s">
        <v>553</v>
      </c>
      <c r="K5">
        <v>10</v>
      </c>
      <c r="M5" t="s">
        <v>553</v>
      </c>
      <c r="N5">
        <v>52.3</v>
      </c>
      <c r="P5" t="s">
        <v>7</v>
      </c>
      <c r="Q5">
        <v>12.97</v>
      </c>
      <c r="S5" t="s">
        <v>6</v>
      </c>
      <c r="T5">
        <v>0.219</v>
      </c>
      <c r="V5" t="s">
        <v>553</v>
      </c>
      <c r="W5">
        <v>28.87</v>
      </c>
      <c r="Y5" t="s">
        <v>553</v>
      </c>
      <c r="Z5">
        <v>2.39</v>
      </c>
      <c r="AC5" s="4" t="s">
        <v>6</v>
      </c>
      <c r="AD5" s="5">
        <v>70561182</v>
      </c>
      <c r="AE5" s="5">
        <v>42635523</v>
      </c>
      <c r="AF5" s="5">
        <v>43717592</v>
      </c>
      <c r="AI5" t="s">
        <v>553</v>
      </c>
      <c r="AJ5">
        <v>35.799999999999997</v>
      </c>
      <c r="AL5" t="s">
        <v>6</v>
      </c>
      <c r="AM5">
        <v>12.1</v>
      </c>
      <c r="AO5" t="s">
        <v>6</v>
      </c>
      <c r="AP5">
        <v>62.94</v>
      </c>
      <c r="AQ5">
        <v>66.78</v>
      </c>
      <c r="AS5" t="s">
        <v>6</v>
      </c>
      <c r="AT5">
        <v>9.23</v>
      </c>
      <c r="AU5">
        <v>8.4499999999999993</v>
      </c>
      <c r="AW5" t="s">
        <v>6</v>
      </c>
      <c r="AX5">
        <v>34.83</v>
      </c>
    </row>
    <row r="6" spans="1:50" x14ac:dyDescent="0.35">
      <c r="A6" t="s">
        <v>7</v>
      </c>
      <c r="B6">
        <v>93.28</v>
      </c>
      <c r="D6" t="s">
        <v>554</v>
      </c>
      <c r="E6">
        <v>59.4</v>
      </c>
      <c r="G6" t="s">
        <v>7</v>
      </c>
      <c r="H6">
        <v>0.51900000000000002</v>
      </c>
      <c r="J6" t="s">
        <v>554</v>
      </c>
      <c r="K6">
        <v>10</v>
      </c>
      <c r="M6" t="s">
        <v>554</v>
      </c>
      <c r="N6">
        <v>53.83</v>
      </c>
      <c r="P6" t="s">
        <v>8</v>
      </c>
      <c r="Q6">
        <v>8.61</v>
      </c>
      <c r="S6" t="s">
        <v>7</v>
      </c>
      <c r="T6">
        <v>0.25900000000000001</v>
      </c>
      <c r="V6" t="s">
        <v>554</v>
      </c>
      <c r="W6">
        <v>31.46</v>
      </c>
      <c r="Y6" t="s">
        <v>554</v>
      </c>
      <c r="Z6">
        <v>2.71</v>
      </c>
      <c r="AC6" s="4" t="s">
        <v>5</v>
      </c>
      <c r="AD6" s="5">
        <v>56313869</v>
      </c>
      <c r="AE6" s="5">
        <v>28588767</v>
      </c>
      <c r="AF6" s="5">
        <v>15724946</v>
      </c>
      <c r="AI6" t="s">
        <v>554</v>
      </c>
      <c r="AJ6">
        <v>25.45</v>
      </c>
      <c r="AL6" t="s">
        <v>7</v>
      </c>
      <c r="AM6">
        <v>12.45</v>
      </c>
      <c r="AO6" t="s">
        <v>7</v>
      </c>
      <c r="AP6">
        <v>66.709999999999994</v>
      </c>
      <c r="AQ6">
        <v>70.69</v>
      </c>
      <c r="AS6" t="s">
        <v>7</v>
      </c>
      <c r="AT6">
        <v>10.39</v>
      </c>
      <c r="AU6">
        <v>9.81</v>
      </c>
      <c r="AW6" t="s">
        <v>7</v>
      </c>
      <c r="AX6">
        <v>47.54</v>
      </c>
    </row>
    <row r="7" spans="1:50" x14ac:dyDescent="0.35">
      <c r="A7" t="s">
        <v>8</v>
      </c>
      <c r="B7">
        <v>86.98</v>
      </c>
      <c r="D7" t="s">
        <v>555</v>
      </c>
      <c r="E7">
        <v>57.52</v>
      </c>
      <c r="G7" t="s">
        <v>8</v>
      </c>
      <c r="H7">
        <v>0.54800000000000004</v>
      </c>
      <c r="J7" t="s">
        <v>555</v>
      </c>
      <c r="K7">
        <v>10</v>
      </c>
      <c r="M7" t="s">
        <v>555</v>
      </c>
      <c r="N7">
        <v>52.03</v>
      </c>
      <c r="P7" t="s">
        <v>9</v>
      </c>
      <c r="Q7">
        <v>8.61</v>
      </c>
      <c r="S7" t="s">
        <v>8</v>
      </c>
      <c r="T7">
        <v>0.22900000000000001</v>
      </c>
      <c r="V7" t="s">
        <v>555</v>
      </c>
      <c r="W7">
        <v>29.09</v>
      </c>
      <c r="Y7" t="s">
        <v>555</v>
      </c>
      <c r="Z7">
        <v>2.41</v>
      </c>
      <c r="AC7" s="4" t="s">
        <v>9</v>
      </c>
      <c r="AD7" s="5">
        <v>61703899</v>
      </c>
      <c r="AE7" s="5">
        <v>32336706</v>
      </c>
      <c r="AF7" s="5">
        <v>18983329</v>
      </c>
      <c r="AI7" t="s">
        <v>555</v>
      </c>
      <c r="AJ7">
        <v>26.75</v>
      </c>
      <c r="AL7" t="s">
        <v>8</v>
      </c>
      <c r="AM7">
        <v>13.39</v>
      </c>
      <c r="AO7" t="s">
        <v>8</v>
      </c>
      <c r="AP7">
        <v>67.14</v>
      </c>
      <c r="AQ7">
        <v>71.099999999999994</v>
      </c>
      <c r="AS7" t="s">
        <v>8</v>
      </c>
      <c r="AT7">
        <v>8.6</v>
      </c>
      <c r="AU7">
        <v>8.3800000000000008</v>
      </c>
      <c r="AW7" t="s">
        <v>8</v>
      </c>
      <c r="AX7">
        <v>31.23</v>
      </c>
    </row>
    <row r="8" spans="1:50" x14ac:dyDescent="0.35">
      <c r="A8" t="s">
        <v>9</v>
      </c>
      <c r="B8">
        <v>97.5</v>
      </c>
      <c r="D8" t="s">
        <v>556</v>
      </c>
      <c r="E8">
        <v>71.78</v>
      </c>
      <c r="G8" t="s">
        <v>9</v>
      </c>
      <c r="H8">
        <v>0.50700000000000001</v>
      </c>
      <c r="J8" t="s">
        <v>556</v>
      </c>
      <c r="K8">
        <v>16.670000000000002</v>
      </c>
      <c r="M8" t="s">
        <v>556</v>
      </c>
      <c r="N8">
        <v>55.93</v>
      </c>
      <c r="P8" t="s">
        <v>10</v>
      </c>
      <c r="Q8">
        <v>6.16</v>
      </c>
      <c r="S8" t="s">
        <v>9</v>
      </c>
      <c r="T8">
        <v>0.26300000000000001</v>
      </c>
      <c r="V8" t="s">
        <v>556</v>
      </c>
      <c r="W8">
        <v>37.409999999999997</v>
      </c>
      <c r="Y8" t="s">
        <v>556</v>
      </c>
      <c r="Z8">
        <v>2.5099999999999998</v>
      </c>
      <c r="AC8" s="4" t="s">
        <v>7</v>
      </c>
      <c r="AD8" s="5">
        <v>74005116</v>
      </c>
      <c r="AE8" s="5">
        <v>27378623</v>
      </c>
      <c r="AF8" s="5">
        <v>44244837</v>
      </c>
      <c r="AI8" t="s">
        <v>556</v>
      </c>
      <c r="AJ8">
        <v>25.43</v>
      </c>
      <c r="AL8" t="s">
        <v>9</v>
      </c>
      <c r="AM8">
        <v>14.38</v>
      </c>
      <c r="AO8" t="s">
        <v>9</v>
      </c>
      <c r="AP8">
        <v>67.25</v>
      </c>
      <c r="AQ8">
        <v>71.209999999999994</v>
      </c>
      <c r="AS8" t="s">
        <v>9</v>
      </c>
      <c r="AT8">
        <v>10.06</v>
      </c>
      <c r="AU8">
        <v>9.7200000000000006</v>
      </c>
      <c r="AW8" t="s">
        <v>9</v>
      </c>
      <c r="AX8">
        <v>47.92</v>
      </c>
    </row>
    <row r="9" spans="1:50" x14ac:dyDescent="0.35">
      <c r="A9" t="s">
        <v>10</v>
      </c>
      <c r="B9">
        <v>86.36</v>
      </c>
      <c r="D9" t="s">
        <v>557</v>
      </c>
      <c r="E9">
        <v>56.86</v>
      </c>
      <c r="G9" t="s">
        <v>10</v>
      </c>
      <c r="H9">
        <v>0.40400000000000003</v>
      </c>
      <c r="J9" t="s">
        <v>557</v>
      </c>
      <c r="K9">
        <v>8</v>
      </c>
      <c r="M9" t="s">
        <v>557</v>
      </c>
      <c r="N9">
        <v>48.63</v>
      </c>
      <c r="P9" t="s">
        <v>11</v>
      </c>
      <c r="Q9">
        <v>8.58</v>
      </c>
      <c r="S9" t="s">
        <v>10</v>
      </c>
      <c r="T9">
        <v>0.223</v>
      </c>
      <c r="V9" t="s">
        <v>557</v>
      </c>
      <c r="W9">
        <v>29.56</v>
      </c>
      <c r="Y9" t="s">
        <v>557</v>
      </c>
      <c r="Z9">
        <v>2.2999999999999998</v>
      </c>
      <c r="AC9" s="4" t="s">
        <v>8</v>
      </c>
      <c r="AD9" s="5">
        <v>101353857</v>
      </c>
      <c r="AE9" s="5">
        <v>42624136</v>
      </c>
      <c r="AF9" s="5">
        <v>48622684</v>
      </c>
      <c r="AI9" t="s">
        <v>557</v>
      </c>
      <c r="AJ9">
        <v>29.48</v>
      </c>
      <c r="AL9" t="s">
        <v>10</v>
      </c>
      <c r="AM9">
        <v>17.86</v>
      </c>
      <c r="AO9" t="s">
        <v>10</v>
      </c>
      <c r="AP9">
        <v>66.400000000000006</v>
      </c>
      <c r="AQ9">
        <v>70.38</v>
      </c>
      <c r="AS9" t="s">
        <v>10</v>
      </c>
      <c r="AT9">
        <v>10.16</v>
      </c>
      <c r="AU9">
        <v>9.8000000000000007</v>
      </c>
      <c r="AW9" t="s">
        <v>10</v>
      </c>
      <c r="AX9">
        <v>48.3</v>
      </c>
    </row>
    <row r="10" spans="1:50" x14ac:dyDescent="0.35">
      <c r="A10" t="s">
        <v>11</v>
      </c>
      <c r="B10">
        <v>95.29</v>
      </c>
      <c r="D10" t="s">
        <v>558</v>
      </c>
      <c r="E10">
        <v>47.2</v>
      </c>
      <c r="G10" t="s">
        <v>11</v>
      </c>
      <c r="H10">
        <v>0.5</v>
      </c>
      <c r="J10" t="s">
        <v>558</v>
      </c>
      <c r="K10">
        <v>2.86</v>
      </c>
      <c r="M10" t="s">
        <v>558</v>
      </c>
      <c r="N10">
        <v>57.67</v>
      </c>
      <c r="P10" t="s">
        <v>12</v>
      </c>
      <c r="Q10">
        <v>9.1199999999999992</v>
      </c>
      <c r="S10" t="s">
        <v>11</v>
      </c>
      <c r="T10">
        <v>0.182</v>
      </c>
      <c r="V10" t="s">
        <v>558</v>
      </c>
      <c r="W10">
        <v>25.24</v>
      </c>
      <c r="Y10" t="s">
        <v>558</v>
      </c>
      <c r="Z10">
        <v>2.25</v>
      </c>
      <c r="AC10" s="4" t="s">
        <v>14</v>
      </c>
      <c r="AD10" s="5">
        <v>120438845</v>
      </c>
      <c r="AE10" s="5">
        <v>50724907</v>
      </c>
      <c r="AF10" s="5">
        <v>40627054</v>
      </c>
      <c r="AI10" t="s">
        <v>558</v>
      </c>
      <c r="AJ10">
        <v>22.41</v>
      </c>
      <c r="AL10" t="s">
        <v>11</v>
      </c>
      <c r="AM10">
        <v>13.38</v>
      </c>
      <c r="AO10" t="s">
        <v>11</v>
      </c>
      <c r="AP10">
        <v>68.22</v>
      </c>
      <c r="AQ10">
        <v>72.16</v>
      </c>
      <c r="AS10" t="s">
        <v>11</v>
      </c>
      <c r="AT10">
        <v>10.56</v>
      </c>
      <c r="AU10">
        <v>10.36</v>
      </c>
      <c r="AW10" t="s">
        <v>11</v>
      </c>
      <c r="AX10">
        <v>56.44</v>
      </c>
    </row>
    <row r="11" spans="1:50" x14ac:dyDescent="0.35">
      <c r="A11" t="s">
        <v>12</v>
      </c>
      <c r="B11">
        <v>93.92</v>
      </c>
      <c r="D11" t="s">
        <v>559</v>
      </c>
      <c r="E11">
        <v>66.3</v>
      </c>
      <c r="G11" t="s">
        <v>12</v>
      </c>
      <c r="H11">
        <v>0.28799999999999998</v>
      </c>
      <c r="J11" t="s">
        <v>559</v>
      </c>
      <c r="K11">
        <v>17.5</v>
      </c>
      <c r="M11" t="s">
        <v>559</v>
      </c>
      <c r="N11">
        <v>59.02</v>
      </c>
      <c r="P11" t="s">
        <v>13</v>
      </c>
      <c r="Q11">
        <v>7.62</v>
      </c>
      <c r="S11" t="s">
        <v>12</v>
      </c>
      <c r="T11">
        <v>0.127</v>
      </c>
      <c r="V11" t="s">
        <v>559</v>
      </c>
      <c r="W11">
        <v>32.01</v>
      </c>
      <c r="Y11" t="s">
        <v>559</v>
      </c>
      <c r="Z11">
        <v>2.35</v>
      </c>
      <c r="AC11" s="4" t="s">
        <v>13</v>
      </c>
      <c r="AD11" s="5">
        <v>97741728</v>
      </c>
      <c r="AE11" s="5">
        <v>31613111</v>
      </c>
      <c r="AF11" s="5">
        <v>20623557</v>
      </c>
      <c r="AI11" t="s">
        <v>559</v>
      </c>
      <c r="AJ11">
        <v>39.409999999999997</v>
      </c>
      <c r="AL11" t="s">
        <v>12</v>
      </c>
      <c r="AM11">
        <v>18.78</v>
      </c>
      <c r="AO11" t="s">
        <v>12</v>
      </c>
      <c r="AP11">
        <v>65.36</v>
      </c>
      <c r="AQ11">
        <v>69.319999999999993</v>
      </c>
      <c r="AS11" t="s">
        <v>12</v>
      </c>
      <c r="AT11">
        <v>9.43</v>
      </c>
      <c r="AU11">
        <v>8.73</v>
      </c>
      <c r="AW11" t="s">
        <v>12</v>
      </c>
      <c r="AX11">
        <v>39.24</v>
      </c>
    </row>
    <row r="12" spans="1:50" x14ac:dyDescent="0.35">
      <c r="A12" t="s">
        <v>13</v>
      </c>
      <c r="B12">
        <v>95.08</v>
      </c>
      <c r="D12" t="s">
        <v>560</v>
      </c>
      <c r="E12">
        <v>59.19</v>
      </c>
      <c r="G12" t="s">
        <v>13</v>
      </c>
      <c r="H12">
        <v>0.47799999999999998</v>
      </c>
      <c r="J12" t="s">
        <v>560</v>
      </c>
      <c r="K12">
        <v>7.5</v>
      </c>
      <c r="M12" t="s">
        <v>560</v>
      </c>
      <c r="N12">
        <v>59.12</v>
      </c>
      <c r="P12" t="s">
        <v>14</v>
      </c>
      <c r="Q12">
        <v>14.24</v>
      </c>
      <c r="S12" t="s">
        <v>13</v>
      </c>
      <c r="T12">
        <v>0.19500000000000001</v>
      </c>
      <c r="V12" t="s">
        <v>560</v>
      </c>
      <c r="W12">
        <v>38.51</v>
      </c>
      <c r="Y12" t="s">
        <v>560</v>
      </c>
      <c r="Z12">
        <v>2.44</v>
      </c>
      <c r="AC12" s="4" t="s">
        <v>12</v>
      </c>
      <c r="AD12" s="5">
        <v>88899614</v>
      </c>
      <c r="AE12" s="5">
        <v>67861398</v>
      </c>
      <c r="AF12" s="5">
        <v>28716041</v>
      </c>
      <c r="AI12" t="s">
        <v>560</v>
      </c>
      <c r="AJ12">
        <v>20.64</v>
      </c>
      <c r="AL12" t="s">
        <v>13</v>
      </c>
      <c r="AM12">
        <v>12.12</v>
      </c>
      <c r="AO12" t="s">
        <v>13</v>
      </c>
      <c r="AP12">
        <v>69.72</v>
      </c>
      <c r="AQ12">
        <v>73.7</v>
      </c>
      <c r="AS12" t="s">
        <v>13</v>
      </c>
      <c r="AT12">
        <v>9.39</v>
      </c>
      <c r="AU12">
        <v>9.3000000000000007</v>
      </c>
      <c r="AW12" t="s">
        <v>13</v>
      </c>
      <c r="AX12">
        <v>40.369999999999997</v>
      </c>
    </row>
    <row r="13" spans="1:50" x14ac:dyDescent="0.35">
      <c r="A13" t="s">
        <v>14</v>
      </c>
      <c r="B13">
        <v>93.3</v>
      </c>
      <c r="D13" t="s">
        <v>561</v>
      </c>
      <c r="E13">
        <v>49.18</v>
      </c>
      <c r="G13" t="s">
        <v>14</v>
      </c>
      <c r="H13">
        <v>0.55800000000000005</v>
      </c>
      <c r="J13" t="s">
        <v>561</v>
      </c>
      <c r="K13">
        <v>2.2200000000000002</v>
      </c>
      <c r="M13" t="s">
        <v>561</v>
      </c>
      <c r="N13">
        <v>67.37</v>
      </c>
      <c r="P13" t="s">
        <v>15</v>
      </c>
      <c r="Q13">
        <v>9.64</v>
      </c>
      <c r="S13" t="s">
        <v>14</v>
      </c>
      <c r="T13">
        <v>0.248</v>
      </c>
      <c r="V13" t="s">
        <v>561</v>
      </c>
      <c r="W13">
        <v>34.17</v>
      </c>
      <c r="Y13" t="s">
        <v>561</v>
      </c>
      <c r="Z13">
        <v>2.3199999999999998</v>
      </c>
      <c r="AC13" s="4" t="s">
        <v>4</v>
      </c>
      <c r="AD13" s="5">
        <v>41299762</v>
      </c>
      <c r="AE13" s="5">
        <v>29109492</v>
      </c>
      <c r="AF13" s="5">
        <v>27019646</v>
      </c>
      <c r="AI13" t="s">
        <v>561</v>
      </c>
      <c r="AJ13">
        <v>26.08</v>
      </c>
      <c r="AL13" t="s">
        <v>14</v>
      </c>
      <c r="AM13">
        <v>16.64</v>
      </c>
      <c r="AO13" t="s">
        <v>14</v>
      </c>
      <c r="AP13">
        <v>67.209999999999994</v>
      </c>
      <c r="AQ13">
        <v>71.180000000000007</v>
      </c>
      <c r="AS13" t="s">
        <v>14</v>
      </c>
      <c r="AT13">
        <v>9.0299999999999994</v>
      </c>
      <c r="AU13">
        <v>8.7200000000000006</v>
      </c>
      <c r="AW13" t="s">
        <v>14</v>
      </c>
      <c r="AX13">
        <v>35.11</v>
      </c>
    </row>
    <row r="14" spans="1:50" x14ac:dyDescent="0.35">
      <c r="A14" t="s">
        <v>15</v>
      </c>
      <c r="B14">
        <v>90.27</v>
      </c>
      <c r="D14" t="s">
        <v>562</v>
      </c>
      <c r="E14">
        <v>50.62</v>
      </c>
      <c r="G14" t="s">
        <v>15</v>
      </c>
      <c r="H14">
        <v>0.49399999999999999</v>
      </c>
      <c r="J14" t="s">
        <v>562</v>
      </c>
      <c r="K14">
        <v>4</v>
      </c>
      <c r="M14" t="s">
        <v>562</v>
      </c>
      <c r="N14">
        <v>65.040000000000006</v>
      </c>
      <c r="P14" t="s">
        <v>16</v>
      </c>
      <c r="Q14">
        <v>9.18</v>
      </c>
      <c r="S14" t="s">
        <v>15</v>
      </c>
      <c r="T14">
        <v>0.23899999999999999</v>
      </c>
      <c r="V14" t="s">
        <v>562</v>
      </c>
      <c r="W14">
        <v>30.25</v>
      </c>
      <c r="Y14" t="s">
        <v>562</v>
      </c>
      <c r="Z14">
        <v>2.37</v>
      </c>
      <c r="AC14" s="4" t="s">
        <v>22</v>
      </c>
      <c r="AD14" s="5">
        <v>32318056</v>
      </c>
      <c r="AE14" s="5">
        <v>20346153</v>
      </c>
      <c r="AF14" s="6" t="s">
        <v>548</v>
      </c>
      <c r="AI14" t="s">
        <v>562</v>
      </c>
      <c r="AJ14">
        <v>35.369999999999997</v>
      </c>
      <c r="AL14" t="s">
        <v>15</v>
      </c>
      <c r="AM14">
        <v>15.43</v>
      </c>
      <c r="AO14" t="s">
        <v>15</v>
      </c>
      <c r="AP14">
        <v>63.6</v>
      </c>
      <c r="AQ14">
        <v>67.459999999999994</v>
      </c>
      <c r="AS14" t="s">
        <v>15</v>
      </c>
      <c r="AT14">
        <v>8.9600000000000009</v>
      </c>
      <c r="AU14">
        <v>8.66</v>
      </c>
      <c r="AW14" t="s">
        <v>15</v>
      </c>
      <c r="AX14">
        <v>40.01</v>
      </c>
    </row>
    <row r="15" spans="1:50" x14ac:dyDescent="0.35">
      <c r="A15" t="s">
        <v>16</v>
      </c>
      <c r="B15">
        <v>89.63</v>
      </c>
      <c r="D15" t="s">
        <v>563</v>
      </c>
      <c r="E15">
        <v>57.31</v>
      </c>
      <c r="G15" t="s">
        <v>16</v>
      </c>
      <c r="H15">
        <v>0.60399999999999998</v>
      </c>
      <c r="J15" t="s">
        <v>563</v>
      </c>
      <c r="K15">
        <v>5</v>
      </c>
      <c r="M15" t="s">
        <v>563</v>
      </c>
      <c r="N15">
        <v>46.82</v>
      </c>
      <c r="P15" t="s">
        <v>17</v>
      </c>
      <c r="Q15">
        <v>12.05</v>
      </c>
      <c r="S15" t="s">
        <v>16</v>
      </c>
      <c r="T15">
        <v>0.28699999999999998</v>
      </c>
      <c r="V15" t="s">
        <v>563</v>
      </c>
      <c r="W15">
        <v>36.61</v>
      </c>
      <c r="Y15" t="s">
        <v>563</v>
      </c>
      <c r="Z15">
        <v>2.72</v>
      </c>
      <c r="AC15" s="4" t="s">
        <v>23</v>
      </c>
      <c r="AD15" s="5">
        <v>10899469</v>
      </c>
      <c r="AE15" s="5">
        <v>12672686</v>
      </c>
      <c r="AF15" s="5">
        <v>5201235</v>
      </c>
      <c r="AI15" t="s">
        <v>563</v>
      </c>
      <c r="AJ15">
        <v>41.76</v>
      </c>
      <c r="AL15" t="s">
        <v>16</v>
      </c>
      <c r="AM15">
        <v>18.82</v>
      </c>
      <c r="AO15" t="s">
        <v>16</v>
      </c>
      <c r="AP15">
        <v>64.02</v>
      </c>
      <c r="AQ15">
        <v>67.91</v>
      </c>
      <c r="AS15" t="s">
        <v>16</v>
      </c>
      <c r="AT15">
        <v>9.23</v>
      </c>
      <c r="AU15">
        <v>7.72</v>
      </c>
      <c r="AW15" t="s">
        <v>16</v>
      </c>
      <c r="AX15">
        <v>32.31</v>
      </c>
    </row>
    <row r="16" spans="1:50" x14ac:dyDescent="0.35">
      <c r="A16" t="s">
        <v>17</v>
      </c>
      <c r="B16">
        <v>82.38</v>
      </c>
      <c r="D16" t="s">
        <v>564</v>
      </c>
      <c r="E16">
        <v>76.540000000000006</v>
      </c>
      <c r="G16" t="s">
        <v>17</v>
      </c>
      <c r="H16">
        <v>0.48799999999999999</v>
      </c>
      <c r="J16" t="s">
        <v>564</v>
      </c>
      <c r="K16">
        <v>36.67</v>
      </c>
      <c r="M16" t="s">
        <v>564</v>
      </c>
      <c r="N16">
        <v>56.79</v>
      </c>
      <c r="P16" t="s">
        <v>18</v>
      </c>
      <c r="Q16">
        <v>3.43</v>
      </c>
      <c r="S16" t="s">
        <v>17</v>
      </c>
      <c r="T16">
        <v>0.19600000000000001</v>
      </c>
      <c r="V16" t="s">
        <v>564</v>
      </c>
      <c r="W16">
        <v>28.33</v>
      </c>
      <c r="Y16" t="s">
        <v>564</v>
      </c>
      <c r="Z16">
        <v>2.38</v>
      </c>
      <c r="AC16" s="4" t="s">
        <v>24</v>
      </c>
      <c r="AD16" s="5">
        <v>46050723</v>
      </c>
      <c r="AE16" s="5">
        <v>23907568</v>
      </c>
      <c r="AF16" s="5">
        <v>6413027</v>
      </c>
      <c r="AI16" t="s">
        <v>564</v>
      </c>
      <c r="AJ16">
        <v>20.86</v>
      </c>
      <c r="AL16" t="s">
        <v>17</v>
      </c>
      <c r="AM16">
        <v>12.51</v>
      </c>
      <c r="AO16" t="s">
        <v>17</v>
      </c>
      <c r="AP16">
        <v>68.12</v>
      </c>
      <c r="AQ16">
        <v>72.06</v>
      </c>
      <c r="AS16" t="s">
        <v>17</v>
      </c>
      <c r="AT16">
        <v>9.51</v>
      </c>
      <c r="AU16">
        <v>9.01</v>
      </c>
      <c r="AW16" t="s">
        <v>17</v>
      </c>
      <c r="AX16">
        <v>45.36</v>
      </c>
    </row>
    <row r="17" spans="1:50" x14ac:dyDescent="0.35">
      <c r="A17" t="s">
        <v>18</v>
      </c>
      <c r="B17">
        <v>91.02</v>
      </c>
      <c r="D17" t="s">
        <v>565</v>
      </c>
      <c r="E17">
        <v>63.54</v>
      </c>
      <c r="G17" t="s">
        <v>18</v>
      </c>
      <c r="H17">
        <v>0.48599999999999999</v>
      </c>
      <c r="J17" t="s">
        <v>565</v>
      </c>
      <c r="K17">
        <v>16</v>
      </c>
      <c r="M17" t="s">
        <v>565</v>
      </c>
      <c r="N17">
        <v>53.61</v>
      </c>
      <c r="P17" t="s">
        <v>19</v>
      </c>
      <c r="Q17">
        <v>9.44</v>
      </c>
      <c r="S17" t="s">
        <v>18</v>
      </c>
      <c r="T17">
        <v>0.27900000000000003</v>
      </c>
      <c r="V17" t="s">
        <v>565</v>
      </c>
      <c r="W17">
        <v>27.74</v>
      </c>
      <c r="Y17" t="s">
        <v>565</v>
      </c>
      <c r="Z17">
        <v>2.34</v>
      </c>
      <c r="AC17" s="4" t="s">
        <v>25</v>
      </c>
      <c r="AD17" s="5">
        <v>38412003</v>
      </c>
      <c r="AE17" s="5">
        <v>16446054</v>
      </c>
      <c r="AF17" s="5">
        <v>4303514</v>
      </c>
      <c r="AI17" t="s">
        <v>565</v>
      </c>
      <c r="AJ17">
        <v>25.02</v>
      </c>
      <c r="AL17" t="s">
        <v>18</v>
      </c>
      <c r="AM17">
        <v>17.25</v>
      </c>
      <c r="AO17" t="s">
        <v>18</v>
      </c>
      <c r="AP17">
        <v>67.680000000000007</v>
      </c>
      <c r="AQ17">
        <v>71.63</v>
      </c>
      <c r="AS17" t="s">
        <v>18</v>
      </c>
      <c r="AT17">
        <v>9.1999999999999993</v>
      </c>
      <c r="AU17">
        <v>8.73</v>
      </c>
      <c r="AW17" t="s">
        <v>18</v>
      </c>
      <c r="AX17">
        <v>37.11</v>
      </c>
    </row>
    <row r="18" spans="1:50" x14ac:dyDescent="0.35">
      <c r="A18" t="s">
        <v>19</v>
      </c>
      <c r="B18">
        <v>89.8</v>
      </c>
      <c r="D18" t="s">
        <v>566</v>
      </c>
      <c r="E18">
        <v>58.35</v>
      </c>
      <c r="G18" t="s">
        <v>19</v>
      </c>
      <c r="H18">
        <v>0.46400000000000002</v>
      </c>
      <c r="J18" t="s">
        <v>566</v>
      </c>
      <c r="K18">
        <v>5</v>
      </c>
      <c r="M18" t="s">
        <v>566</v>
      </c>
      <c r="N18">
        <v>57.08</v>
      </c>
      <c r="P18" t="s">
        <v>20</v>
      </c>
      <c r="Q18">
        <v>7.22</v>
      </c>
      <c r="S18" t="s">
        <v>19</v>
      </c>
      <c r="T18">
        <v>0.308</v>
      </c>
      <c r="V18" t="s">
        <v>566</v>
      </c>
      <c r="W18">
        <v>38.07</v>
      </c>
      <c r="Y18" t="s">
        <v>566</v>
      </c>
      <c r="Z18">
        <v>2.77</v>
      </c>
      <c r="AC18" s="4" t="s">
        <v>16</v>
      </c>
      <c r="AD18" s="5">
        <v>49380059</v>
      </c>
      <c r="AE18" s="5">
        <v>26511451</v>
      </c>
      <c r="AF18" s="5">
        <v>53259897</v>
      </c>
      <c r="AI18" t="s">
        <v>566</v>
      </c>
      <c r="AJ18">
        <v>32.99</v>
      </c>
      <c r="AL18" t="s">
        <v>19</v>
      </c>
      <c r="AM18">
        <v>12.42</v>
      </c>
      <c r="AO18" t="s">
        <v>19</v>
      </c>
      <c r="AP18">
        <v>65.62</v>
      </c>
      <c r="AQ18">
        <v>69.59</v>
      </c>
      <c r="AS18" t="s">
        <v>19</v>
      </c>
      <c r="AT18">
        <v>8.93</v>
      </c>
      <c r="AU18">
        <v>8.6300000000000008</v>
      </c>
      <c r="AW18" t="s">
        <v>19</v>
      </c>
      <c r="AX18">
        <v>34.770000000000003</v>
      </c>
    </row>
    <row r="19" spans="1:50" x14ac:dyDescent="0.35">
      <c r="A19" t="s">
        <v>20</v>
      </c>
      <c r="B19">
        <v>96.76</v>
      </c>
      <c r="D19" t="s">
        <v>567</v>
      </c>
      <c r="E19">
        <v>52.68</v>
      </c>
      <c r="G19" t="s">
        <v>20</v>
      </c>
      <c r="H19">
        <v>0.57299999999999995</v>
      </c>
      <c r="J19" t="s">
        <v>567</v>
      </c>
      <c r="K19">
        <v>4</v>
      </c>
      <c r="M19" t="s">
        <v>567</v>
      </c>
      <c r="N19">
        <v>57.41</v>
      </c>
      <c r="P19" t="s">
        <v>21</v>
      </c>
      <c r="Q19">
        <v>9.4700000000000006</v>
      </c>
      <c r="S19" t="s">
        <v>20</v>
      </c>
      <c r="T19">
        <v>0.21</v>
      </c>
      <c r="V19" t="s">
        <v>567</v>
      </c>
      <c r="W19">
        <v>30</v>
      </c>
      <c r="Y19" t="s">
        <v>567</v>
      </c>
      <c r="Z19">
        <v>2.58</v>
      </c>
      <c r="AC19" s="4" t="s">
        <v>15</v>
      </c>
      <c r="AD19" s="5">
        <v>50563751</v>
      </c>
      <c r="AE19" s="5">
        <v>29367292</v>
      </c>
      <c r="AF19" s="5">
        <v>26255738</v>
      </c>
      <c r="AI19" t="s">
        <v>567</v>
      </c>
      <c r="AJ19">
        <v>26.14</v>
      </c>
      <c r="AL19" t="s">
        <v>20</v>
      </c>
      <c r="AM19">
        <v>18.309999999999999</v>
      </c>
      <c r="AO19" t="s">
        <v>20</v>
      </c>
      <c r="AP19">
        <v>67.709999999999994</v>
      </c>
      <c r="AQ19">
        <v>71.66</v>
      </c>
      <c r="AS19" t="s">
        <v>20</v>
      </c>
      <c r="AT19">
        <v>10.16</v>
      </c>
      <c r="AU19">
        <v>10.039999999999999</v>
      </c>
      <c r="AW19" t="s">
        <v>20</v>
      </c>
      <c r="AX19">
        <v>51.21</v>
      </c>
    </row>
    <row r="20" spans="1:50" x14ac:dyDescent="0.35">
      <c r="A20" t="s">
        <v>21</v>
      </c>
      <c r="B20">
        <v>95.27</v>
      </c>
      <c r="D20" t="s">
        <v>568</v>
      </c>
      <c r="E20">
        <v>52.15</v>
      </c>
      <c r="G20" t="s">
        <v>21</v>
      </c>
      <c r="H20">
        <v>0.78600000000000003</v>
      </c>
      <c r="J20" t="s">
        <v>568</v>
      </c>
      <c r="K20" t="s">
        <v>548</v>
      </c>
      <c r="M20" t="s">
        <v>568</v>
      </c>
      <c r="N20">
        <v>52.84</v>
      </c>
      <c r="P20" t="s">
        <v>22</v>
      </c>
      <c r="Q20">
        <v>5.47</v>
      </c>
      <c r="S20" t="s">
        <v>21</v>
      </c>
      <c r="T20">
        <v>0.16300000000000001</v>
      </c>
      <c r="V20" t="s">
        <v>568</v>
      </c>
      <c r="W20">
        <v>35.01</v>
      </c>
      <c r="Y20" t="s">
        <v>568</v>
      </c>
      <c r="Z20">
        <v>2.4900000000000002</v>
      </c>
      <c r="AC20" s="4" t="s">
        <v>19</v>
      </c>
      <c r="AD20" s="5">
        <v>40350524</v>
      </c>
      <c r="AE20" s="5">
        <v>26273628</v>
      </c>
      <c r="AF20" s="5">
        <v>27183536</v>
      </c>
      <c r="AI20" t="s">
        <v>568</v>
      </c>
      <c r="AJ20">
        <v>23.19</v>
      </c>
      <c r="AL20" t="s">
        <v>21</v>
      </c>
      <c r="AM20">
        <v>18.399999999999999</v>
      </c>
      <c r="AO20" t="s">
        <v>21</v>
      </c>
      <c r="AP20">
        <v>68.680000000000007</v>
      </c>
      <c r="AQ20">
        <v>72.61</v>
      </c>
      <c r="AS20" t="s">
        <v>21</v>
      </c>
      <c r="AT20">
        <v>9.8000000000000007</v>
      </c>
      <c r="AU20">
        <v>9.4700000000000006</v>
      </c>
      <c r="AW20" t="s">
        <v>21</v>
      </c>
      <c r="AX20">
        <v>43.16</v>
      </c>
    </row>
    <row r="21" spans="1:50" x14ac:dyDescent="0.35">
      <c r="A21" t="s">
        <v>22</v>
      </c>
      <c r="B21">
        <v>96.19</v>
      </c>
      <c r="D21" t="s">
        <v>569</v>
      </c>
      <c r="E21">
        <v>62.42</v>
      </c>
      <c r="G21" t="s">
        <v>22</v>
      </c>
      <c r="H21">
        <v>0.33500000000000002</v>
      </c>
      <c r="J21" t="s">
        <v>569</v>
      </c>
      <c r="K21">
        <v>13.33</v>
      </c>
      <c r="M21" t="s">
        <v>569</v>
      </c>
      <c r="N21">
        <v>50.42</v>
      </c>
      <c r="P21" t="s">
        <v>23</v>
      </c>
      <c r="Q21">
        <v>9.01</v>
      </c>
      <c r="S21" t="s">
        <v>22</v>
      </c>
      <c r="T21">
        <v>8.2000000000000003E-2</v>
      </c>
      <c r="V21" t="s">
        <v>569</v>
      </c>
      <c r="W21">
        <v>28.26</v>
      </c>
      <c r="Y21" t="s">
        <v>569</v>
      </c>
      <c r="Z21">
        <v>2.04</v>
      </c>
      <c r="AC21" s="4" t="s">
        <v>18</v>
      </c>
      <c r="AD21" s="5">
        <v>56753563</v>
      </c>
      <c r="AE21" s="5">
        <v>25282183</v>
      </c>
      <c r="AF21" s="5">
        <v>21994791</v>
      </c>
      <c r="AI21" t="s">
        <v>569</v>
      </c>
      <c r="AJ21">
        <v>14.36</v>
      </c>
      <c r="AL21" t="s">
        <v>22</v>
      </c>
      <c r="AM21">
        <v>7.04</v>
      </c>
      <c r="AO21" t="s">
        <v>22</v>
      </c>
      <c r="AP21">
        <v>70.069999999999993</v>
      </c>
      <c r="AQ21">
        <v>74.069999999999993</v>
      </c>
      <c r="AS21" t="s">
        <v>22</v>
      </c>
      <c r="AT21">
        <v>13.14</v>
      </c>
      <c r="AU21">
        <v>12.87</v>
      </c>
      <c r="AW21" t="s">
        <v>22</v>
      </c>
      <c r="AX21">
        <v>75.67</v>
      </c>
    </row>
    <row r="22" spans="1:50" x14ac:dyDescent="0.35">
      <c r="A22" t="s">
        <v>23</v>
      </c>
      <c r="B22">
        <v>95.64</v>
      </c>
      <c r="D22" t="s">
        <v>570</v>
      </c>
      <c r="E22">
        <v>75.430000000000007</v>
      </c>
      <c r="G22" t="s">
        <v>23</v>
      </c>
      <c r="H22">
        <v>0.32600000000000001</v>
      </c>
      <c r="J22" t="s">
        <v>570</v>
      </c>
      <c r="K22">
        <v>25</v>
      </c>
      <c r="M22" t="s">
        <v>570</v>
      </c>
      <c r="N22">
        <v>54.3</v>
      </c>
      <c r="P22" t="s">
        <v>24</v>
      </c>
      <c r="Q22">
        <v>9.89</v>
      </c>
      <c r="S22" t="s">
        <v>23</v>
      </c>
      <c r="T22">
        <v>0.14699999999999999</v>
      </c>
      <c r="V22" t="s">
        <v>570</v>
      </c>
      <c r="W22">
        <v>33</v>
      </c>
      <c r="Y22" t="s">
        <v>570</v>
      </c>
      <c r="Z22">
        <v>2.4300000000000002</v>
      </c>
      <c r="AC22" s="4" t="s">
        <v>17</v>
      </c>
      <c r="AD22" s="5">
        <v>50206519</v>
      </c>
      <c r="AE22" s="5">
        <v>27864631</v>
      </c>
      <c r="AF22" s="5">
        <v>21690659</v>
      </c>
      <c r="AI22" t="s">
        <v>570</v>
      </c>
      <c r="AJ22">
        <v>21.87</v>
      </c>
      <c r="AL22" t="s">
        <v>23</v>
      </c>
      <c r="AM22">
        <v>14.59</v>
      </c>
      <c r="AO22" t="s">
        <v>23</v>
      </c>
      <c r="AP22">
        <v>69.05</v>
      </c>
      <c r="AQ22">
        <v>73</v>
      </c>
      <c r="AS22" t="s">
        <v>23</v>
      </c>
      <c r="AT22">
        <v>11.32</v>
      </c>
      <c r="AU22">
        <v>11.05</v>
      </c>
      <c r="AW22" t="s">
        <v>23</v>
      </c>
      <c r="AX22">
        <v>58.93</v>
      </c>
    </row>
    <row r="23" spans="1:50" x14ac:dyDescent="0.35">
      <c r="A23" t="s">
        <v>24</v>
      </c>
      <c r="B23">
        <v>95.77</v>
      </c>
      <c r="D23" t="s">
        <v>571</v>
      </c>
      <c r="E23">
        <v>65.540000000000006</v>
      </c>
      <c r="G23" t="s">
        <v>24</v>
      </c>
      <c r="H23">
        <v>0.46700000000000003</v>
      </c>
      <c r="J23" t="s">
        <v>571</v>
      </c>
      <c r="K23">
        <v>20</v>
      </c>
      <c r="M23" t="s">
        <v>571</v>
      </c>
      <c r="N23">
        <v>49.34</v>
      </c>
      <c r="P23" t="s">
        <v>25</v>
      </c>
      <c r="Q23">
        <v>6.09</v>
      </c>
      <c r="S23" t="s">
        <v>24</v>
      </c>
      <c r="T23">
        <v>9.9000000000000005E-2</v>
      </c>
      <c r="V23" t="s">
        <v>571</v>
      </c>
      <c r="W23">
        <v>27.47</v>
      </c>
      <c r="Y23" t="s">
        <v>571</v>
      </c>
      <c r="Z23">
        <v>2.23</v>
      </c>
      <c r="AC23" s="4" t="s">
        <v>20</v>
      </c>
      <c r="AD23" s="5">
        <v>48229562</v>
      </c>
      <c r="AE23" s="5">
        <v>20340498</v>
      </c>
      <c r="AF23" s="5">
        <v>37933551</v>
      </c>
      <c r="AI23" t="s">
        <v>571</v>
      </c>
      <c r="AJ23">
        <v>18.309999999999999</v>
      </c>
      <c r="AL23" t="s">
        <v>24</v>
      </c>
      <c r="AM23">
        <v>10.53</v>
      </c>
      <c r="AO23" t="s">
        <v>24</v>
      </c>
      <c r="AP23">
        <v>67.849999999999994</v>
      </c>
      <c r="AQ23">
        <v>71.8</v>
      </c>
      <c r="AS23" t="s">
        <v>24</v>
      </c>
      <c r="AT23">
        <v>11.54</v>
      </c>
      <c r="AU23">
        <v>11.01</v>
      </c>
      <c r="AW23" t="s">
        <v>24</v>
      </c>
      <c r="AX23">
        <v>64.14</v>
      </c>
    </row>
    <row r="24" spans="1:50" x14ac:dyDescent="0.35">
      <c r="A24" t="s">
        <v>25</v>
      </c>
      <c r="B24">
        <v>95.73</v>
      </c>
      <c r="D24" t="s">
        <v>572</v>
      </c>
      <c r="E24">
        <v>65.7</v>
      </c>
      <c r="G24" t="s">
        <v>25</v>
      </c>
      <c r="H24">
        <v>0.30299999999999999</v>
      </c>
      <c r="J24" t="s">
        <v>572</v>
      </c>
      <c r="K24">
        <v>24</v>
      </c>
      <c r="M24" t="s">
        <v>572</v>
      </c>
      <c r="N24">
        <v>57.04</v>
      </c>
      <c r="P24" t="s">
        <v>26</v>
      </c>
      <c r="Q24">
        <v>7.3</v>
      </c>
      <c r="S24" t="s">
        <v>25</v>
      </c>
      <c r="T24">
        <v>0.17399999999999999</v>
      </c>
      <c r="V24" t="s">
        <v>572</v>
      </c>
      <c r="W24">
        <v>23.68</v>
      </c>
      <c r="Y24" t="s">
        <v>572</v>
      </c>
      <c r="Z24">
        <v>2.39</v>
      </c>
      <c r="AC24" s="4" t="s">
        <v>21</v>
      </c>
      <c r="AD24" s="5">
        <v>29905018</v>
      </c>
      <c r="AE24" s="5">
        <v>23781682</v>
      </c>
      <c r="AF24" s="5">
        <v>18850150</v>
      </c>
      <c r="AI24" t="s">
        <v>572</v>
      </c>
      <c r="AJ24">
        <v>15.06</v>
      </c>
      <c r="AL24" t="s">
        <v>25</v>
      </c>
      <c r="AM24">
        <v>10.73</v>
      </c>
      <c r="AO24" t="s">
        <v>25</v>
      </c>
      <c r="AP24">
        <v>70.11</v>
      </c>
      <c r="AQ24">
        <v>74.11</v>
      </c>
      <c r="AS24" t="s">
        <v>25</v>
      </c>
      <c r="AT24">
        <v>11.46</v>
      </c>
      <c r="AU24">
        <v>11.19</v>
      </c>
      <c r="AW24" t="s">
        <v>25</v>
      </c>
      <c r="AX24">
        <v>61.25</v>
      </c>
    </row>
    <row r="25" spans="1:50" x14ac:dyDescent="0.35">
      <c r="A25" t="s">
        <v>26</v>
      </c>
      <c r="B25">
        <v>85.36</v>
      </c>
      <c r="D25" t="s">
        <v>573</v>
      </c>
      <c r="E25">
        <v>67.84</v>
      </c>
      <c r="G25" t="s">
        <v>26</v>
      </c>
      <c r="H25">
        <v>0.58299999999999996</v>
      </c>
      <c r="J25" t="s">
        <v>573</v>
      </c>
      <c r="K25">
        <v>15</v>
      </c>
      <c r="M25" t="s">
        <v>573</v>
      </c>
      <c r="N25">
        <v>61.47</v>
      </c>
      <c r="P25" t="s">
        <v>28</v>
      </c>
      <c r="Q25">
        <v>8.14</v>
      </c>
      <c r="S25" t="s">
        <v>26</v>
      </c>
      <c r="T25">
        <v>0.32200000000000001</v>
      </c>
      <c r="V25" t="s">
        <v>573</v>
      </c>
      <c r="W25">
        <v>36.28</v>
      </c>
      <c r="Y25" t="s">
        <v>573</v>
      </c>
      <c r="Z25">
        <v>3.13</v>
      </c>
      <c r="AC25" s="4" t="s">
        <v>26</v>
      </c>
      <c r="AD25" s="5">
        <v>41480120</v>
      </c>
      <c r="AE25" s="5">
        <v>20607276</v>
      </c>
      <c r="AF25" s="5">
        <v>18032121</v>
      </c>
      <c r="AI25" t="s">
        <v>573</v>
      </c>
      <c r="AJ25">
        <v>38.869999999999997</v>
      </c>
      <c r="AL25" t="s">
        <v>26</v>
      </c>
      <c r="AM25">
        <v>16.41</v>
      </c>
      <c r="AO25" t="s">
        <v>26</v>
      </c>
      <c r="AP25">
        <v>62.54</v>
      </c>
      <c r="AQ25">
        <v>66.37</v>
      </c>
      <c r="AS25" t="s">
        <v>26</v>
      </c>
      <c r="AT25">
        <v>8.8800000000000008</v>
      </c>
      <c r="AU25">
        <v>7.94</v>
      </c>
      <c r="AW25" t="s">
        <v>26</v>
      </c>
      <c r="AX25">
        <v>34.020000000000003</v>
      </c>
    </row>
    <row r="26" spans="1:50" x14ac:dyDescent="0.35">
      <c r="A26" t="s">
        <v>27</v>
      </c>
      <c r="B26">
        <v>91.31</v>
      </c>
      <c r="D26" t="s">
        <v>27</v>
      </c>
      <c r="E26">
        <v>69.180000000000007</v>
      </c>
      <c r="G26" t="s">
        <v>27</v>
      </c>
      <c r="H26">
        <v>0.42499999999999999</v>
      </c>
      <c r="J26" t="s">
        <v>27</v>
      </c>
      <c r="K26">
        <v>14</v>
      </c>
      <c r="M26" t="s">
        <v>27</v>
      </c>
      <c r="N26">
        <v>53.95</v>
      </c>
      <c r="P26" t="s">
        <v>29</v>
      </c>
      <c r="Q26">
        <v>9.0299999999999994</v>
      </c>
      <c r="S26" t="s">
        <v>27</v>
      </c>
      <c r="T26">
        <v>0.151</v>
      </c>
      <c r="V26" t="s">
        <v>27</v>
      </c>
      <c r="W26">
        <v>36.21</v>
      </c>
      <c r="Y26" t="s">
        <v>27</v>
      </c>
      <c r="Z26">
        <v>2.48</v>
      </c>
      <c r="AC26" s="4" t="s">
        <v>1109</v>
      </c>
      <c r="AD26" s="5">
        <v>406644265</v>
      </c>
      <c r="AE26" s="5">
        <v>56209232</v>
      </c>
      <c r="AF26" s="5">
        <v>19781378</v>
      </c>
      <c r="AI26" t="s">
        <v>27</v>
      </c>
      <c r="AJ26">
        <v>21.37</v>
      </c>
      <c r="AL26" t="s">
        <v>27</v>
      </c>
      <c r="AM26">
        <v>8.15</v>
      </c>
      <c r="AO26" t="s">
        <v>27</v>
      </c>
      <c r="AP26">
        <v>68.06</v>
      </c>
      <c r="AQ26">
        <v>72</v>
      </c>
      <c r="AS26" t="s">
        <v>27</v>
      </c>
      <c r="AT26">
        <v>10.02</v>
      </c>
      <c r="AU26">
        <v>9.6300000000000008</v>
      </c>
      <c r="AW26" t="s">
        <v>27</v>
      </c>
      <c r="AX26">
        <v>51.68</v>
      </c>
    </row>
    <row r="27" spans="1:50" x14ac:dyDescent="0.35">
      <c r="A27" t="s">
        <v>28</v>
      </c>
      <c r="B27">
        <v>91.05</v>
      </c>
      <c r="D27" t="s">
        <v>574</v>
      </c>
      <c r="E27">
        <v>61.45</v>
      </c>
      <c r="G27" t="s">
        <v>28</v>
      </c>
      <c r="H27">
        <v>0.56299999999999994</v>
      </c>
      <c r="J27" t="s">
        <v>574</v>
      </c>
      <c r="K27">
        <v>8</v>
      </c>
      <c r="M27" t="s">
        <v>574</v>
      </c>
      <c r="N27">
        <v>35.47</v>
      </c>
      <c r="P27" t="s">
        <v>30</v>
      </c>
      <c r="Q27">
        <v>8.1</v>
      </c>
      <c r="S27" t="s">
        <v>28</v>
      </c>
      <c r="T27">
        <v>0.23300000000000001</v>
      </c>
      <c r="V27" t="s">
        <v>574</v>
      </c>
      <c r="W27">
        <v>50.32</v>
      </c>
      <c r="Y27" t="s">
        <v>574</v>
      </c>
      <c r="Z27">
        <v>3.18</v>
      </c>
      <c r="AC27" s="4" t="s">
        <v>35</v>
      </c>
      <c r="AD27" s="5">
        <v>110149371</v>
      </c>
      <c r="AE27" s="5">
        <v>54620516</v>
      </c>
      <c r="AF27" s="5">
        <v>23723021</v>
      </c>
      <c r="AI27" t="s">
        <v>574</v>
      </c>
      <c r="AJ27">
        <v>28.95</v>
      </c>
      <c r="AL27" t="s">
        <v>28</v>
      </c>
      <c r="AM27">
        <v>15.1</v>
      </c>
      <c r="AO27" t="s">
        <v>28</v>
      </c>
      <c r="AP27">
        <v>68.42</v>
      </c>
      <c r="AQ27">
        <v>72.349999999999994</v>
      </c>
      <c r="AS27" t="s">
        <v>28</v>
      </c>
      <c r="AT27">
        <v>7.4</v>
      </c>
      <c r="AU27">
        <v>5.2</v>
      </c>
      <c r="AW27" t="s">
        <v>28</v>
      </c>
      <c r="AX27">
        <v>26.36</v>
      </c>
    </row>
    <row r="28" spans="1:50" x14ac:dyDescent="0.35">
      <c r="A28" t="s">
        <v>29</v>
      </c>
      <c r="B28">
        <v>93.68</v>
      </c>
      <c r="D28" t="s">
        <v>575</v>
      </c>
      <c r="E28">
        <v>73.73</v>
      </c>
      <c r="G28" t="s">
        <v>29</v>
      </c>
      <c r="H28">
        <v>0.51500000000000001</v>
      </c>
      <c r="J28" t="s">
        <v>575</v>
      </c>
      <c r="K28">
        <v>15</v>
      </c>
      <c r="M28" t="s">
        <v>575</v>
      </c>
      <c r="N28">
        <v>50.09</v>
      </c>
      <c r="P28" t="s">
        <v>31</v>
      </c>
      <c r="Q28">
        <v>6.99</v>
      </c>
      <c r="S28" t="s">
        <v>29</v>
      </c>
      <c r="T28">
        <v>0.222</v>
      </c>
      <c r="V28" t="s">
        <v>575</v>
      </c>
      <c r="W28">
        <v>46.89</v>
      </c>
      <c r="Y28" t="s">
        <v>575</v>
      </c>
      <c r="Z28">
        <v>3.04</v>
      </c>
      <c r="AC28" s="4" t="s">
        <v>37</v>
      </c>
      <c r="AD28" s="5">
        <v>20387329</v>
      </c>
      <c r="AE28" s="5">
        <v>28732548</v>
      </c>
      <c r="AF28" s="5">
        <v>23537878</v>
      </c>
      <c r="AI28" t="s">
        <v>575</v>
      </c>
      <c r="AJ28">
        <v>30.54</v>
      </c>
      <c r="AL28" t="s">
        <v>29</v>
      </c>
      <c r="AM28">
        <v>8.86</v>
      </c>
      <c r="AO28" t="s">
        <v>29</v>
      </c>
      <c r="AP28">
        <v>61.62</v>
      </c>
      <c r="AQ28">
        <v>65.42</v>
      </c>
      <c r="AS28" t="s">
        <v>29</v>
      </c>
      <c r="AT28">
        <v>8.91</v>
      </c>
      <c r="AU28">
        <v>8.84</v>
      </c>
      <c r="AW28" t="s">
        <v>29</v>
      </c>
      <c r="AX28">
        <v>38.56</v>
      </c>
    </row>
    <row r="29" spans="1:50" x14ac:dyDescent="0.35">
      <c r="A29" t="s">
        <v>30</v>
      </c>
      <c r="B29">
        <v>90.63</v>
      </c>
      <c r="D29" t="s">
        <v>576</v>
      </c>
      <c r="E29">
        <v>71.61</v>
      </c>
      <c r="G29" t="s">
        <v>30</v>
      </c>
      <c r="H29">
        <v>0.51400000000000001</v>
      </c>
      <c r="J29" t="s">
        <v>576</v>
      </c>
      <c r="K29">
        <v>11.43</v>
      </c>
      <c r="M29" t="s">
        <v>576</v>
      </c>
      <c r="N29">
        <v>51.23</v>
      </c>
      <c r="P29" t="s">
        <v>32</v>
      </c>
      <c r="Q29">
        <v>7.05</v>
      </c>
      <c r="S29" t="s">
        <v>30</v>
      </c>
      <c r="T29">
        <v>0.16400000000000001</v>
      </c>
      <c r="V29" t="s">
        <v>576</v>
      </c>
      <c r="W29">
        <v>50.48</v>
      </c>
      <c r="Y29" t="s">
        <v>576</v>
      </c>
      <c r="Z29">
        <v>2.77</v>
      </c>
      <c r="AC29" s="4" t="s">
        <v>39</v>
      </c>
      <c r="AD29" s="5">
        <v>220653714</v>
      </c>
      <c r="AE29" s="5">
        <v>65703506</v>
      </c>
      <c r="AF29" s="5">
        <v>8180777</v>
      </c>
      <c r="AI29" t="s">
        <v>576</v>
      </c>
      <c r="AJ29">
        <v>30.2</v>
      </c>
      <c r="AL29" t="s">
        <v>30</v>
      </c>
      <c r="AM29">
        <v>7.01</v>
      </c>
      <c r="AO29" t="s">
        <v>30</v>
      </c>
      <c r="AP29">
        <v>63.67</v>
      </c>
      <c r="AQ29">
        <v>67.540000000000006</v>
      </c>
      <c r="AS29" t="s">
        <v>30</v>
      </c>
      <c r="AT29">
        <v>9.83</v>
      </c>
      <c r="AU29">
        <v>9.1199999999999992</v>
      </c>
      <c r="AW29" t="s">
        <v>30</v>
      </c>
      <c r="AX29">
        <v>42.97</v>
      </c>
    </row>
    <row r="30" spans="1:50" x14ac:dyDescent="0.35">
      <c r="A30" t="s">
        <v>31</v>
      </c>
      <c r="B30">
        <v>95.23</v>
      </c>
      <c r="D30" t="s">
        <v>577</v>
      </c>
      <c r="E30">
        <v>76.81</v>
      </c>
      <c r="G30" t="s">
        <v>31</v>
      </c>
      <c r="H30">
        <v>0.45300000000000001</v>
      </c>
      <c r="J30" t="s">
        <v>577</v>
      </c>
      <c r="K30">
        <v>20</v>
      </c>
      <c r="M30" t="s">
        <v>577</v>
      </c>
      <c r="N30">
        <v>55.23</v>
      </c>
      <c r="P30" t="s">
        <v>1066</v>
      </c>
      <c r="Q30">
        <v>6.91</v>
      </c>
      <c r="S30" t="s">
        <v>31</v>
      </c>
      <c r="T30">
        <v>0.20100000000000001</v>
      </c>
      <c r="V30" t="s">
        <v>577</v>
      </c>
      <c r="W30">
        <v>43.94</v>
      </c>
      <c r="Y30" t="s">
        <v>577</v>
      </c>
      <c r="Z30">
        <v>2.92</v>
      </c>
      <c r="AC30" s="4" t="s">
        <v>38</v>
      </c>
      <c r="AD30" s="5">
        <v>94122727</v>
      </c>
      <c r="AE30" s="5">
        <v>25800051</v>
      </c>
      <c r="AF30" s="5">
        <v>18805061</v>
      </c>
      <c r="AI30" t="s">
        <v>577</v>
      </c>
      <c r="AJ30">
        <v>29.78</v>
      </c>
      <c r="AL30" t="s">
        <v>31</v>
      </c>
      <c r="AM30">
        <v>11.5</v>
      </c>
      <c r="AO30" t="s">
        <v>31</v>
      </c>
      <c r="AP30">
        <v>65.95</v>
      </c>
      <c r="AQ30">
        <v>69.94</v>
      </c>
      <c r="AS30" t="s">
        <v>31</v>
      </c>
      <c r="AT30">
        <v>9.18</v>
      </c>
      <c r="AU30">
        <v>8.69</v>
      </c>
      <c r="AW30" t="s">
        <v>31</v>
      </c>
      <c r="AX30">
        <v>41.48</v>
      </c>
    </row>
    <row r="31" spans="1:50" x14ac:dyDescent="0.35">
      <c r="A31" t="s">
        <v>32</v>
      </c>
      <c r="B31">
        <v>97.75</v>
      </c>
      <c r="D31" t="s">
        <v>578</v>
      </c>
      <c r="E31">
        <v>63.82</v>
      </c>
      <c r="G31" t="s">
        <v>32</v>
      </c>
      <c r="H31">
        <v>0.29199999999999998</v>
      </c>
      <c r="J31" t="s">
        <v>578</v>
      </c>
      <c r="K31">
        <v>5.71</v>
      </c>
      <c r="M31" t="s">
        <v>578</v>
      </c>
      <c r="N31">
        <v>51.81</v>
      </c>
      <c r="P31" t="s">
        <v>34</v>
      </c>
      <c r="Q31">
        <v>7.38</v>
      </c>
      <c r="S31" t="s">
        <v>32</v>
      </c>
      <c r="T31">
        <v>7.0999999999999994E-2</v>
      </c>
      <c r="V31" t="s">
        <v>578</v>
      </c>
      <c r="W31">
        <v>49.18</v>
      </c>
      <c r="Y31" t="s">
        <v>578</v>
      </c>
      <c r="Z31">
        <v>2.87</v>
      </c>
      <c r="AC31" s="4" t="s">
        <v>1149</v>
      </c>
      <c r="AD31" s="5">
        <v>87312475</v>
      </c>
      <c r="AE31" s="5">
        <v>38631288</v>
      </c>
      <c r="AF31" s="5">
        <v>13849130</v>
      </c>
      <c r="AI31" t="s">
        <v>578</v>
      </c>
      <c r="AJ31">
        <v>19.68</v>
      </c>
      <c r="AL31" t="s">
        <v>32</v>
      </c>
      <c r="AM31">
        <v>8.5399999999999991</v>
      </c>
      <c r="AO31" t="s">
        <v>32</v>
      </c>
      <c r="AP31">
        <v>67.64</v>
      </c>
      <c r="AQ31">
        <v>71.59</v>
      </c>
      <c r="AS31" t="s">
        <v>32</v>
      </c>
      <c r="AT31">
        <v>10.34</v>
      </c>
      <c r="AU31">
        <v>9.93</v>
      </c>
      <c r="AW31" t="s">
        <v>32</v>
      </c>
      <c r="AX31">
        <v>58.5</v>
      </c>
    </row>
    <row r="32" spans="1:50" x14ac:dyDescent="0.35">
      <c r="A32" t="s">
        <v>33</v>
      </c>
      <c r="B32">
        <v>98.32</v>
      </c>
      <c r="D32" t="s">
        <v>579</v>
      </c>
      <c r="E32">
        <v>61.53</v>
      </c>
      <c r="G32" t="s">
        <v>1066</v>
      </c>
      <c r="H32">
        <v>0.505</v>
      </c>
      <c r="J32" t="s">
        <v>579</v>
      </c>
      <c r="K32">
        <v>3.33</v>
      </c>
      <c r="M32" t="s">
        <v>579</v>
      </c>
      <c r="N32">
        <v>51.86</v>
      </c>
      <c r="P32" t="s">
        <v>35</v>
      </c>
      <c r="Q32">
        <v>8.65</v>
      </c>
      <c r="S32" t="s">
        <v>1066</v>
      </c>
      <c r="T32">
        <v>9.7000000000000003E-2</v>
      </c>
      <c r="V32" t="s">
        <v>579</v>
      </c>
      <c r="W32">
        <v>46.96</v>
      </c>
      <c r="Y32" t="s">
        <v>579</v>
      </c>
      <c r="Z32">
        <v>2.97</v>
      </c>
      <c r="AC32" s="4" t="s">
        <v>40</v>
      </c>
      <c r="AD32" s="5">
        <v>152222047</v>
      </c>
      <c r="AE32" s="5">
        <v>74082586</v>
      </c>
      <c r="AF32" s="5">
        <v>17271768</v>
      </c>
      <c r="AI32" t="s">
        <v>579</v>
      </c>
      <c r="AJ32">
        <v>19.3</v>
      </c>
      <c r="AL32" t="s">
        <v>1066</v>
      </c>
      <c r="AM32">
        <v>8.0399999999999991</v>
      </c>
      <c r="AO32" t="s">
        <v>33</v>
      </c>
      <c r="AP32">
        <v>69.31</v>
      </c>
      <c r="AQ32">
        <v>73.27</v>
      </c>
      <c r="AS32" t="s">
        <v>33</v>
      </c>
      <c r="AT32">
        <v>10.79</v>
      </c>
      <c r="AU32">
        <v>10.46</v>
      </c>
      <c r="AW32" t="s">
        <v>33</v>
      </c>
      <c r="AX32">
        <v>62.03</v>
      </c>
    </row>
    <row r="33" spans="1:50" x14ac:dyDescent="0.35">
      <c r="A33" t="s">
        <v>34</v>
      </c>
      <c r="B33">
        <v>90.74</v>
      </c>
      <c r="D33" t="s">
        <v>580</v>
      </c>
      <c r="E33">
        <v>70.39</v>
      </c>
      <c r="G33" t="s">
        <v>34</v>
      </c>
      <c r="H33">
        <v>0.42699999999999999</v>
      </c>
      <c r="J33" t="s">
        <v>580</v>
      </c>
      <c r="K33">
        <v>17.78</v>
      </c>
      <c r="M33" t="s">
        <v>580</v>
      </c>
      <c r="N33">
        <v>54.39</v>
      </c>
      <c r="P33" t="s">
        <v>36</v>
      </c>
      <c r="Q33">
        <v>11.19</v>
      </c>
      <c r="S33" t="s">
        <v>34</v>
      </c>
      <c r="T33">
        <v>0.191</v>
      </c>
      <c r="V33" t="s">
        <v>580</v>
      </c>
      <c r="W33">
        <v>32.299999999999997</v>
      </c>
      <c r="Y33" t="s">
        <v>580</v>
      </c>
      <c r="Z33">
        <v>2.4700000000000002</v>
      </c>
      <c r="AC33" s="4" t="s">
        <v>29</v>
      </c>
      <c r="AD33" s="5">
        <v>106693785</v>
      </c>
      <c r="AE33" s="5">
        <v>53962498</v>
      </c>
      <c r="AF33" s="5">
        <v>49859128</v>
      </c>
      <c r="AI33" t="s">
        <v>580</v>
      </c>
      <c r="AJ33">
        <v>25.25</v>
      </c>
      <c r="AL33" t="s">
        <v>34</v>
      </c>
      <c r="AM33">
        <v>7.99</v>
      </c>
      <c r="AO33" t="s">
        <v>34</v>
      </c>
      <c r="AP33">
        <v>68.849999999999994</v>
      </c>
      <c r="AQ33">
        <v>72.790000000000006</v>
      </c>
      <c r="AS33" t="s">
        <v>34</v>
      </c>
      <c r="AT33">
        <v>9.7100000000000009</v>
      </c>
      <c r="AU33">
        <v>9.27</v>
      </c>
      <c r="AW33" t="s">
        <v>34</v>
      </c>
      <c r="AX33">
        <v>42.27</v>
      </c>
    </row>
    <row r="34" spans="1:50" x14ac:dyDescent="0.35">
      <c r="A34" t="s">
        <v>35</v>
      </c>
      <c r="B34">
        <v>91.91</v>
      </c>
      <c r="D34" t="s">
        <v>581</v>
      </c>
      <c r="E34">
        <v>71.05</v>
      </c>
      <c r="G34" t="s">
        <v>35</v>
      </c>
      <c r="H34">
        <v>0.44700000000000001</v>
      </c>
      <c r="J34" t="s">
        <v>581</v>
      </c>
      <c r="K34">
        <v>25</v>
      </c>
      <c r="M34" t="s">
        <v>581</v>
      </c>
      <c r="N34">
        <v>54.5</v>
      </c>
      <c r="P34" t="s">
        <v>37</v>
      </c>
      <c r="Q34">
        <v>7.66</v>
      </c>
      <c r="S34" t="s">
        <v>35</v>
      </c>
      <c r="T34">
        <v>0.14799999999999999</v>
      </c>
      <c r="V34" t="s">
        <v>581</v>
      </c>
      <c r="W34">
        <v>27.07</v>
      </c>
      <c r="Y34" t="s">
        <v>581</v>
      </c>
      <c r="Z34">
        <v>2.4700000000000002</v>
      </c>
      <c r="AC34" s="4" t="s">
        <v>28</v>
      </c>
      <c r="AD34" s="5">
        <v>68437041</v>
      </c>
      <c r="AE34" s="5">
        <v>19888771</v>
      </c>
      <c r="AF34" s="5">
        <v>34105696</v>
      </c>
      <c r="AI34" t="s">
        <v>581</v>
      </c>
      <c r="AJ34">
        <v>23.23</v>
      </c>
      <c r="AL34" t="s">
        <v>35</v>
      </c>
      <c r="AM34">
        <v>8.2100000000000009</v>
      </c>
      <c r="AO34" t="s">
        <v>35</v>
      </c>
      <c r="AP34">
        <v>67.150000000000006</v>
      </c>
      <c r="AQ34">
        <v>71.12</v>
      </c>
      <c r="AS34" t="s">
        <v>35</v>
      </c>
      <c r="AT34">
        <v>8.99</v>
      </c>
      <c r="AU34">
        <v>8.65</v>
      </c>
      <c r="AW34" t="s">
        <v>35</v>
      </c>
      <c r="AX34">
        <v>39.49</v>
      </c>
    </row>
    <row r="35" spans="1:50" x14ac:dyDescent="0.35">
      <c r="A35" t="s">
        <v>36</v>
      </c>
      <c r="B35">
        <v>93.09</v>
      </c>
      <c r="D35" t="s">
        <v>582</v>
      </c>
      <c r="E35">
        <v>62.35</v>
      </c>
      <c r="G35" t="s">
        <v>36</v>
      </c>
      <c r="H35">
        <v>0.40200000000000002</v>
      </c>
      <c r="J35" t="s">
        <v>582</v>
      </c>
      <c r="K35">
        <v>8</v>
      </c>
      <c r="M35" t="s">
        <v>582</v>
      </c>
      <c r="N35">
        <v>56.74</v>
      </c>
      <c r="P35" t="s">
        <v>38</v>
      </c>
      <c r="Q35">
        <v>5.42</v>
      </c>
      <c r="S35" t="s">
        <v>36</v>
      </c>
      <c r="T35">
        <v>0.11700000000000001</v>
      </c>
      <c r="V35" t="s">
        <v>582</v>
      </c>
      <c r="W35">
        <v>37.04</v>
      </c>
      <c r="Y35" t="s">
        <v>582</v>
      </c>
      <c r="Z35">
        <v>2.4500000000000002</v>
      </c>
      <c r="AC35" s="4" t="s">
        <v>36</v>
      </c>
      <c r="AD35" s="5">
        <v>145505301</v>
      </c>
      <c r="AE35" s="5">
        <v>48383062</v>
      </c>
      <c r="AF35" s="5">
        <v>20650473</v>
      </c>
      <c r="AI35" t="s">
        <v>582</v>
      </c>
      <c r="AJ35">
        <v>21.64</v>
      </c>
      <c r="AL35" t="s">
        <v>36</v>
      </c>
      <c r="AM35">
        <v>7.87</v>
      </c>
      <c r="AO35" t="s">
        <v>36</v>
      </c>
      <c r="AP35">
        <v>70.25</v>
      </c>
      <c r="AQ35">
        <v>74.260000000000005</v>
      </c>
      <c r="AS35" t="s">
        <v>36</v>
      </c>
      <c r="AT35">
        <v>9.92</v>
      </c>
      <c r="AU35">
        <v>9.5299999999999994</v>
      </c>
      <c r="AW35" t="s">
        <v>36</v>
      </c>
      <c r="AX35">
        <v>52.4</v>
      </c>
    </row>
    <row r="36" spans="1:50" x14ac:dyDescent="0.35">
      <c r="A36" t="s">
        <v>37</v>
      </c>
      <c r="B36">
        <v>98.44</v>
      </c>
      <c r="D36" t="s">
        <v>583</v>
      </c>
      <c r="E36">
        <v>62.34</v>
      </c>
      <c r="G36" t="s">
        <v>37</v>
      </c>
      <c r="H36">
        <v>0.34100000000000003</v>
      </c>
      <c r="J36" t="s">
        <v>583</v>
      </c>
      <c r="K36">
        <v>5.71</v>
      </c>
      <c r="M36" t="s">
        <v>583</v>
      </c>
      <c r="N36">
        <v>56.84</v>
      </c>
      <c r="P36" t="s">
        <v>39</v>
      </c>
      <c r="Q36">
        <v>9.6999999999999993</v>
      </c>
      <c r="S36" t="s">
        <v>37</v>
      </c>
      <c r="T36">
        <v>6.2E-2</v>
      </c>
      <c r="V36" t="s">
        <v>583</v>
      </c>
      <c r="W36">
        <v>49.83</v>
      </c>
      <c r="Y36" t="s">
        <v>583</v>
      </c>
      <c r="Z36">
        <v>3.15</v>
      </c>
      <c r="AC36" s="4" t="s">
        <v>30</v>
      </c>
      <c r="AD36" s="5">
        <v>81917691</v>
      </c>
      <c r="AE36" s="5">
        <v>42950340</v>
      </c>
      <c r="AF36" s="5">
        <v>39855724</v>
      </c>
      <c r="AI36" t="s">
        <v>583</v>
      </c>
      <c r="AJ36">
        <v>19.68</v>
      </c>
      <c r="AL36" t="s">
        <v>37</v>
      </c>
      <c r="AM36">
        <v>7.47</v>
      </c>
      <c r="AO36" t="s">
        <v>37</v>
      </c>
      <c r="AP36">
        <v>68.180000000000007</v>
      </c>
      <c r="AQ36">
        <v>72.12</v>
      </c>
      <c r="AS36" t="s">
        <v>37</v>
      </c>
      <c r="AT36">
        <v>9.92</v>
      </c>
      <c r="AU36">
        <v>9.8699999999999992</v>
      </c>
      <c r="AW36" t="s">
        <v>37</v>
      </c>
      <c r="AX36">
        <v>54.8</v>
      </c>
    </row>
    <row r="37" spans="1:50" x14ac:dyDescent="0.35">
      <c r="A37" t="s">
        <v>38</v>
      </c>
      <c r="B37">
        <v>96.36</v>
      </c>
      <c r="D37" t="s">
        <v>584</v>
      </c>
      <c r="E37">
        <v>82.74</v>
      </c>
      <c r="G37" t="s">
        <v>38</v>
      </c>
      <c r="H37">
        <v>0.29099999999999998</v>
      </c>
      <c r="J37" t="s">
        <v>584</v>
      </c>
      <c r="K37">
        <v>28.57</v>
      </c>
      <c r="M37" t="s">
        <v>584</v>
      </c>
      <c r="N37">
        <v>56.19</v>
      </c>
      <c r="P37" t="s">
        <v>40</v>
      </c>
      <c r="Q37">
        <v>10.75</v>
      </c>
      <c r="S37" t="s">
        <v>38</v>
      </c>
      <c r="T37">
        <v>0.17100000000000001</v>
      </c>
      <c r="V37" t="s">
        <v>584</v>
      </c>
      <c r="W37">
        <v>49.28</v>
      </c>
      <c r="Y37" t="s">
        <v>584</v>
      </c>
      <c r="Z37">
        <v>2.35</v>
      </c>
      <c r="AC37" s="4" t="s">
        <v>31</v>
      </c>
      <c r="AD37" s="5">
        <v>90618929</v>
      </c>
      <c r="AE37" s="5">
        <v>48458093</v>
      </c>
      <c r="AF37" s="5">
        <v>23479647</v>
      </c>
      <c r="AI37" t="s">
        <v>584</v>
      </c>
      <c r="AJ37">
        <v>19.3</v>
      </c>
      <c r="AL37" t="s">
        <v>38</v>
      </c>
      <c r="AM37">
        <v>7.98</v>
      </c>
      <c r="AO37" t="s">
        <v>38</v>
      </c>
      <c r="AP37">
        <v>70.319999999999993</v>
      </c>
      <c r="AQ37">
        <v>74.33</v>
      </c>
      <c r="AS37" t="s">
        <v>38</v>
      </c>
      <c r="AT37">
        <v>10.050000000000001</v>
      </c>
      <c r="AU37">
        <v>10.029999999999999</v>
      </c>
      <c r="AW37" t="s">
        <v>38</v>
      </c>
      <c r="AX37">
        <v>53.97</v>
      </c>
    </row>
    <row r="38" spans="1:50" x14ac:dyDescent="0.35">
      <c r="A38" t="s">
        <v>39</v>
      </c>
      <c r="B38">
        <v>91.92</v>
      </c>
      <c r="D38" t="s">
        <v>585</v>
      </c>
      <c r="E38">
        <v>59.68</v>
      </c>
      <c r="G38" t="s">
        <v>39</v>
      </c>
      <c r="H38">
        <v>0.32500000000000001</v>
      </c>
      <c r="J38" t="s">
        <v>585</v>
      </c>
      <c r="K38">
        <v>10</v>
      </c>
      <c r="M38" t="s">
        <v>585</v>
      </c>
      <c r="N38">
        <v>48.98</v>
      </c>
      <c r="P38" t="s">
        <v>41</v>
      </c>
      <c r="Q38">
        <v>13.45</v>
      </c>
      <c r="S38" t="s">
        <v>39</v>
      </c>
      <c r="T38">
        <v>0.124</v>
      </c>
      <c r="V38" t="s">
        <v>585</v>
      </c>
      <c r="W38">
        <v>28.23</v>
      </c>
      <c r="Y38" t="s">
        <v>585</v>
      </c>
      <c r="Z38">
        <v>2.2799999999999998</v>
      </c>
      <c r="AC38" s="4" t="s">
        <v>32</v>
      </c>
      <c r="AD38" s="5">
        <v>64436601</v>
      </c>
      <c r="AE38" s="5">
        <v>31021365</v>
      </c>
      <c r="AF38" s="5">
        <v>16888386</v>
      </c>
      <c r="AI38" t="s">
        <v>585</v>
      </c>
      <c r="AJ38">
        <v>20.83</v>
      </c>
      <c r="AL38" t="s">
        <v>39</v>
      </c>
      <c r="AM38">
        <v>3.44</v>
      </c>
      <c r="AO38" t="s">
        <v>39</v>
      </c>
      <c r="AP38">
        <v>70.349999999999994</v>
      </c>
      <c r="AQ38">
        <v>74.36</v>
      </c>
      <c r="AS38" t="s">
        <v>39</v>
      </c>
      <c r="AT38">
        <v>10.65</v>
      </c>
      <c r="AU38">
        <v>10.14</v>
      </c>
      <c r="AW38" t="s">
        <v>39</v>
      </c>
      <c r="AX38">
        <v>56.89</v>
      </c>
    </row>
    <row r="39" spans="1:50" x14ac:dyDescent="0.35">
      <c r="A39" t="s">
        <v>40</v>
      </c>
      <c r="B39">
        <v>88.77</v>
      </c>
      <c r="D39" t="s">
        <v>586</v>
      </c>
      <c r="E39">
        <v>67.16</v>
      </c>
      <c r="G39" t="s">
        <v>40</v>
      </c>
      <c r="H39">
        <v>0.23100000000000001</v>
      </c>
      <c r="J39" t="s">
        <v>586</v>
      </c>
      <c r="K39">
        <v>16</v>
      </c>
      <c r="M39" t="s">
        <v>586</v>
      </c>
      <c r="N39">
        <v>59.69</v>
      </c>
      <c r="P39" t="s">
        <v>42</v>
      </c>
      <c r="Q39">
        <v>5.82</v>
      </c>
      <c r="S39" t="s">
        <v>40</v>
      </c>
      <c r="T39">
        <v>0.215</v>
      </c>
      <c r="V39" t="s">
        <v>586</v>
      </c>
      <c r="W39">
        <v>31.7</v>
      </c>
      <c r="Y39" t="s">
        <v>586</v>
      </c>
      <c r="Z39">
        <v>2.4500000000000002</v>
      </c>
      <c r="AC39" s="4" t="s">
        <v>1110</v>
      </c>
      <c r="AD39" s="5">
        <v>40221843</v>
      </c>
      <c r="AE39" s="5">
        <v>17699947</v>
      </c>
      <c r="AF39" s="5">
        <v>22711117</v>
      </c>
      <c r="AI39" t="s">
        <v>586</v>
      </c>
      <c r="AJ39">
        <v>19.71</v>
      </c>
      <c r="AL39" t="s">
        <v>40</v>
      </c>
      <c r="AM39">
        <v>9.23</v>
      </c>
      <c r="AO39" t="s">
        <v>40</v>
      </c>
      <c r="AP39">
        <v>67.709999999999994</v>
      </c>
      <c r="AQ39">
        <v>71.66</v>
      </c>
      <c r="AS39" t="s">
        <v>40</v>
      </c>
      <c r="AT39">
        <v>9.0399999999999991</v>
      </c>
      <c r="AU39">
        <v>8.32</v>
      </c>
      <c r="AW39" t="s">
        <v>40</v>
      </c>
      <c r="AX39">
        <v>40.619999999999997</v>
      </c>
    </row>
    <row r="40" spans="1:50" x14ac:dyDescent="0.35">
      <c r="A40" t="s">
        <v>41</v>
      </c>
      <c r="B40">
        <v>89.68</v>
      </c>
      <c r="D40" t="s">
        <v>587</v>
      </c>
      <c r="E40">
        <v>69.45</v>
      </c>
      <c r="G40" t="s">
        <v>41</v>
      </c>
      <c r="H40">
        <v>0.56499999999999995</v>
      </c>
      <c r="J40" t="s">
        <v>587</v>
      </c>
      <c r="K40">
        <v>17.649999999999999</v>
      </c>
      <c r="M40" t="s">
        <v>587</v>
      </c>
      <c r="N40">
        <v>43.28</v>
      </c>
      <c r="P40" t="s">
        <v>43</v>
      </c>
      <c r="Q40">
        <v>5.26</v>
      </c>
      <c r="S40" t="s">
        <v>41</v>
      </c>
      <c r="T40">
        <v>0.26600000000000001</v>
      </c>
      <c r="V40" t="s">
        <v>587</v>
      </c>
      <c r="W40">
        <v>35.57</v>
      </c>
      <c r="Y40" t="s">
        <v>587</v>
      </c>
      <c r="Z40">
        <v>3.18</v>
      </c>
      <c r="AC40" s="4" t="s">
        <v>58</v>
      </c>
      <c r="AD40" s="5">
        <v>47105993</v>
      </c>
      <c r="AE40" s="5">
        <v>10798387</v>
      </c>
      <c r="AF40" s="5">
        <v>3086068</v>
      </c>
      <c r="AI40" t="s">
        <v>587</v>
      </c>
      <c r="AJ40">
        <v>31.63</v>
      </c>
      <c r="AL40" t="s">
        <v>41</v>
      </c>
      <c r="AM40">
        <v>16.39</v>
      </c>
      <c r="AO40" t="s">
        <v>41</v>
      </c>
      <c r="AP40">
        <v>67.650000000000006</v>
      </c>
      <c r="AQ40">
        <v>71.599999999999994</v>
      </c>
      <c r="AS40" t="s">
        <v>41</v>
      </c>
      <c r="AT40">
        <v>7.26</v>
      </c>
      <c r="AU40">
        <v>5.72</v>
      </c>
      <c r="AW40" t="s">
        <v>41</v>
      </c>
      <c r="AX40">
        <v>27.19</v>
      </c>
    </row>
    <row r="41" spans="1:50" x14ac:dyDescent="0.35">
      <c r="A41" t="s">
        <v>42</v>
      </c>
      <c r="B41">
        <v>97.45</v>
      </c>
      <c r="D41" t="s">
        <v>588</v>
      </c>
      <c r="E41">
        <v>70.849999999999994</v>
      </c>
      <c r="G41" t="s">
        <v>42</v>
      </c>
      <c r="H41">
        <v>0.29099999999999998</v>
      </c>
      <c r="J41" t="s">
        <v>588</v>
      </c>
      <c r="K41">
        <v>16</v>
      </c>
      <c r="M41" t="s">
        <v>588</v>
      </c>
      <c r="N41">
        <v>64.11</v>
      </c>
      <c r="P41" t="s">
        <v>44</v>
      </c>
      <c r="Q41">
        <v>6.31</v>
      </c>
      <c r="S41" t="s">
        <v>42</v>
      </c>
      <c r="T41">
        <v>4.3999999999999997E-2</v>
      </c>
      <c r="V41" t="s">
        <v>588</v>
      </c>
      <c r="W41">
        <v>50.14</v>
      </c>
      <c r="Y41" t="s">
        <v>588</v>
      </c>
      <c r="Z41">
        <v>3.17</v>
      </c>
      <c r="AC41" s="4" t="s">
        <v>57</v>
      </c>
      <c r="AD41" s="5">
        <v>226268087</v>
      </c>
      <c r="AE41" s="5">
        <v>37659729</v>
      </c>
      <c r="AF41" s="5">
        <v>12010707</v>
      </c>
      <c r="AI41" t="s">
        <v>588</v>
      </c>
      <c r="AJ41">
        <v>19.850000000000001</v>
      </c>
      <c r="AL41" t="s">
        <v>42</v>
      </c>
      <c r="AM41">
        <v>8.69</v>
      </c>
      <c r="AO41" t="s">
        <v>42</v>
      </c>
      <c r="AP41">
        <v>68.349999999999994</v>
      </c>
      <c r="AQ41">
        <v>72.290000000000006</v>
      </c>
      <c r="AS41" t="s">
        <v>42</v>
      </c>
      <c r="AT41">
        <v>10.45</v>
      </c>
      <c r="AU41">
        <v>9.8000000000000007</v>
      </c>
      <c r="AW41" t="s">
        <v>42</v>
      </c>
      <c r="AX41">
        <v>56.81</v>
      </c>
    </row>
    <row r="42" spans="1:50" x14ac:dyDescent="0.35">
      <c r="A42" t="s">
        <v>43</v>
      </c>
      <c r="B42">
        <v>98.99</v>
      </c>
      <c r="D42" t="s">
        <v>589</v>
      </c>
      <c r="E42">
        <v>67.900000000000006</v>
      </c>
      <c r="G42" t="s">
        <v>43</v>
      </c>
      <c r="H42">
        <v>0.152</v>
      </c>
      <c r="J42" t="s">
        <v>589</v>
      </c>
      <c r="K42">
        <v>10</v>
      </c>
      <c r="M42" t="s">
        <v>589</v>
      </c>
      <c r="N42">
        <v>52.1</v>
      </c>
      <c r="P42" t="s">
        <v>45</v>
      </c>
      <c r="Q42">
        <v>10.59</v>
      </c>
      <c r="S42" t="s">
        <v>43</v>
      </c>
      <c r="T42">
        <v>8.3000000000000004E-2</v>
      </c>
      <c r="V42" t="s">
        <v>589</v>
      </c>
      <c r="W42">
        <v>49.26</v>
      </c>
      <c r="Y42" t="s">
        <v>589</v>
      </c>
      <c r="Z42">
        <v>3.26</v>
      </c>
      <c r="AC42" s="4" t="s">
        <v>55</v>
      </c>
      <c r="AD42" s="5">
        <v>41747150</v>
      </c>
      <c r="AE42" s="5">
        <v>10935603</v>
      </c>
      <c r="AF42" s="5">
        <v>3693528</v>
      </c>
      <c r="AI42" t="s">
        <v>589</v>
      </c>
      <c r="AJ42">
        <v>28.23</v>
      </c>
      <c r="AL42" t="s">
        <v>43</v>
      </c>
      <c r="AM42">
        <v>7.54</v>
      </c>
      <c r="AO42" t="s">
        <v>43</v>
      </c>
      <c r="AP42">
        <v>64.98</v>
      </c>
      <c r="AQ42">
        <v>68.91</v>
      </c>
      <c r="AS42" t="s">
        <v>43</v>
      </c>
      <c r="AT42">
        <v>9.9600000000000009</v>
      </c>
      <c r="AU42">
        <v>9.2200000000000006</v>
      </c>
      <c r="AW42" t="s">
        <v>43</v>
      </c>
      <c r="AX42">
        <v>47.27</v>
      </c>
    </row>
    <row r="43" spans="1:50" x14ac:dyDescent="0.35">
      <c r="A43" t="s">
        <v>44</v>
      </c>
      <c r="B43">
        <v>96.74</v>
      </c>
      <c r="D43" t="s">
        <v>590</v>
      </c>
      <c r="E43">
        <v>80.13</v>
      </c>
      <c r="G43" t="s">
        <v>44</v>
      </c>
      <c r="H43">
        <v>0.24399999999999999</v>
      </c>
      <c r="J43" t="s">
        <v>590</v>
      </c>
      <c r="K43">
        <v>24</v>
      </c>
      <c r="M43" t="s">
        <v>590</v>
      </c>
      <c r="N43">
        <v>56.12</v>
      </c>
      <c r="P43" t="s">
        <v>46</v>
      </c>
      <c r="Q43">
        <v>8.44</v>
      </c>
      <c r="S43" t="s">
        <v>44</v>
      </c>
      <c r="T43">
        <v>4.2999999999999997E-2</v>
      </c>
      <c r="V43" t="s">
        <v>590</v>
      </c>
      <c r="W43">
        <v>50.04</v>
      </c>
      <c r="Y43" t="s">
        <v>590</v>
      </c>
      <c r="Z43">
        <v>2.98</v>
      </c>
      <c r="AC43" s="4" t="s">
        <v>53</v>
      </c>
      <c r="AD43" s="5">
        <v>24957635</v>
      </c>
      <c r="AE43" s="5">
        <v>23278292</v>
      </c>
      <c r="AF43" s="5">
        <v>3302075</v>
      </c>
      <c r="AI43" t="s">
        <v>590</v>
      </c>
      <c r="AJ43">
        <v>19.850000000000001</v>
      </c>
      <c r="AL43" t="s">
        <v>44</v>
      </c>
      <c r="AM43">
        <v>11.66</v>
      </c>
      <c r="AO43" t="s">
        <v>44</v>
      </c>
      <c r="AP43">
        <v>70.28</v>
      </c>
      <c r="AQ43">
        <v>74.290000000000006</v>
      </c>
      <c r="AS43" t="s">
        <v>44</v>
      </c>
      <c r="AT43">
        <v>10.08</v>
      </c>
      <c r="AU43">
        <v>8.85</v>
      </c>
      <c r="AW43" t="s">
        <v>44</v>
      </c>
      <c r="AX43">
        <v>48.44</v>
      </c>
    </row>
    <row r="44" spans="1:50" x14ac:dyDescent="0.35">
      <c r="A44" t="s">
        <v>45</v>
      </c>
      <c r="B44">
        <v>88.87</v>
      </c>
      <c r="D44" t="s">
        <v>591</v>
      </c>
      <c r="E44">
        <v>67.48</v>
      </c>
      <c r="G44" t="s">
        <v>45</v>
      </c>
      <c r="H44">
        <v>0.434</v>
      </c>
      <c r="J44" t="s">
        <v>591</v>
      </c>
      <c r="K44">
        <v>15.56</v>
      </c>
      <c r="M44" t="s">
        <v>591</v>
      </c>
      <c r="N44">
        <v>49.51</v>
      </c>
      <c r="P44" t="s">
        <v>47</v>
      </c>
      <c r="Q44">
        <v>6.09</v>
      </c>
      <c r="S44" t="s">
        <v>45</v>
      </c>
      <c r="T44">
        <v>0.19400000000000001</v>
      </c>
      <c r="V44" t="s">
        <v>591</v>
      </c>
      <c r="W44">
        <v>31.05</v>
      </c>
      <c r="Y44" t="s">
        <v>591</v>
      </c>
      <c r="Z44">
        <v>2.42</v>
      </c>
      <c r="AC44" s="4" t="s">
        <v>54</v>
      </c>
      <c r="AD44" s="5">
        <v>51391362</v>
      </c>
      <c r="AE44" s="5">
        <v>33601121</v>
      </c>
      <c r="AF44" s="5">
        <v>7567074</v>
      </c>
      <c r="AI44" t="s">
        <v>591</v>
      </c>
      <c r="AJ44">
        <v>24.89</v>
      </c>
      <c r="AL44" t="s">
        <v>45</v>
      </c>
      <c r="AM44">
        <v>7.44</v>
      </c>
      <c r="AO44" t="s">
        <v>45</v>
      </c>
      <c r="AP44">
        <v>67.66</v>
      </c>
      <c r="AQ44">
        <v>71.62</v>
      </c>
      <c r="AS44" t="s">
        <v>45</v>
      </c>
      <c r="AT44">
        <v>9.09</v>
      </c>
      <c r="AU44">
        <v>8.6199999999999992</v>
      </c>
      <c r="AW44" t="s">
        <v>45</v>
      </c>
      <c r="AX44">
        <v>40.869999999999997</v>
      </c>
    </row>
    <row r="45" spans="1:50" x14ac:dyDescent="0.35">
      <c r="A45" t="s">
        <v>46</v>
      </c>
      <c r="B45">
        <v>83.76</v>
      </c>
      <c r="D45" t="s">
        <v>592</v>
      </c>
      <c r="E45">
        <v>66.23</v>
      </c>
      <c r="G45" t="s">
        <v>46</v>
      </c>
      <c r="H45">
        <v>0.44600000000000001</v>
      </c>
      <c r="J45" t="s">
        <v>592</v>
      </c>
      <c r="K45">
        <v>11.43</v>
      </c>
      <c r="M45" t="s">
        <v>592</v>
      </c>
      <c r="N45">
        <v>57.67</v>
      </c>
      <c r="P45" t="s">
        <v>48</v>
      </c>
      <c r="Q45">
        <v>5.26</v>
      </c>
      <c r="S45" t="s">
        <v>46</v>
      </c>
      <c r="T45">
        <v>0.20499999999999999</v>
      </c>
      <c r="V45" t="s">
        <v>592</v>
      </c>
      <c r="W45">
        <v>37.729999999999997</v>
      </c>
      <c r="Y45" t="s">
        <v>592</v>
      </c>
      <c r="Z45">
        <v>2.5499999999999998</v>
      </c>
      <c r="AC45" s="4" t="s">
        <v>56</v>
      </c>
      <c r="AD45" s="5">
        <v>29489339</v>
      </c>
      <c r="AE45" s="5">
        <v>15266732</v>
      </c>
      <c r="AF45" s="5">
        <v>2346997</v>
      </c>
      <c r="AI45" t="s">
        <v>592</v>
      </c>
      <c r="AJ45">
        <v>27.3</v>
      </c>
      <c r="AL45" t="s">
        <v>46</v>
      </c>
      <c r="AM45">
        <v>11.38</v>
      </c>
      <c r="AO45" t="s">
        <v>46</v>
      </c>
      <c r="AP45">
        <v>65.94</v>
      </c>
      <c r="AQ45">
        <v>69.930000000000007</v>
      </c>
      <c r="AS45" t="s">
        <v>46</v>
      </c>
      <c r="AT45">
        <v>8.74</v>
      </c>
      <c r="AU45">
        <v>8.42</v>
      </c>
      <c r="AW45" t="s">
        <v>46</v>
      </c>
      <c r="AX45">
        <v>39.75</v>
      </c>
    </row>
    <row r="46" spans="1:50" x14ac:dyDescent="0.35">
      <c r="A46" t="s">
        <v>47</v>
      </c>
      <c r="B46">
        <v>88.26</v>
      </c>
      <c r="D46" t="s">
        <v>593</v>
      </c>
      <c r="E46">
        <v>67.41</v>
      </c>
      <c r="G46" t="s">
        <v>47</v>
      </c>
      <c r="H46">
        <v>0.55500000000000005</v>
      </c>
      <c r="J46" t="s">
        <v>593</v>
      </c>
      <c r="K46">
        <v>10</v>
      </c>
      <c r="M46" t="s">
        <v>593</v>
      </c>
      <c r="N46">
        <v>60.06</v>
      </c>
      <c r="P46" t="s">
        <v>49</v>
      </c>
      <c r="Q46">
        <v>5.33</v>
      </c>
      <c r="S46" t="s">
        <v>47</v>
      </c>
      <c r="T46">
        <v>0.24</v>
      </c>
      <c r="V46" t="s">
        <v>593</v>
      </c>
      <c r="W46">
        <v>45.31</v>
      </c>
      <c r="Y46" t="s">
        <v>593</v>
      </c>
      <c r="Z46">
        <v>3.07</v>
      </c>
      <c r="AC46" s="4" t="s">
        <v>1152</v>
      </c>
      <c r="AD46" s="5">
        <v>38557656</v>
      </c>
      <c r="AE46" s="5">
        <v>27902965</v>
      </c>
      <c r="AF46" s="5">
        <v>18956712</v>
      </c>
      <c r="AI46" t="s">
        <v>593</v>
      </c>
      <c r="AJ46">
        <v>30.14</v>
      </c>
      <c r="AL46" t="s">
        <v>47</v>
      </c>
      <c r="AM46">
        <v>8.7899999999999991</v>
      </c>
      <c r="AO46" t="s">
        <v>47</v>
      </c>
      <c r="AP46">
        <v>65.87</v>
      </c>
      <c r="AQ46">
        <v>69.86</v>
      </c>
      <c r="AS46" t="s">
        <v>47</v>
      </c>
      <c r="AT46">
        <v>9.7100000000000009</v>
      </c>
      <c r="AU46">
        <v>9.43</v>
      </c>
      <c r="AW46" t="s">
        <v>47</v>
      </c>
      <c r="AX46">
        <v>43.8</v>
      </c>
    </row>
    <row r="47" spans="1:50" x14ac:dyDescent="0.35">
      <c r="A47" t="s">
        <v>48</v>
      </c>
      <c r="B47">
        <v>86.56</v>
      </c>
      <c r="D47" t="s">
        <v>594</v>
      </c>
      <c r="E47">
        <v>58.95</v>
      </c>
      <c r="G47" t="s">
        <v>48</v>
      </c>
      <c r="H47">
        <v>0.58499999999999996</v>
      </c>
      <c r="J47" t="s">
        <v>594</v>
      </c>
      <c r="K47">
        <v>3.33</v>
      </c>
      <c r="M47" t="s">
        <v>594</v>
      </c>
      <c r="N47">
        <v>52.19</v>
      </c>
      <c r="P47" t="s">
        <v>50</v>
      </c>
      <c r="Q47">
        <v>7.69</v>
      </c>
      <c r="S47" t="s">
        <v>48</v>
      </c>
      <c r="T47">
        <v>0.26900000000000002</v>
      </c>
      <c r="V47" t="s">
        <v>594</v>
      </c>
      <c r="W47">
        <v>40.39</v>
      </c>
      <c r="Y47" t="s">
        <v>594</v>
      </c>
      <c r="Z47">
        <v>3.19</v>
      </c>
      <c r="AC47" s="4" t="s">
        <v>43</v>
      </c>
      <c r="AD47" s="5">
        <v>38332872</v>
      </c>
      <c r="AE47" s="5">
        <v>18476176</v>
      </c>
      <c r="AF47" s="5">
        <v>36853658</v>
      </c>
      <c r="AI47" t="s">
        <v>594</v>
      </c>
      <c r="AJ47">
        <v>30.4</v>
      </c>
      <c r="AL47" t="s">
        <v>48</v>
      </c>
      <c r="AM47">
        <v>7.89</v>
      </c>
      <c r="AO47" t="s">
        <v>48</v>
      </c>
      <c r="AP47">
        <v>65.77</v>
      </c>
      <c r="AQ47">
        <v>69.739999999999995</v>
      </c>
      <c r="AS47" t="s">
        <v>48</v>
      </c>
      <c r="AT47">
        <v>9.52</v>
      </c>
      <c r="AU47">
        <v>9.31</v>
      </c>
      <c r="AW47" t="s">
        <v>48</v>
      </c>
      <c r="AX47">
        <v>42.81</v>
      </c>
    </row>
    <row r="48" spans="1:50" x14ac:dyDescent="0.35">
      <c r="A48" t="s">
        <v>49</v>
      </c>
      <c r="B48">
        <v>88.34</v>
      </c>
      <c r="D48" t="s">
        <v>595</v>
      </c>
      <c r="E48">
        <v>61.03</v>
      </c>
      <c r="G48" t="s">
        <v>49</v>
      </c>
      <c r="H48">
        <v>0.5</v>
      </c>
      <c r="J48" t="s">
        <v>595</v>
      </c>
      <c r="K48">
        <v>14.29</v>
      </c>
      <c r="M48" t="s">
        <v>595</v>
      </c>
      <c r="N48">
        <v>70.86</v>
      </c>
      <c r="P48" t="s">
        <v>51</v>
      </c>
      <c r="Q48">
        <v>9.1999999999999993</v>
      </c>
      <c r="S48" t="s">
        <v>49</v>
      </c>
      <c r="T48">
        <v>0.223</v>
      </c>
      <c r="V48" t="s">
        <v>595</v>
      </c>
      <c r="W48">
        <v>32.369999999999997</v>
      </c>
      <c r="Y48" t="s">
        <v>595</v>
      </c>
      <c r="Z48">
        <v>2.76</v>
      </c>
      <c r="AC48" s="4" t="s">
        <v>41</v>
      </c>
      <c r="AD48" s="5">
        <v>101375775</v>
      </c>
      <c r="AE48" s="5">
        <v>36915985</v>
      </c>
      <c r="AF48" s="5">
        <v>24444158</v>
      </c>
      <c r="AI48" t="s">
        <v>595</v>
      </c>
      <c r="AJ48">
        <v>26.84</v>
      </c>
      <c r="AL48" t="s">
        <v>49</v>
      </c>
      <c r="AM48">
        <v>8.06</v>
      </c>
      <c r="AO48" t="s">
        <v>49</v>
      </c>
      <c r="AP48">
        <v>67.61</v>
      </c>
      <c r="AQ48">
        <v>71.569999999999993</v>
      </c>
      <c r="AS48" t="s">
        <v>49</v>
      </c>
      <c r="AT48">
        <v>9.44</v>
      </c>
      <c r="AU48">
        <v>8.82</v>
      </c>
      <c r="AW48" t="s">
        <v>49</v>
      </c>
      <c r="AX48">
        <v>41.93</v>
      </c>
    </row>
    <row r="49" spans="1:50" x14ac:dyDescent="0.35">
      <c r="A49" t="s">
        <v>50</v>
      </c>
      <c r="B49">
        <v>90.43</v>
      </c>
      <c r="D49" t="s">
        <v>596</v>
      </c>
      <c r="E49">
        <v>45.52</v>
      </c>
      <c r="G49" t="s">
        <v>50</v>
      </c>
      <c r="H49">
        <v>0.56100000000000005</v>
      </c>
      <c r="J49" t="s">
        <v>596</v>
      </c>
      <c r="K49">
        <v>2.86</v>
      </c>
      <c r="M49" t="s">
        <v>596</v>
      </c>
      <c r="N49">
        <v>64.760000000000005</v>
      </c>
      <c r="P49" t="s">
        <v>52</v>
      </c>
      <c r="Q49">
        <v>10.95</v>
      </c>
      <c r="S49" t="s">
        <v>50</v>
      </c>
      <c r="T49">
        <v>0.17499999999999999</v>
      </c>
      <c r="V49" t="s">
        <v>596</v>
      </c>
      <c r="W49">
        <v>25.61</v>
      </c>
      <c r="Y49" t="s">
        <v>596</v>
      </c>
      <c r="Z49">
        <v>2.67</v>
      </c>
      <c r="AC49" s="4" t="s">
        <v>42</v>
      </c>
      <c r="AD49" s="5">
        <v>51314846</v>
      </c>
      <c r="AE49" s="5">
        <v>23330464</v>
      </c>
      <c r="AF49" s="5">
        <v>17117509</v>
      </c>
      <c r="AI49" t="s">
        <v>596</v>
      </c>
      <c r="AJ49">
        <v>19.46</v>
      </c>
      <c r="AL49" t="s">
        <v>50</v>
      </c>
      <c r="AM49">
        <v>9.08</v>
      </c>
      <c r="AO49" t="s">
        <v>50</v>
      </c>
      <c r="AP49">
        <v>68.33</v>
      </c>
      <c r="AQ49">
        <v>72.27</v>
      </c>
      <c r="AS49" t="s">
        <v>50</v>
      </c>
      <c r="AT49">
        <v>9.1999999999999993</v>
      </c>
      <c r="AU49">
        <v>8.7100000000000009</v>
      </c>
      <c r="AW49" t="s">
        <v>50</v>
      </c>
      <c r="AX49">
        <v>42.78</v>
      </c>
    </row>
    <row r="50" spans="1:50" x14ac:dyDescent="0.35">
      <c r="A50" t="s">
        <v>51</v>
      </c>
      <c r="B50">
        <v>80.510000000000005</v>
      </c>
      <c r="D50" t="s">
        <v>597</v>
      </c>
      <c r="E50">
        <v>69.400000000000006</v>
      </c>
      <c r="G50" t="s">
        <v>51</v>
      </c>
      <c r="H50">
        <v>0.57499999999999996</v>
      </c>
      <c r="J50" t="s">
        <v>597</v>
      </c>
      <c r="K50">
        <v>12</v>
      </c>
      <c r="M50" t="s">
        <v>597</v>
      </c>
      <c r="N50">
        <v>45.91</v>
      </c>
      <c r="P50" t="s">
        <v>53</v>
      </c>
      <c r="Q50">
        <v>7.32</v>
      </c>
      <c r="S50" t="s">
        <v>51</v>
      </c>
      <c r="T50">
        <v>0.26200000000000001</v>
      </c>
      <c r="V50" t="s">
        <v>597</v>
      </c>
      <c r="W50">
        <v>48.51</v>
      </c>
      <c r="Y50" t="s">
        <v>597</v>
      </c>
      <c r="Z50">
        <v>3.2</v>
      </c>
      <c r="AC50" s="4" t="s">
        <v>45</v>
      </c>
      <c r="AD50" s="5">
        <v>102533341</v>
      </c>
      <c r="AE50" s="5">
        <v>45915726</v>
      </c>
      <c r="AF50" s="5">
        <v>9642127</v>
      </c>
      <c r="AI50" t="s">
        <v>597</v>
      </c>
      <c r="AJ50">
        <v>28.37</v>
      </c>
      <c r="AL50" t="s">
        <v>51</v>
      </c>
      <c r="AM50">
        <v>21.79</v>
      </c>
      <c r="AO50" t="s">
        <v>51</v>
      </c>
      <c r="AP50">
        <v>68.319999999999993</v>
      </c>
      <c r="AQ50">
        <v>72.260000000000005</v>
      </c>
      <c r="AS50" t="s">
        <v>51</v>
      </c>
      <c r="AT50">
        <v>8.0299999999999994</v>
      </c>
      <c r="AU50">
        <v>5.83</v>
      </c>
      <c r="AW50" t="s">
        <v>51</v>
      </c>
      <c r="AX50">
        <v>19.05</v>
      </c>
    </row>
    <row r="51" spans="1:50" x14ac:dyDescent="0.35">
      <c r="A51" t="s">
        <v>52</v>
      </c>
      <c r="B51">
        <v>87.33</v>
      </c>
      <c r="D51" t="s">
        <v>598</v>
      </c>
      <c r="E51">
        <v>66.95</v>
      </c>
      <c r="G51" t="s">
        <v>52</v>
      </c>
      <c r="H51">
        <v>0.52900000000000003</v>
      </c>
      <c r="J51" t="s">
        <v>598</v>
      </c>
      <c r="K51">
        <v>10</v>
      </c>
      <c r="M51" t="s">
        <v>598</v>
      </c>
      <c r="N51">
        <v>54.21</v>
      </c>
      <c r="P51" t="s">
        <v>54</v>
      </c>
      <c r="Q51">
        <v>7.56</v>
      </c>
      <c r="S51" t="s">
        <v>52</v>
      </c>
      <c r="T51">
        <v>0.22500000000000001</v>
      </c>
      <c r="V51" t="s">
        <v>598</v>
      </c>
      <c r="W51">
        <v>50.05</v>
      </c>
      <c r="Y51" t="s">
        <v>598</v>
      </c>
      <c r="Z51">
        <v>3.42</v>
      </c>
      <c r="AC51" s="4" t="s">
        <v>1066</v>
      </c>
      <c r="AD51" s="5">
        <v>31879498</v>
      </c>
      <c r="AE51" s="5">
        <v>13458041</v>
      </c>
      <c r="AF51" s="5">
        <v>26606825</v>
      </c>
      <c r="AI51" t="s">
        <v>598</v>
      </c>
      <c r="AJ51">
        <v>27.79</v>
      </c>
      <c r="AL51" t="s">
        <v>52</v>
      </c>
      <c r="AM51">
        <v>22.81</v>
      </c>
      <c r="AO51" t="s">
        <v>52</v>
      </c>
      <c r="AP51">
        <v>68.03</v>
      </c>
      <c r="AQ51">
        <v>71.98</v>
      </c>
      <c r="AS51" t="s">
        <v>52</v>
      </c>
      <c r="AT51">
        <v>8.58</v>
      </c>
      <c r="AU51">
        <v>6.09</v>
      </c>
      <c r="AW51" t="s">
        <v>52</v>
      </c>
      <c r="AX51">
        <v>26.56</v>
      </c>
    </row>
    <row r="52" spans="1:50" x14ac:dyDescent="0.35">
      <c r="A52" t="s">
        <v>53</v>
      </c>
      <c r="B52">
        <v>98.01</v>
      </c>
      <c r="D52" t="s">
        <v>599</v>
      </c>
      <c r="E52">
        <v>75.14</v>
      </c>
      <c r="G52" t="s">
        <v>53</v>
      </c>
      <c r="H52">
        <v>0.25900000000000001</v>
      </c>
      <c r="J52" t="s">
        <v>599</v>
      </c>
      <c r="K52">
        <v>25</v>
      </c>
      <c r="M52" t="s">
        <v>599</v>
      </c>
      <c r="N52">
        <v>55.27</v>
      </c>
      <c r="P52" t="s">
        <v>55</v>
      </c>
      <c r="Q52">
        <v>9.09</v>
      </c>
      <c r="S52" t="s">
        <v>53</v>
      </c>
      <c r="T52">
        <v>0.125</v>
      </c>
      <c r="V52" t="s">
        <v>599</v>
      </c>
      <c r="W52">
        <v>32.979999999999997</v>
      </c>
      <c r="Y52" t="s">
        <v>599</v>
      </c>
      <c r="Z52">
        <v>2.29</v>
      </c>
      <c r="AC52" s="4" t="s">
        <v>46</v>
      </c>
      <c r="AD52" s="5">
        <v>68265706</v>
      </c>
      <c r="AE52" s="5">
        <v>45872911</v>
      </c>
      <c r="AF52" s="5">
        <v>7947344</v>
      </c>
      <c r="AI52" t="s">
        <v>599</v>
      </c>
      <c r="AJ52">
        <v>21.64</v>
      </c>
      <c r="AL52" t="s">
        <v>53</v>
      </c>
      <c r="AM52">
        <v>11.42</v>
      </c>
      <c r="AO52" t="s">
        <v>53</v>
      </c>
      <c r="AP52">
        <v>68.260000000000005</v>
      </c>
      <c r="AQ52">
        <v>72.2</v>
      </c>
      <c r="AS52" t="s">
        <v>53</v>
      </c>
      <c r="AT52">
        <v>10.42</v>
      </c>
      <c r="AU52">
        <v>10.45</v>
      </c>
      <c r="AW52" t="s">
        <v>53</v>
      </c>
      <c r="AX52">
        <v>58.39</v>
      </c>
    </row>
    <row r="53" spans="1:50" x14ac:dyDescent="0.35">
      <c r="A53" t="s">
        <v>54</v>
      </c>
      <c r="B53">
        <v>90.53</v>
      </c>
      <c r="D53" t="s">
        <v>600</v>
      </c>
      <c r="E53">
        <v>66.84</v>
      </c>
      <c r="G53" t="s">
        <v>54</v>
      </c>
      <c r="H53">
        <v>0.24399999999999999</v>
      </c>
      <c r="J53" t="s">
        <v>600</v>
      </c>
      <c r="K53">
        <v>24</v>
      </c>
      <c r="M53" t="s">
        <v>600</v>
      </c>
      <c r="N53">
        <v>54.38</v>
      </c>
      <c r="P53" t="s">
        <v>56</v>
      </c>
      <c r="Q53">
        <v>9.7799999999999994</v>
      </c>
      <c r="S53" t="s">
        <v>54</v>
      </c>
      <c r="T53">
        <v>0.18</v>
      </c>
      <c r="V53" t="s">
        <v>600</v>
      </c>
      <c r="W53">
        <v>24.49</v>
      </c>
      <c r="Y53" t="s">
        <v>600</v>
      </c>
      <c r="Z53">
        <v>2.37</v>
      </c>
      <c r="AC53" s="4" t="s">
        <v>48</v>
      </c>
      <c r="AD53" s="5">
        <v>69413632</v>
      </c>
      <c r="AE53" s="5">
        <v>34402117</v>
      </c>
      <c r="AF53" s="5">
        <v>35273587</v>
      </c>
      <c r="AI53" t="s">
        <v>600</v>
      </c>
      <c r="AJ53">
        <v>21.11</v>
      </c>
      <c r="AL53" t="s">
        <v>54</v>
      </c>
      <c r="AM53">
        <v>12.21</v>
      </c>
      <c r="AO53" t="s">
        <v>54</v>
      </c>
      <c r="AP53">
        <v>62.42</v>
      </c>
      <c r="AQ53">
        <v>66.239999999999995</v>
      </c>
      <c r="AS53" t="s">
        <v>54</v>
      </c>
      <c r="AT53">
        <v>9.5299999999999994</v>
      </c>
      <c r="AU53">
        <v>9.86</v>
      </c>
      <c r="AW53" t="s">
        <v>54</v>
      </c>
      <c r="AX53">
        <v>53.7</v>
      </c>
    </row>
    <row r="54" spans="1:50" x14ac:dyDescent="0.35">
      <c r="A54" t="s">
        <v>55</v>
      </c>
      <c r="B54">
        <v>95.94</v>
      </c>
      <c r="D54" t="s">
        <v>601</v>
      </c>
      <c r="E54">
        <v>62.96</v>
      </c>
      <c r="G54" t="s">
        <v>55</v>
      </c>
      <c r="H54">
        <v>0.317</v>
      </c>
      <c r="J54" t="s">
        <v>601</v>
      </c>
      <c r="K54">
        <v>10</v>
      </c>
      <c r="M54" t="s">
        <v>601</v>
      </c>
      <c r="N54">
        <v>57.49</v>
      </c>
      <c r="P54" t="s">
        <v>57</v>
      </c>
      <c r="Q54">
        <v>7.3</v>
      </c>
      <c r="S54" t="s">
        <v>55</v>
      </c>
      <c r="T54">
        <v>9.6000000000000002E-2</v>
      </c>
      <c r="V54" t="s">
        <v>601</v>
      </c>
      <c r="W54">
        <v>35.72</v>
      </c>
      <c r="Y54" t="s">
        <v>601</v>
      </c>
      <c r="Z54">
        <v>2.13</v>
      </c>
      <c r="AC54" s="4" t="s">
        <v>47</v>
      </c>
      <c r="AD54" s="5">
        <v>57812947</v>
      </c>
      <c r="AE54" s="5">
        <v>36622099</v>
      </c>
      <c r="AF54" s="5">
        <v>39578848</v>
      </c>
      <c r="AI54" t="s">
        <v>55</v>
      </c>
      <c r="AJ54">
        <v>19.22</v>
      </c>
      <c r="AL54" t="s">
        <v>55</v>
      </c>
      <c r="AM54">
        <v>7.24</v>
      </c>
      <c r="AO54" t="s">
        <v>55</v>
      </c>
      <c r="AP54">
        <v>73</v>
      </c>
      <c r="AQ54">
        <v>76.66</v>
      </c>
      <c r="AS54" t="s">
        <v>55</v>
      </c>
      <c r="AT54">
        <v>11.89</v>
      </c>
      <c r="AU54">
        <v>11.48</v>
      </c>
      <c r="AW54" t="s">
        <v>55</v>
      </c>
      <c r="AX54">
        <v>72.11</v>
      </c>
    </row>
    <row r="55" spans="1:50" x14ac:dyDescent="0.35">
      <c r="A55" t="s">
        <v>56</v>
      </c>
      <c r="B55">
        <v>93.64</v>
      </c>
      <c r="D55" t="s">
        <v>602</v>
      </c>
      <c r="E55">
        <v>54.63</v>
      </c>
      <c r="G55" t="s">
        <v>56</v>
      </c>
      <c r="H55">
        <v>0.25600000000000001</v>
      </c>
      <c r="J55" t="s">
        <v>602</v>
      </c>
      <c r="K55">
        <v>4.17</v>
      </c>
      <c r="M55" t="s">
        <v>602</v>
      </c>
      <c r="N55">
        <v>48.45</v>
      </c>
      <c r="P55" t="s">
        <v>58</v>
      </c>
      <c r="Q55">
        <v>11.5</v>
      </c>
      <c r="S55" t="s">
        <v>56</v>
      </c>
      <c r="T55">
        <v>9.2999999999999999E-2</v>
      </c>
      <c r="V55" t="s">
        <v>602</v>
      </c>
      <c r="W55">
        <v>30.56</v>
      </c>
      <c r="Y55" t="s">
        <v>602</v>
      </c>
      <c r="Z55">
        <v>2.2000000000000002</v>
      </c>
      <c r="AC55" s="4" t="s">
        <v>1150</v>
      </c>
      <c r="AD55" s="5">
        <v>47609096</v>
      </c>
      <c r="AE55" s="5">
        <v>27232677</v>
      </c>
      <c r="AF55" s="5">
        <v>13473484</v>
      </c>
      <c r="AI55" t="s">
        <v>602</v>
      </c>
      <c r="AJ55">
        <v>19.32</v>
      </c>
      <c r="AL55" t="s">
        <v>56</v>
      </c>
      <c r="AM55">
        <v>9.49</v>
      </c>
      <c r="AO55" t="s">
        <v>56</v>
      </c>
      <c r="AP55">
        <v>69.69</v>
      </c>
      <c r="AQ55">
        <v>73.67</v>
      </c>
      <c r="AS55" t="s">
        <v>56</v>
      </c>
      <c r="AT55">
        <v>11.11</v>
      </c>
      <c r="AU55">
        <v>10.73</v>
      </c>
      <c r="AW55" t="s">
        <v>56</v>
      </c>
      <c r="AX55">
        <v>63</v>
      </c>
    </row>
    <row r="56" spans="1:50" x14ac:dyDescent="0.35">
      <c r="A56" t="s">
        <v>57</v>
      </c>
      <c r="B56">
        <v>94.13</v>
      </c>
      <c r="D56" t="s">
        <v>603</v>
      </c>
      <c r="E56">
        <v>62.35</v>
      </c>
      <c r="G56" t="s">
        <v>57</v>
      </c>
      <c r="H56">
        <v>0.23200000000000001</v>
      </c>
      <c r="J56" t="s">
        <v>603</v>
      </c>
      <c r="K56">
        <v>10</v>
      </c>
      <c r="M56" t="s">
        <v>603</v>
      </c>
      <c r="N56">
        <v>54.86</v>
      </c>
      <c r="P56" t="s">
        <v>59</v>
      </c>
      <c r="Q56">
        <v>7.45</v>
      </c>
      <c r="S56" t="s">
        <v>57</v>
      </c>
      <c r="T56">
        <v>8.4000000000000005E-2</v>
      </c>
      <c r="V56" t="s">
        <v>603</v>
      </c>
      <c r="W56">
        <v>32.880000000000003</v>
      </c>
      <c r="Y56" t="s">
        <v>603</v>
      </c>
      <c r="Z56">
        <v>1.9</v>
      </c>
      <c r="AC56" s="4" t="s">
        <v>1151</v>
      </c>
      <c r="AD56" s="5">
        <v>71216606</v>
      </c>
      <c r="AE56" s="5">
        <v>32777767</v>
      </c>
      <c r="AF56" s="5">
        <v>20774747</v>
      </c>
      <c r="AI56" t="s">
        <v>603</v>
      </c>
      <c r="AJ56">
        <v>17.64</v>
      </c>
      <c r="AL56" t="s">
        <v>57</v>
      </c>
      <c r="AM56">
        <v>8</v>
      </c>
      <c r="AO56" t="s">
        <v>57</v>
      </c>
      <c r="AP56">
        <v>72.150000000000006</v>
      </c>
      <c r="AQ56">
        <v>75.88</v>
      </c>
      <c r="AS56" t="s">
        <v>57</v>
      </c>
      <c r="AT56">
        <v>11.8</v>
      </c>
      <c r="AU56">
        <v>11.49</v>
      </c>
      <c r="AW56" t="s">
        <v>57</v>
      </c>
      <c r="AX56">
        <v>69.63</v>
      </c>
    </row>
    <row r="57" spans="1:50" x14ac:dyDescent="0.35">
      <c r="A57" t="s">
        <v>58</v>
      </c>
      <c r="B57">
        <v>90.99</v>
      </c>
      <c r="D57" t="s">
        <v>604</v>
      </c>
      <c r="E57">
        <v>70.540000000000006</v>
      </c>
      <c r="G57" t="s">
        <v>58</v>
      </c>
      <c r="H57">
        <v>0.14199999999999999</v>
      </c>
      <c r="J57" t="s">
        <v>604</v>
      </c>
      <c r="K57">
        <v>16.670000000000002</v>
      </c>
      <c r="M57" t="s">
        <v>604</v>
      </c>
      <c r="N57">
        <v>47.29</v>
      </c>
      <c r="P57" t="s">
        <v>60</v>
      </c>
      <c r="Q57">
        <v>9.66</v>
      </c>
      <c r="S57" t="s">
        <v>58</v>
      </c>
      <c r="T57">
        <v>7.0000000000000007E-2</v>
      </c>
      <c r="V57" t="s">
        <v>604</v>
      </c>
      <c r="W57">
        <v>34.74</v>
      </c>
      <c r="Y57" t="s">
        <v>604</v>
      </c>
      <c r="Z57">
        <v>2.14</v>
      </c>
      <c r="AC57" s="4" t="s">
        <v>51</v>
      </c>
      <c r="AD57" s="5">
        <v>56416025</v>
      </c>
      <c r="AE57" s="5">
        <v>18511325</v>
      </c>
      <c r="AF57" s="5">
        <v>38514310</v>
      </c>
      <c r="AI57" t="s">
        <v>604</v>
      </c>
      <c r="AJ57">
        <v>18.75</v>
      </c>
      <c r="AL57" t="s">
        <v>58</v>
      </c>
      <c r="AM57">
        <v>4.79</v>
      </c>
      <c r="AO57" t="s">
        <v>58</v>
      </c>
      <c r="AP57">
        <v>71.09</v>
      </c>
      <c r="AQ57">
        <v>75.28</v>
      </c>
      <c r="AS57" t="s">
        <v>58</v>
      </c>
      <c r="AT57">
        <v>11.38</v>
      </c>
      <c r="AU57">
        <v>10.84</v>
      </c>
      <c r="AW57" t="s">
        <v>58</v>
      </c>
      <c r="AX57">
        <v>63.18</v>
      </c>
    </row>
    <row r="58" spans="1:50" x14ac:dyDescent="0.35">
      <c r="A58" t="s">
        <v>59</v>
      </c>
      <c r="B58">
        <v>97.53</v>
      </c>
      <c r="D58" t="s">
        <v>605</v>
      </c>
      <c r="E58">
        <v>66.849999999999994</v>
      </c>
      <c r="G58" t="s">
        <v>59</v>
      </c>
      <c r="H58">
        <v>0.26</v>
      </c>
      <c r="J58" t="s">
        <v>605</v>
      </c>
      <c r="K58">
        <v>16.670000000000002</v>
      </c>
      <c r="M58" t="s">
        <v>605</v>
      </c>
      <c r="N58">
        <v>54.56</v>
      </c>
      <c r="P58" t="s">
        <v>62</v>
      </c>
      <c r="Q58">
        <v>10.62</v>
      </c>
      <c r="S58" t="s">
        <v>59</v>
      </c>
      <c r="T58">
        <v>0.115</v>
      </c>
      <c r="V58" t="s">
        <v>605</v>
      </c>
      <c r="W58">
        <v>31.67</v>
      </c>
      <c r="Y58" t="s">
        <v>1091</v>
      </c>
      <c r="Z58">
        <v>2.4700000000000002</v>
      </c>
      <c r="AC58" s="4" t="s">
        <v>52</v>
      </c>
      <c r="AD58" s="5">
        <v>47095262</v>
      </c>
      <c r="AE58" s="5">
        <v>15938010</v>
      </c>
      <c r="AF58" s="5">
        <v>34301224</v>
      </c>
      <c r="AI58" t="s">
        <v>59</v>
      </c>
      <c r="AJ58">
        <v>22.04</v>
      </c>
      <c r="AL58" t="s">
        <v>59</v>
      </c>
      <c r="AM58">
        <v>6.85</v>
      </c>
      <c r="AO58" t="s">
        <v>59</v>
      </c>
      <c r="AP58">
        <v>68.28</v>
      </c>
      <c r="AQ58">
        <v>72.22</v>
      </c>
      <c r="AS58" t="s">
        <v>59</v>
      </c>
      <c r="AT58">
        <v>11.26</v>
      </c>
      <c r="AU58">
        <v>11.02</v>
      </c>
      <c r="AW58" t="s">
        <v>59</v>
      </c>
      <c r="AX58">
        <v>63.46</v>
      </c>
    </row>
    <row r="59" spans="1:50" x14ac:dyDescent="0.35">
      <c r="A59" t="s">
        <v>60</v>
      </c>
      <c r="B59">
        <v>89.92</v>
      </c>
      <c r="D59" t="s">
        <v>606</v>
      </c>
      <c r="E59">
        <v>64.2</v>
      </c>
      <c r="G59" t="s">
        <v>60</v>
      </c>
      <c r="H59">
        <v>0.48</v>
      </c>
      <c r="J59" t="s">
        <v>606</v>
      </c>
      <c r="K59">
        <v>8</v>
      </c>
      <c r="M59" t="s">
        <v>606</v>
      </c>
      <c r="N59">
        <v>53.09</v>
      </c>
      <c r="P59" t="s">
        <v>63</v>
      </c>
      <c r="Q59">
        <v>8.65</v>
      </c>
      <c r="S59" t="s">
        <v>60</v>
      </c>
      <c r="T59">
        <v>0.192</v>
      </c>
      <c r="V59" t="s">
        <v>606</v>
      </c>
      <c r="W59">
        <v>42.68</v>
      </c>
      <c r="Y59" t="s">
        <v>606</v>
      </c>
      <c r="Z59">
        <v>2.72</v>
      </c>
      <c r="AC59" s="4" t="s">
        <v>60</v>
      </c>
      <c r="AD59" s="5">
        <v>60521200</v>
      </c>
      <c r="AE59" s="5">
        <v>13779000</v>
      </c>
      <c r="AF59" s="5">
        <v>21334398</v>
      </c>
      <c r="AI59" t="s">
        <v>606</v>
      </c>
      <c r="AJ59">
        <v>20.34</v>
      </c>
      <c r="AL59" t="s">
        <v>60</v>
      </c>
      <c r="AM59">
        <v>14.78</v>
      </c>
      <c r="AO59" t="s">
        <v>60</v>
      </c>
      <c r="AP59">
        <v>70.13</v>
      </c>
      <c r="AQ59">
        <v>74.14</v>
      </c>
      <c r="AS59" t="s">
        <v>60</v>
      </c>
      <c r="AT59">
        <v>9.9600000000000009</v>
      </c>
      <c r="AU59">
        <v>7.72</v>
      </c>
      <c r="AW59" t="s">
        <v>60</v>
      </c>
      <c r="AX59">
        <v>37.880000000000003</v>
      </c>
    </row>
    <row r="60" spans="1:50" x14ac:dyDescent="0.35">
      <c r="A60" t="s">
        <v>61</v>
      </c>
      <c r="B60">
        <v>94.93</v>
      </c>
      <c r="D60" t="s">
        <v>61</v>
      </c>
      <c r="E60">
        <v>65.34</v>
      </c>
      <c r="G60" t="s">
        <v>61</v>
      </c>
      <c r="H60">
        <v>0.42499999999999999</v>
      </c>
      <c r="J60" t="s">
        <v>61</v>
      </c>
      <c r="K60">
        <v>10.94</v>
      </c>
      <c r="M60" t="s">
        <v>61</v>
      </c>
      <c r="N60">
        <v>61.04</v>
      </c>
      <c r="P60" t="s">
        <v>64</v>
      </c>
      <c r="Q60">
        <v>6.83</v>
      </c>
      <c r="S60" t="s">
        <v>61</v>
      </c>
      <c r="T60">
        <v>0.16500000000000001</v>
      </c>
      <c r="V60" t="s">
        <v>61</v>
      </c>
      <c r="W60">
        <v>37.549999999999997</v>
      </c>
      <c r="Y60" t="s">
        <v>61</v>
      </c>
      <c r="Z60">
        <v>2.46</v>
      </c>
      <c r="AC60" s="4" t="s">
        <v>1111</v>
      </c>
      <c r="AD60" s="5">
        <v>238094588</v>
      </c>
      <c r="AE60" s="5">
        <v>38286764</v>
      </c>
      <c r="AF60" s="5">
        <v>36420845</v>
      </c>
      <c r="AI60" t="s">
        <v>61</v>
      </c>
      <c r="AJ60">
        <v>19.190000000000001</v>
      </c>
      <c r="AL60" t="s">
        <v>61</v>
      </c>
      <c r="AM60">
        <v>5.95</v>
      </c>
      <c r="AO60" t="s">
        <v>61</v>
      </c>
      <c r="AP60">
        <v>68.27</v>
      </c>
      <c r="AQ60">
        <v>72.209999999999994</v>
      </c>
      <c r="AS60" t="s">
        <v>61</v>
      </c>
      <c r="AT60">
        <v>9.1999999999999993</v>
      </c>
      <c r="AU60">
        <v>9.3699999999999992</v>
      </c>
      <c r="AW60" t="s">
        <v>61</v>
      </c>
      <c r="AX60">
        <v>49.08</v>
      </c>
    </row>
    <row r="61" spans="1:50" x14ac:dyDescent="0.35">
      <c r="A61" t="s">
        <v>62</v>
      </c>
      <c r="B61">
        <v>89.57</v>
      </c>
      <c r="D61" t="s">
        <v>607</v>
      </c>
      <c r="E61">
        <v>48.5</v>
      </c>
      <c r="G61" t="s">
        <v>62</v>
      </c>
      <c r="H61">
        <v>0.85099999999999998</v>
      </c>
      <c r="J61" t="s">
        <v>607</v>
      </c>
      <c r="K61" t="s">
        <v>548</v>
      </c>
      <c r="M61" t="s">
        <v>607</v>
      </c>
      <c r="N61">
        <v>52.34</v>
      </c>
      <c r="P61" t="s">
        <v>65</v>
      </c>
      <c r="Q61">
        <v>5.88</v>
      </c>
      <c r="S61" t="s">
        <v>62</v>
      </c>
      <c r="T61">
        <v>0.33500000000000002</v>
      </c>
      <c r="V61" t="s">
        <v>607</v>
      </c>
      <c r="W61">
        <v>31.23</v>
      </c>
      <c r="Y61" t="s">
        <v>607</v>
      </c>
      <c r="Z61">
        <v>2.8</v>
      </c>
      <c r="AC61" s="4" t="s">
        <v>69</v>
      </c>
      <c r="AD61" s="5">
        <v>43419818</v>
      </c>
      <c r="AE61" s="5">
        <v>40068708</v>
      </c>
      <c r="AF61" s="5">
        <v>36623906</v>
      </c>
      <c r="AI61" t="s">
        <v>607</v>
      </c>
      <c r="AJ61">
        <v>31.93</v>
      </c>
      <c r="AL61" t="s">
        <v>62</v>
      </c>
      <c r="AM61">
        <v>13.72</v>
      </c>
      <c r="AO61" t="s">
        <v>62</v>
      </c>
      <c r="AP61">
        <v>63.22</v>
      </c>
      <c r="AQ61">
        <v>67.069999999999993</v>
      </c>
      <c r="AS61" t="s">
        <v>62</v>
      </c>
      <c r="AT61">
        <v>8.36</v>
      </c>
      <c r="AU61">
        <v>7.29</v>
      </c>
      <c r="AW61" t="s">
        <v>62</v>
      </c>
      <c r="AX61">
        <v>28.15</v>
      </c>
    </row>
    <row r="62" spans="1:50" x14ac:dyDescent="0.35">
      <c r="A62" t="s">
        <v>63</v>
      </c>
      <c r="B62">
        <v>95.57</v>
      </c>
      <c r="D62" t="s">
        <v>608</v>
      </c>
      <c r="E62">
        <v>53.79</v>
      </c>
      <c r="G62" t="s">
        <v>63</v>
      </c>
      <c r="H62">
        <v>0.48199999999999998</v>
      </c>
      <c r="J62" t="s">
        <v>608</v>
      </c>
      <c r="K62">
        <v>6.67</v>
      </c>
      <c r="M62" t="s">
        <v>608</v>
      </c>
      <c r="N62">
        <v>70.150000000000006</v>
      </c>
      <c r="P62" t="s">
        <v>66</v>
      </c>
      <c r="Q62">
        <v>9.5399999999999991</v>
      </c>
      <c r="S62" t="s">
        <v>63</v>
      </c>
      <c r="T62">
        <v>0.20200000000000001</v>
      </c>
      <c r="V62" t="s">
        <v>608</v>
      </c>
      <c r="W62">
        <v>33.81</v>
      </c>
      <c r="Y62" t="s">
        <v>608</v>
      </c>
      <c r="Z62">
        <v>2.56</v>
      </c>
      <c r="AC62" s="4" t="s">
        <v>68</v>
      </c>
      <c r="AD62" s="5">
        <v>45935381</v>
      </c>
      <c r="AE62" s="5">
        <v>14606555</v>
      </c>
      <c r="AF62" s="5">
        <v>23097206</v>
      </c>
      <c r="AI62" t="s">
        <v>608</v>
      </c>
      <c r="AJ62">
        <v>21.3</v>
      </c>
      <c r="AL62" t="s">
        <v>63</v>
      </c>
      <c r="AM62">
        <v>7.34</v>
      </c>
      <c r="AO62" t="s">
        <v>63</v>
      </c>
      <c r="AP62">
        <v>69.58</v>
      </c>
      <c r="AQ62">
        <v>73.55</v>
      </c>
      <c r="AS62" t="s">
        <v>63</v>
      </c>
      <c r="AT62">
        <v>8.61</v>
      </c>
      <c r="AU62">
        <v>8.58</v>
      </c>
      <c r="AW62" t="s">
        <v>63</v>
      </c>
      <c r="AX62">
        <v>45.64</v>
      </c>
    </row>
    <row r="63" spans="1:50" x14ac:dyDescent="0.35">
      <c r="A63" t="s">
        <v>64</v>
      </c>
      <c r="B63">
        <v>96.17</v>
      </c>
      <c r="D63" t="s">
        <v>609</v>
      </c>
      <c r="E63">
        <v>59.38</v>
      </c>
      <c r="G63" t="s">
        <v>64</v>
      </c>
      <c r="H63">
        <v>0.42299999999999999</v>
      </c>
      <c r="J63" t="s">
        <v>609</v>
      </c>
      <c r="K63">
        <v>8.57</v>
      </c>
      <c r="M63" t="s">
        <v>609</v>
      </c>
      <c r="N63">
        <v>69.87</v>
      </c>
      <c r="P63" t="s">
        <v>67</v>
      </c>
      <c r="Q63">
        <v>7.41</v>
      </c>
      <c r="S63" t="s">
        <v>64</v>
      </c>
      <c r="T63">
        <v>0.19500000000000001</v>
      </c>
      <c r="V63" t="s">
        <v>609</v>
      </c>
      <c r="W63">
        <v>39.46</v>
      </c>
      <c r="Y63" t="s">
        <v>609</v>
      </c>
      <c r="Z63">
        <v>2.39</v>
      </c>
      <c r="AC63" s="4" t="s">
        <v>62</v>
      </c>
      <c r="AD63" s="5">
        <v>67812544</v>
      </c>
      <c r="AE63" s="5">
        <v>29600531</v>
      </c>
      <c r="AF63" s="5">
        <v>88227005</v>
      </c>
      <c r="AI63" t="s">
        <v>609</v>
      </c>
      <c r="AJ63">
        <v>27.87</v>
      </c>
      <c r="AL63" t="s">
        <v>64</v>
      </c>
      <c r="AM63">
        <v>7.13</v>
      </c>
      <c r="AO63" t="s">
        <v>64</v>
      </c>
      <c r="AP63">
        <v>67.63</v>
      </c>
      <c r="AQ63">
        <v>71.58</v>
      </c>
      <c r="AS63" t="s">
        <v>64</v>
      </c>
      <c r="AT63">
        <v>7.93</v>
      </c>
      <c r="AU63">
        <v>7.9</v>
      </c>
      <c r="AW63" t="s">
        <v>64</v>
      </c>
      <c r="AX63">
        <v>37.1</v>
      </c>
    </row>
    <row r="64" spans="1:50" x14ac:dyDescent="0.35">
      <c r="A64" t="s">
        <v>65</v>
      </c>
      <c r="B64">
        <v>94.28</v>
      </c>
      <c r="D64" t="s">
        <v>610</v>
      </c>
      <c r="E64">
        <v>61.72</v>
      </c>
      <c r="G64" t="s">
        <v>65</v>
      </c>
      <c r="H64">
        <v>0.46500000000000002</v>
      </c>
      <c r="J64" t="s">
        <v>610</v>
      </c>
      <c r="K64">
        <v>13.33</v>
      </c>
      <c r="M64" t="s">
        <v>610</v>
      </c>
      <c r="N64">
        <v>58.97</v>
      </c>
      <c r="P64" t="s">
        <v>68</v>
      </c>
      <c r="Q64">
        <v>9.86</v>
      </c>
      <c r="S64" t="s">
        <v>65</v>
      </c>
      <c r="T64">
        <v>0.24</v>
      </c>
      <c r="V64" t="s">
        <v>610</v>
      </c>
      <c r="W64">
        <v>28.55</v>
      </c>
      <c r="Y64" t="s">
        <v>610</v>
      </c>
      <c r="Z64">
        <v>2.5099999999999998</v>
      </c>
      <c r="AC64" s="4" t="s">
        <v>67</v>
      </c>
      <c r="AD64" s="5">
        <v>66069660</v>
      </c>
      <c r="AE64" s="5">
        <v>38665531</v>
      </c>
      <c r="AF64" s="5">
        <v>43720571</v>
      </c>
      <c r="AI64" t="s">
        <v>610</v>
      </c>
      <c r="AJ64">
        <v>26.68</v>
      </c>
      <c r="AL64" t="s">
        <v>65</v>
      </c>
      <c r="AM64">
        <v>5.88</v>
      </c>
      <c r="AO64" t="s">
        <v>65</v>
      </c>
      <c r="AP64">
        <v>65.09</v>
      </c>
      <c r="AQ64">
        <v>69.040000000000006</v>
      </c>
      <c r="AS64" t="s">
        <v>65</v>
      </c>
      <c r="AT64">
        <v>8.66</v>
      </c>
      <c r="AU64">
        <v>8.5500000000000007</v>
      </c>
      <c r="AW64" t="s">
        <v>65</v>
      </c>
      <c r="AX64">
        <v>43.87</v>
      </c>
    </row>
    <row r="65" spans="1:50" x14ac:dyDescent="0.35">
      <c r="A65" t="s">
        <v>66</v>
      </c>
      <c r="B65">
        <v>97.73</v>
      </c>
      <c r="D65" t="s">
        <v>611</v>
      </c>
      <c r="E65">
        <v>59.46</v>
      </c>
      <c r="G65" t="s">
        <v>66</v>
      </c>
      <c r="H65">
        <v>0.33600000000000002</v>
      </c>
      <c r="J65" t="s">
        <v>611</v>
      </c>
      <c r="K65">
        <v>8.57</v>
      </c>
      <c r="M65" t="s">
        <v>611</v>
      </c>
      <c r="N65">
        <v>62.19</v>
      </c>
      <c r="P65" t="s">
        <v>69</v>
      </c>
      <c r="Q65">
        <v>6.85</v>
      </c>
      <c r="S65" t="s">
        <v>66</v>
      </c>
      <c r="T65">
        <v>0.14099999999999999</v>
      </c>
      <c r="V65" t="s">
        <v>611</v>
      </c>
      <c r="W65">
        <v>35.54</v>
      </c>
      <c r="Y65" t="s">
        <v>611</v>
      </c>
      <c r="Z65">
        <v>2.41</v>
      </c>
      <c r="AC65" s="4" t="s">
        <v>70</v>
      </c>
      <c r="AD65" s="5">
        <v>79882201</v>
      </c>
      <c r="AE65" s="5">
        <v>40837808</v>
      </c>
      <c r="AF65" s="5">
        <v>28385395</v>
      </c>
      <c r="AI65" t="s">
        <v>611</v>
      </c>
      <c r="AJ65">
        <v>19.05</v>
      </c>
      <c r="AL65" t="s">
        <v>66</v>
      </c>
      <c r="AM65">
        <v>4.16</v>
      </c>
      <c r="AO65" t="s">
        <v>66</v>
      </c>
      <c r="AP65">
        <v>68.92</v>
      </c>
      <c r="AQ65">
        <v>72.86</v>
      </c>
      <c r="AS65" t="s">
        <v>66</v>
      </c>
      <c r="AT65">
        <v>8.7799999999999994</v>
      </c>
      <c r="AU65">
        <v>9.2200000000000006</v>
      </c>
      <c r="AW65" t="s">
        <v>66</v>
      </c>
      <c r="AX65">
        <v>46.7</v>
      </c>
    </row>
    <row r="66" spans="1:50" x14ac:dyDescent="0.35">
      <c r="A66" t="s">
        <v>67</v>
      </c>
      <c r="B66">
        <v>93.32</v>
      </c>
      <c r="D66" t="s">
        <v>612</v>
      </c>
      <c r="E66">
        <v>47.79</v>
      </c>
      <c r="G66" t="s">
        <v>67</v>
      </c>
      <c r="H66">
        <v>0.751</v>
      </c>
      <c r="J66" t="s">
        <v>612</v>
      </c>
      <c r="K66" t="s">
        <v>548</v>
      </c>
      <c r="M66" t="s">
        <v>612</v>
      </c>
      <c r="N66">
        <v>60.06</v>
      </c>
      <c r="P66" t="s">
        <v>70</v>
      </c>
      <c r="Q66">
        <v>8.67</v>
      </c>
      <c r="S66" t="s">
        <v>67</v>
      </c>
      <c r="T66">
        <v>6.7000000000000004E-2</v>
      </c>
      <c r="V66" t="s">
        <v>612</v>
      </c>
      <c r="W66">
        <v>31.2</v>
      </c>
      <c r="Y66" t="s">
        <v>612</v>
      </c>
      <c r="Z66">
        <v>2.54</v>
      </c>
      <c r="AC66" s="4" t="s">
        <v>63</v>
      </c>
      <c r="AD66" s="5">
        <v>101903411</v>
      </c>
      <c r="AE66" s="5">
        <v>28706509</v>
      </c>
      <c r="AF66" s="5">
        <v>62836588</v>
      </c>
      <c r="AI66" t="s">
        <v>612</v>
      </c>
      <c r="AJ66">
        <v>19.05</v>
      </c>
      <c r="AL66" t="s">
        <v>67</v>
      </c>
      <c r="AM66">
        <v>6.34</v>
      </c>
      <c r="AO66" t="s">
        <v>67</v>
      </c>
      <c r="AP66">
        <v>67.77</v>
      </c>
      <c r="AQ66">
        <v>71.72</v>
      </c>
      <c r="AS66" t="s">
        <v>67</v>
      </c>
      <c r="AT66">
        <v>8.6999999999999993</v>
      </c>
      <c r="AU66">
        <v>8.11</v>
      </c>
      <c r="AW66" t="s">
        <v>67</v>
      </c>
      <c r="AX66">
        <v>40.36</v>
      </c>
    </row>
    <row r="67" spans="1:50" x14ac:dyDescent="0.35">
      <c r="A67" t="s">
        <v>68</v>
      </c>
      <c r="B67">
        <v>97.19</v>
      </c>
      <c r="D67" t="s">
        <v>613</v>
      </c>
      <c r="E67">
        <v>64.430000000000007</v>
      </c>
      <c r="G67" t="s">
        <v>68</v>
      </c>
      <c r="H67">
        <v>0.16200000000000001</v>
      </c>
      <c r="J67" t="s">
        <v>613</v>
      </c>
      <c r="K67">
        <v>8.89</v>
      </c>
      <c r="M67" t="s">
        <v>613</v>
      </c>
      <c r="N67">
        <v>57.14</v>
      </c>
      <c r="P67" t="s">
        <v>71</v>
      </c>
      <c r="Q67">
        <v>8.01</v>
      </c>
      <c r="S67" t="s">
        <v>68</v>
      </c>
      <c r="T67">
        <v>7.0000000000000007E-2</v>
      </c>
      <c r="V67" t="s">
        <v>613</v>
      </c>
      <c r="W67">
        <v>39.72</v>
      </c>
      <c r="Y67" t="s">
        <v>613</v>
      </c>
      <c r="Z67">
        <v>2.5499999999999998</v>
      </c>
      <c r="AC67" s="4" t="s">
        <v>65</v>
      </c>
      <c r="AD67" s="5">
        <v>36681640</v>
      </c>
      <c r="AE67" s="5">
        <v>34450311</v>
      </c>
      <c r="AF67" s="5">
        <v>36994977</v>
      </c>
      <c r="AI67" t="s">
        <v>613</v>
      </c>
      <c r="AJ67">
        <v>17.649999999999999</v>
      </c>
      <c r="AL67" t="s">
        <v>68</v>
      </c>
      <c r="AM67">
        <v>6.6</v>
      </c>
      <c r="AO67" t="s">
        <v>68</v>
      </c>
      <c r="AP67">
        <v>71.150000000000006</v>
      </c>
      <c r="AQ67">
        <v>75.41</v>
      </c>
      <c r="AS67" t="s">
        <v>68</v>
      </c>
      <c r="AT67">
        <v>9.09</v>
      </c>
      <c r="AU67">
        <v>9.33</v>
      </c>
      <c r="AW67" t="s">
        <v>68</v>
      </c>
      <c r="AX67">
        <v>49.9</v>
      </c>
    </row>
    <row r="68" spans="1:50" x14ac:dyDescent="0.35">
      <c r="A68" t="s">
        <v>69</v>
      </c>
      <c r="B68">
        <v>94.77</v>
      </c>
      <c r="D68" t="s">
        <v>614</v>
      </c>
      <c r="E68">
        <v>49.4</v>
      </c>
      <c r="G68" t="s">
        <v>69</v>
      </c>
      <c r="H68">
        <v>0.49199999999999999</v>
      </c>
      <c r="J68" t="s">
        <v>614</v>
      </c>
      <c r="K68">
        <v>5.71</v>
      </c>
      <c r="M68" t="s">
        <v>614</v>
      </c>
      <c r="N68">
        <v>67.2</v>
      </c>
      <c r="P68" t="s">
        <v>1084</v>
      </c>
      <c r="Q68">
        <v>6.25</v>
      </c>
      <c r="S68" t="s">
        <v>69</v>
      </c>
      <c r="T68">
        <v>0.20699999999999999</v>
      </c>
      <c r="V68" t="s">
        <v>614</v>
      </c>
      <c r="W68">
        <v>28.65</v>
      </c>
      <c r="Y68" t="s">
        <v>614</v>
      </c>
      <c r="Z68">
        <v>2.4500000000000002</v>
      </c>
      <c r="AC68" s="4" t="s">
        <v>64</v>
      </c>
      <c r="AD68" s="5">
        <v>46266210</v>
      </c>
      <c r="AE68" s="5">
        <v>37239378</v>
      </c>
      <c r="AF68" s="5">
        <v>35312522</v>
      </c>
      <c r="AI68" t="s">
        <v>614</v>
      </c>
      <c r="AJ68">
        <v>22.55</v>
      </c>
      <c r="AL68" t="s">
        <v>69</v>
      </c>
      <c r="AM68">
        <v>6.8</v>
      </c>
      <c r="AO68" t="s">
        <v>69</v>
      </c>
      <c r="AP68">
        <v>68.38</v>
      </c>
      <c r="AQ68">
        <v>72.31</v>
      </c>
      <c r="AS68" t="s">
        <v>69</v>
      </c>
      <c r="AT68">
        <v>8.4499999999999993</v>
      </c>
      <c r="AU68">
        <v>8.11</v>
      </c>
      <c r="AW68" t="s">
        <v>69</v>
      </c>
      <c r="AX68">
        <v>38.450000000000003</v>
      </c>
    </row>
    <row r="69" spans="1:50" x14ac:dyDescent="0.35">
      <c r="A69" t="s">
        <v>70</v>
      </c>
      <c r="B69">
        <v>92.7</v>
      </c>
      <c r="D69" t="s">
        <v>615</v>
      </c>
      <c r="E69">
        <v>61.01</v>
      </c>
      <c r="G69" t="s">
        <v>70</v>
      </c>
      <c r="H69">
        <v>0.52700000000000002</v>
      </c>
      <c r="J69" t="s">
        <v>615</v>
      </c>
      <c r="K69">
        <v>8.57</v>
      </c>
      <c r="M69" t="s">
        <v>615</v>
      </c>
      <c r="N69">
        <v>69.209999999999994</v>
      </c>
      <c r="P69" t="s">
        <v>72</v>
      </c>
      <c r="Q69">
        <v>7.21</v>
      </c>
      <c r="S69" t="s">
        <v>70</v>
      </c>
      <c r="T69">
        <v>0.217</v>
      </c>
      <c r="V69" t="s">
        <v>615</v>
      </c>
      <c r="W69">
        <v>40.409999999999997</v>
      </c>
      <c r="Y69" t="s">
        <v>615</v>
      </c>
      <c r="Z69">
        <v>2.6</v>
      </c>
      <c r="AC69" s="4" t="s">
        <v>66</v>
      </c>
      <c r="AD69" s="5">
        <v>18790978</v>
      </c>
      <c r="AE69" s="5">
        <v>23950156</v>
      </c>
      <c r="AF69" s="5">
        <v>35128885</v>
      </c>
      <c r="AI69" t="s">
        <v>615</v>
      </c>
      <c r="AJ69">
        <v>29.59</v>
      </c>
      <c r="AL69" t="s">
        <v>70</v>
      </c>
      <c r="AM69">
        <v>6.8</v>
      </c>
      <c r="AO69" t="s">
        <v>70</v>
      </c>
      <c r="AP69">
        <v>66.34</v>
      </c>
      <c r="AQ69">
        <v>70.33</v>
      </c>
      <c r="AS69" t="s">
        <v>70</v>
      </c>
      <c r="AT69">
        <v>8.39</v>
      </c>
      <c r="AU69">
        <v>8.0500000000000007</v>
      </c>
      <c r="AW69" t="s">
        <v>70</v>
      </c>
      <c r="AX69">
        <v>34.96</v>
      </c>
    </row>
    <row r="70" spans="1:50" x14ac:dyDescent="0.35">
      <c r="A70" t="s">
        <v>71</v>
      </c>
      <c r="B70">
        <v>95.27</v>
      </c>
      <c r="D70" t="s">
        <v>616</v>
      </c>
      <c r="E70">
        <v>48.7</v>
      </c>
      <c r="G70" t="s">
        <v>71</v>
      </c>
      <c r="H70">
        <v>0.81100000000000005</v>
      </c>
      <c r="J70" t="s">
        <v>616</v>
      </c>
      <c r="K70" t="s">
        <v>548</v>
      </c>
      <c r="M70" t="s">
        <v>616</v>
      </c>
      <c r="N70">
        <v>66.95</v>
      </c>
      <c r="P70" t="s">
        <v>73</v>
      </c>
      <c r="Q70">
        <v>6.52</v>
      </c>
      <c r="S70" t="s">
        <v>71</v>
      </c>
      <c r="T70">
        <v>0.24199999999999999</v>
      </c>
      <c r="V70" t="s">
        <v>616</v>
      </c>
      <c r="W70">
        <v>37.79</v>
      </c>
      <c r="Y70" t="s">
        <v>616</v>
      </c>
      <c r="Z70">
        <v>2.6</v>
      </c>
      <c r="AC70" s="4" t="s">
        <v>1153</v>
      </c>
      <c r="AD70" s="5">
        <v>16976382</v>
      </c>
      <c r="AE70" s="5">
        <v>8047733</v>
      </c>
      <c r="AF70" s="5">
        <v>2633531</v>
      </c>
      <c r="AI70" t="s">
        <v>616</v>
      </c>
      <c r="AJ70">
        <v>28.79</v>
      </c>
      <c r="AL70" t="s">
        <v>71</v>
      </c>
      <c r="AM70">
        <v>6.45</v>
      </c>
      <c r="AO70" t="s">
        <v>71</v>
      </c>
      <c r="AP70">
        <v>66.77</v>
      </c>
      <c r="AQ70">
        <v>70.739999999999995</v>
      </c>
      <c r="AS70" t="s">
        <v>71</v>
      </c>
      <c r="AT70">
        <v>8.67</v>
      </c>
      <c r="AU70">
        <v>8.7200000000000006</v>
      </c>
      <c r="AW70" t="s">
        <v>71</v>
      </c>
      <c r="AX70">
        <v>40.68</v>
      </c>
    </row>
    <row r="71" spans="1:50" x14ac:dyDescent="0.35">
      <c r="A71" t="s">
        <v>1084</v>
      </c>
      <c r="B71">
        <v>89.11</v>
      </c>
      <c r="D71" t="s">
        <v>617</v>
      </c>
      <c r="E71">
        <v>51.83</v>
      </c>
      <c r="G71" t="s">
        <v>1084</v>
      </c>
      <c r="H71">
        <v>0.53900000000000003</v>
      </c>
      <c r="J71" t="s">
        <v>617</v>
      </c>
      <c r="K71">
        <v>6.67</v>
      </c>
      <c r="M71" t="s">
        <v>617</v>
      </c>
      <c r="N71">
        <v>60.3</v>
      </c>
      <c r="P71" t="s">
        <v>74</v>
      </c>
      <c r="Q71">
        <v>6.71</v>
      </c>
      <c r="S71" t="s">
        <v>1084</v>
      </c>
      <c r="T71">
        <v>0.33300000000000002</v>
      </c>
      <c r="V71" t="s">
        <v>617</v>
      </c>
      <c r="W71">
        <v>26.87</v>
      </c>
      <c r="Y71" t="s">
        <v>617</v>
      </c>
      <c r="Z71">
        <v>2.4</v>
      </c>
      <c r="AC71" s="4" t="s">
        <v>76</v>
      </c>
      <c r="AD71" s="5">
        <v>14146553</v>
      </c>
      <c r="AE71" s="5">
        <v>6676349</v>
      </c>
      <c r="AF71" s="5">
        <v>5041919</v>
      </c>
      <c r="AI71" t="s">
        <v>617</v>
      </c>
      <c r="AJ71">
        <v>21.25</v>
      </c>
      <c r="AL71" t="s">
        <v>617</v>
      </c>
      <c r="AM71">
        <v>5.56</v>
      </c>
      <c r="AO71" t="s">
        <v>617</v>
      </c>
      <c r="AP71">
        <v>70.290000000000006</v>
      </c>
      <c r="AQ71">
        <v>74.3</v>
      </c>
      <c r="AS71" t="s">
        <v>617</v>
      </c>
      <c r="AT71">
        <v>8.9499999999999993</v>
      </c>
      <c r="AU71">
        <v>8.6999999999999993</v>
      </c>
      <c r="AW71" t="s">
        <v>1182</v>
      </c>
      <c r="AX71">
        <v>44.32</v>
      </c>
    </row>
    <row r="72" spans="1:50" x14ac:dyDescent="0.35">
      <c r="A72" t="s">
        <v>72</v>
      </c>
      <c r="B72">
        <v>90.05</v>
      </c>
      <c r="D72" t="s">
        <v>618</v>
      </c>
      <c r="E72">
        <v>61.04</v>
      </c>
      <c r="G72" t="s">
        <v>72</v>
      </c>
      <c r="H72">
        <v>0.49399999999999999</v>
      </c>
      <c r="J72" t="s">
        <v>618</v>
      </c>
      <c r="K72">
        <v>7.5</v>
      </c>
      <c r="M72" t="s">
        <v>618</v>
      </c>
      <c r="N72">
        <v>60.17</v>
      </c>
      <c r="P72" t="s">
        <v>75</v>
      </c>
      <c r="Q72">
        <v>8.76</v>
      </c>
      <c r="S72" t="s">
        <v>72</v>
      </c>
      <c r="T72">
        <v>0.20699999999999999</v>
      </c>
      <c r="V72" t="s">
        <v>618</v>
      </c>
      <c r="W72">
        <v>37.07</v>
      </c>
      <c r="Y72" t="s">
        <v>618</v>
      </c>
      <c r="Z72">
        <v>2.5099999999999998</v>
      </c>
      <c r="AC72" s="4" t="s">
        <v>73</v>
      </c>
      <c r="AD72" s="5">
        <v>36145903</v>
      </c>
      <c r="AE72" s="5">
        <v>21549408</v>
      </c>
      <c r="AF72" s="5">
        <v>22430645</v>
      </c>
      <c r="AI72" t="s">
        <v>618</v>
      </c>
      <c r="AJ72">
        <v>27.06</v>
      </c>
      <c r="AL72" t="s">
        <v>72</v>
      </c>
      <c r="AM72">
        <v>6.92</v>
      </c>
      <c r="AO72" t="s">
        <v>72</v>
      </c>
      <c r="AP72">
        <v>66.59</v>
      </c>
      <c r="AQ72">
        <v>70.56</v>
      </c>
      <c r="AS72" t="s">
        <v>72</v>
      </c>
      <c r="AT72">
        <v>8.9600000000000009</v>
      </c>
      <c r="AU72">
        <v>8.6300000000000008</v>
      </c>
      <c r="AW72" t="s">
        <v>72</v>
      </c>
      <c r="AX72">
        <v>42.75</v>
      </c>
    </row>
    <row r="73" spans="1:50" x14ac:dyDescent="0.35">
      <c r="A73" t="s">
        <v>73</v>
      </c>
      <c r="B73">
        <v>93.94</v>
      </c>
      <c r="D73" t="s">
        <v>619</v>
      </c>
      <c r="E73">
        <v>68.27</v>
      </c>
      <c r="G73" t="s">
        <v>73</v>
      </c>
      <c r="H73">
        <v>0.19800000000000001</v>
      </c>
      <c r="J73" t="s">
        <v>619</v>
      </c>
      <c r="K73">
        <v>13.95</v>
      </c>
      <c r="M73" t="s">
        <v>619</v>
      </c>
      <c r="N73">
        <v>54.29</v>
      </c>
      <c r="P73" t="s">
        <v>76</v>
      </c>
      <c r="Q73">
        <v>6.81</v>
      </c>
      <c r="S73" t="s">
        <v>73</v>
      </c>
      <c r="T73">
        <v>9.1999999999999998E-2</v>
      </c>
      <c r="V73" t="s">
        <v>619</v>
      </c>
      <c r="W73">
        <v>35.21</v>
      </c>
      <c r="Y73" t="s">
        <v>619</v>
      </c>
      <c r="Z73">
        <v>2.27</v>
      </c>
      <c r="AC73" s="4" t="s">
        <v>78</v>
      </c>
      <c r="AD73" s="5">
        <v>17340476</v>
      </c>
      <c r="AE73" s="5">
        <v>7596246</v>
      </c>
      <c r="AF73" s="5">
        <v>3289499</v>
      </c>
      <c r="AI73" t="s">
        <v>619</v>
      </c>
      <c r="AJ73">
        <v>14.65</v>
      </c>
      <c r="AL73" t="s">
        <v>73</v>
      </c>
      <c r="AM73">
        <v>4.17</v>
      </c>
      <c r="AO73" t="s">
        <v>73</v>
      </c>
      <c r="AP73">
        <v>72.39</v>
      </c>
      <c r="AQ73">
        <v>76.09</v>
      </c>
      <c r="AS73" t="s">
        <v>73</v>
      </c>
      <c r="AT73">
        <v>11.71</v>
      </c>
      <c r="AU73">
        <v>11.56</v>
      </c>
      <c r="AW73" t="s">
        <v>73</v>
      </c>
      <c r="AX73">
        <v>67.930000000000007</v>
      </c>
    </row>
    <row r="74" spans="1:50" x14ac:dyDescent="0.35">
      <c r="A74" t="s">
        <v>74</v>
      </c>
      <c r="B74">
        <v>96.64</v>
      </c>
      <c r="D74" t="s">
        <v>620</v>
      </c>
      <c r="E74">
        <v>64.23</v>
      </c>
      <c r="G74" t="s">
        <v>74</v>
      </c>
      <c r="H74">
        <v>0.182</v>
      </c>
      <c r="J74" t="s">
        <v>620</v>
      </c>
      <c r="K74">
        <v>10</v>
      </c>
      <c r="M74" t="s">
        <v>620</v>
      </c>
      <c r="N74">
        <v>56.55</v>
      </c>
      <c r="P74" t="s">
        <v>77</v>
      </c>
      <c r="Q74">
        <v>6.21</v>
      </c>
      <c r="S74" t="s">
        <v>74</v>
      </c>
      <c r="T74">
        <v>0.109</v>
      </c>
      <c r="V74" t="s">
        <v>620</v>
      </c>
      <c r="W74">
        <v>36.53</v>
      </c>
      <c r="Y74" t="s">
        <v>620</v>
      </c>
      <c r="Z74">
        <v>2.4500000000000002</v>
      </c>
      <c r="AC74" s="4" t="s">
        <v>1154</v>
      </c>
      <c r="AD74" s="5">
        <v>10068172</v>
      </c>
      <c r="AE74" s="5">
        <v>11517148</v>
      </c>
      <c r="AF74" s="5">
        <v>18943815</v>
      </c>
      <c r="AI74" t="s">
        <v>620</v>
      </c>
      <c r="AJ74">
        <v>17.25</v>
      </c>
      <c r="AL74" t="s">
        <v>74</v>
      </c>
      <c r="AM74">
        <v>3.05</v>
      </c>
      <c r="AO74" t="s">
        <v>74</v>
      </c>
      <c r="AP74">
        <v>72.62</v>
      </c>
      <c r="AQ74">
        <v>76.31</v>
      </c>
      <c r="AS74" t="s">
        <v>74</v>
      </c>
      <c r="AT74">
        <v>11.24</v>
      </c>
      <c r="AU74">
        <v>11.52</v>
      </c>
      <c r="AW74" t="s">
        <v>74</v>
      </c>
      <c r="AX74">
        <v>65.900000000000006</v>
      </c>
    </row>
    <row r="75" spans="1:50" x14ac:dyDescent="0.35">
      <c r="A75" t="s">
        <v>75</v>
      </c>
      <c r="B75">
        <v>95.36</v>
      </c>
      <c r="D75" t="s">
        <v>621</v>
      </c>
      <c r="E75">
        <v>62.55</v>
      </c>
      <c r="G75" t="s">
        <v>75</v>
      </c>
      <c r="H75">
        <v>0.19900000000000001</v>
      </c>
      <c r="J75" t="s">
        <v>621</v>
      </c>
      <c r="K75">
        <v>20</v>
      </c>
      <c r="M75" t="s">
        <v>621</v>
      </c>
      <c r="N75">
        <v>69.23</v>
      </c>
      <c r="P75" t="s">
        <v>78</v>
      </c>
      <c r="Q75">
        <v>6.51</v>
      </c>
      <c r="S75" t="s">
        <v>75</v>
      </c>
      <c r="T75">
        <v>0.13300000000000001</v>
      </c>
      <c r="V75" t="s">
        <v>621</v>
      </c>
      <c r="W75">
        <v>28.43</v>
      </c>
      <c r="Y75" t="s">
        <v>621</v>
      </c>
      <c r="Z75">
        <v>2.41</v>
      </c>
      <c r="AC75" s="4" t="s">
        <v>74</v>
      </c>
      <c r="AD75" s="5">
        <v>14230994</v>
      </c>
      <c r="AE75" s="5">
        <v>6726693</v>
      </c>
      <c r="AF75" s="5">
        <v>4604489</v>
      </c>
      <c r="AI75" t="s">
        <v>621</v>
      </c>
      <c r="AJ75">
        <v>22.31</v>
      </c>
      <c r="AL75" t="s">
        <v>75</v>
      </c>
      <c r="AM75">
        <v>2.27</v>
      </c>
      <c r="AO75" t="s">
        <v>75</v>
      </c>
      <c r="AP75">
        <v>68.77</v>
      </c>
      <c r="AQ75">
        <v>72.709999999999994</v>
      </c>
      <c r="AS75" t="s">
        <v>75</v>
      </c>
      <c r="AT75">
        <v>10.4</v>
      </c>
      <c r="AU75">
        <v>10.59</v>
      </c>
      <c r="AW75" t="s">
        <v>75</v>
      </c>
      <c r="AX75">
        <v>54.7</v>
      </c>
    </row>
    <row r="76" spans="1:50" x14ac:dyDescent="0.35">
      <c r="A76" t="s">
        <v>76</v>
      </c>
      <c r="B76">
        <v>98.19</v>
      </c>
      <c r="D76" t="s">
        <v>622</v>
      </c>
      <c r="E76">
        <v>67.58</v>
      </c>
      <c r="G76" t="s">
        <v>76</v>
      </c>
      <c r="H76">
        <v>0.13500000000000001</v>
      </c>
      <c r="J76" t="s">
        <v>622</v>
      </c>
      <c r="K76">
        <v>10</v>
      </c>
      <c r="M76" t="s">
        <v>622</v>
      </c>
      <c r="N76">
        <v>59.27</v>
      </c>
      <c r="P76" t="s">
        <v>79</v>
      </c>
      <c r="Q76">
        <v>8.3800000000000008</v>
      </c>
      <c r="S76" t="s">
        <v>76</v>
      </c>
      <c r="T76">
        <v>5.2999999999999999E-2</v>
      </c>
      <c r="V76" t="s">
        <v>622</v>
      </c>
      <c r="W76">
        <v>46.8</v>
      </c>
      <c r="Y76" t="s">
        <v>622</v>
      </c>
      <c r="Z76">
        <v>2.5099999999999998</v>
      </c>
      <c r="AC76" s="4" t="s">
        <v>79</v>
      </c>
      <c r="AD76" s="5">
        <v>13938176</v>
      </c>
      <c r="AE76" s="5">
        <v>14346073</v>
      </c>
      <c r="AF76" s="5">
        <v>4760344</v>
      </c>
      <c r="AI76" t="s">
        <v>622</v>
      </c>
      <c r="AJ76">
        <v>17.47</v>
      </c>
      <c r="AL76" t="s">
        <v>76</v>
      </c>
      <c r="AM76">
        <v>5.24</v>
      </c>
      <c r="AO76" t="s">
        <v>76</v>
      </c>
      <c r="AP76">
        <v>71.16</v>
      </c>
      <c r="AQ76">
        <v>75.41</v>
      </c>
      <c r="AS76" t="s">
        <v>76</v>
      </c>
      <c r="AT76">
        <v>11.56</v>
      </c>
      <c r="AU76">
        <v>12.18</v>
      </c>
      <c r="AW76" t="s">
        <v>76</v>
      </c>
      <c r="AX76">
        <v>76.540000000000006</v>
      </c>
    </row>
    <row r="77" spans="1:50" x14ac:dyDescent="0.35">
      <c r="A77" t="s">
        <v>77</v>
      </c>
      <c r="B77">
        <v>99.17</v>
      </c>
      <c r="D77" t="s">
        <v>623</v>
      </c>
      <c r="E77">
        <v>60.96</v>
      </c>
      <c r="G77" t="s">
        <v>77</v>
      </c>
      <c r="H77">
        <v>0.159</v>
      </c>
      <c r="J77" t="s">
        <v>623</v>
      </c>
      <c r="K77">
        <v>8</v>
      </c>
      <c r="M77" t="s">
        <v>623</v>
      </c>
      <c r="N77">
        <v>67.290000000000006</v>
      </c>
      <c r="P77" t="s">
        <v>81</v>
      </c>
      <c r="Q77">
        <v>13.75</v>
      </c>
      <c r="S77" t="s">
        <v>77</v>
      </c>
      <c r="T77">
        <v>6.6000000000000003E-2</v>
      </c>
      <c r="V77" t="s">
        <v>623</v>
      </c>
      <c r="W77">
        <v>39.61</v>
      </c>
      <c r="Y77" t="s">
        <v>623</v>
      </c>
      <c r="Z77">
        <v>2.36</v>
      </c>
      <c r="AC77" s="4" t="s">
        <v>72</v>
      </c>
      <c r="AD77" s="5">
        <v>95838317</v>
      </c>
      <c r="AE77" s="5">
        <v>37040842</v>
      </c>
      <c r="AF77" s="5">
        <v>17015386</v>
      </c>
      <c r="AI77" t="s">
        <v>623</v>
      </c>
      <c r="AJ77">
        <v>14.05</v>
      </c>
      <c r="AL77" t="s">
        <v>77</v>
      </c>
      <c r="AM77">
        <v>4.1100000000000003</v>
      </c>
      <c r="AO77" t="s">
        <v>77</v>
      </c>
      <c r="AP77">
        <v>73.39</v>
      </c>
      <c r="AQ77">
        <v>77.02</v>
      </c>
      <c r="AS77" t="s">
        <v>77</v>
      </c>
      <c r="AT77">
        <v>11.46</v>
      </c>
      <c r="AU77">
        <v>11.64</v>
      </c>
      <c r="AW77" t="s">
        <v>77</v>
      </c>
      <c r="AX77">
        <v>71.3</v>
      </c>
    </row>
    <row r="78" spans="1:50" x14ac:dyDescent="0.35">
      <c r="A78" t="s">
        <v>78</v>
      </c>
      <c r="B78">
        <v>98.58</v>
      </c>
      <c r="D78" t="s">
        <v>624</v>
      </c>
      <c r="E78">
        <v>71.09</v>
      </c>
      <c r="G78" t="s">
        <v>78</v>
      </c>
      <c r="H78">
        <v>0.153</v>
      </c>
      <c r="J78" t="s">
        <v>624</v>
      </c>
      <c r="K78">
        <v>16</v>
      </c>
      <c r="M78" t="s">
        <v>624</v>
      </c>
      <c r="N78">
        <v>59.34</v>
      </c>
      <c r="P78" t="s">
        <v>82</v>
      </c>
      <c r="Q78">
        <v>12.31</v>
      </c>
      <c r="S78" t="s">
        <v>78</v>
      </c>
      <c r="T78">
        <v>0.129</v>
      </c>
      <c r="V78" t="s">
        <v>624</v>
      </c>
      <c r="W78">
        <v>38.71</v>
      </c>
      <c r="Y78" t="s">
        <v>624</v>
      </c>
      <c r="Z78">
        <v>2.4</v>
      </c>
      <c r="AC78" s="4" t="s">
        <v>1084</v>
      </c>
      <c r="AD78" s="5">
        <v>33343800</v>
      </c>
      <c r="AE78" s="5">
        <v>16365536</v>
      </c>
      <c r="AF78" s="5">
        <v>26864203</v>
      </c>
      <c r="AI78" t="s">
        <v>624</v>
      </c>
      <c r="AJ78">
        <v>16.21</v>
      </c>
      <c r="AL78" t="s">
        <v>78</v>
      </c>
      <c r="AM78">
        <v>5.44</v>
      </c>
      <c r="AO78" t="s">
        <v>78</v>
      </c>
      <c r="AP78">
        <v>72.67</v>
      </c>
      <c r="AQ78">
        <v>76.349999999999994</v>
      </c>
      <c r="AS78" t="s">
        <v>78</v>
      </c>
      <c r="AT78">
        <v>10.61</v>
      </c>
      <c r="AU78">
        <v>11.06</v>
      </c>
      <c r="AW78" t="s">
        <v>78</v>
      </c>
      <c r="AX78">
        <v>65.38</v>
      </c>
    </row>
    <row r="79" spans="1:50" x14ac:dyDescent="0.35">
      <c r="A79" t="s">
        <v>79</v>
      </c>
      <c r="B79">
        <v>98.07</v>
      </c>
      <c r="D79" t="s">
        <v>625</v>
      </c>
      <c r="E79">
        <v>53.91</v>
      </c>
      <c r="G79" t="s">
        <v>79</v>
      </c>
      <c r="H79">
        <v>0.374</v>
      </c>
      <c r="J79" t="s">
        <v>625</v>
      </c>
      <c r="K79">
        <v>5</v>
      </c>
      <c r="M79" t="s">
        <v>625</v>
      </c>
      <c r="N79">
        <v>60.79</v>
      </c>
      <c r="P79" t="s">
        <v>83</v>
      </c>
      <c r="Q79">
        <v>17.059999999999999</v>
      </c>
      <c r="S79" t="s">
        <v>79</v>
      </c>
      <c r="T79">
        <v>0.06</v>
      </c>
      <c r="V79" t="s">
        <v>625</v>
      </c>
      <c r="W79">
        <v>32.39</v>
      </c>
      <c r="Y79" t="s">
        <v>625</v>
      </c>
      <c r="Z79">
        <v>2.4300000000000002</v>
      </c>
      <c r="AC79" s="4" t="s">
        <v>71</v>
      </c>
      <c r="AD79" s="5">
        <v>50103946</v>
      </c>
      <c r="AE79" s="5">
        <v>22358356</v>
      </c>
      <c r="AF79" s="5">
        <v>47183536</v>
      </c>
      <c r="AI79" t="s">
        <v>625</v>
      </c>
      <c r="AJ79">
        <v>18.600000000000001</v>
      </c>
      <c r="AL79" t="s">
        <v>79</v>
      </c>
      <c r="AM79">
        <v>4.2</v>
      </c>
      <c r="AO79" t="s">
        <v>79</v>
      </c>
      <c r="AP79">
        <v>69.02</v>
      </c>
      <c r="AQ79">
        <v>72.97</v>
      </c>
      <c r="AS79" t="s">
        <v>79</v>
      </c>
      <c r="AT79">
        <v>10.7</v>
      </c>
      <c r="AU79">
        <v>10.9</v>
      </c>
      <c r="AW79" t="s">
        <v>79</v>
      </c>
      <c r="AX79">
        <v>60.72</v>
      </c>
    </row>
    <row r="80" spans="1:50" x14ac:dyDescent="0.35">
      <c r="A80" t="s">
        <v>80</v>
      </c>
      <c r="B80">
        <v>88.98</v>
      </c>
      <c r="D80" t="s">
        <v>80</v>
      </c>
      <c r="E80">
        <v>72.290000000000006</v>
      </c>
      <c r="G80" t="s">
        <v>80</v>
      </c>
      <c r="H80">
        <v>0.45800000000000002</v>
      </c>
      <c r="J80" t="s">
        <v>80</v>
      </c>
      <c r="K80">
        <v>23.08</v>
      </c>
      <c r="M80" t="s">
        <v>80</v>
      </c>
      <c r="N80">
        <v>49.41</v>
      </c>
      <c r="P80" t="s">
        <v>84</v>
      </c>
      <c r="Q80">
        <v>10.96</v>
      </c>
      <c r="S80" t="s">
        <v>80</v>
      </c>
      <c r="T80">
        <v>0.21299999999999999</v>
      </c>
      <c r="V80" t="s">
        <v>80</v>
      </c>
      <c r="W80">
        <v>27.95</v>
      </c>
      <c r="Y80" t="s">
        <v>80</v>
      </c>
      <c r="Z80">
        <v>2.2799999999999998</v>
      </c>
      <c r="AC80" s="4" t="s">
        <v>1112</v>
      </c>
      <c r="AD80" s="5">
        <v>186128975</v>
      </c>
      <c r="AE80" s="5">
        <v>14472679</v>
      </c>
      <c r="AF80" s="5">
        <v>42411995</v>
      </c>
      <c r="AI80" t="s">
        <v>80</v>
      </c>
      <c r="AJ80">
        <v>18.239999999999998</v>
      </c>
      <c r="AL80" t="s">
        <v>80</v>
      </c>
      <c r="AM80">
        <v>6.68</v>
      </c>
      <c r="AO80" t="s">
        <v>80</v>
      </c>
      <c r="AP80">
        <v>70.28</v>
      </c>
      <c r="AQ80">
        <v>74.290000000000006</v>
      </c>
      <c r="AS80" t="s">
        <v>80</v>
      </c>
      <c r="AT80">
        <v>9.4700000000000006</v>
      </c>
      <c r="AU80">
        <v>9.1999999999999993</v>
      </c>
      <c r="AW80" t="s">
        <v>80</v>
      </c>
      <c r="AX80">
        <v>43.27</v>
      </c>
    </row>
    <row r="81" spans="1:50" x14ac:dyDescent="0.35">
      <c r="A81" t="s">
        <v>81</v>
      </c>
      <c r="B81">
        <v>90.47</v>
      </c>
      <c r="D81" t="s">
        <v>626</v>
      </c>
      <c r="E81">
        <v>61.81</v>
      </c>
      <c r="G81" t="s">
        <v>81</v>
      </c>
      <c r="H81">
        <v>0.53700000000000003</v>
      </c>
      <c r="J81" t="s">
        <v>626</v>
      </c>
      <c r="K81">
        <v>5.88</v>
      </c>
      <c r="M81" t="s">
        <v>626</v>
      </c>
      <c r="N81">
        <v>48.29</v>
      </c>
      <c r="P81" t="s">
        <v>85</v>
      </c>
      <c r="Q81">
        <v>10.33</v>
      </c>
      <c r="S81" t="s">
        <v>81</v>
      </c>
      <c r="T81">
        <v>0.249</v>
      </c>
      <c r="V81" t="s">
        <v>626</v>
      </c>
      <c r="W81">
        <v>36.340000000000003</v>
      </c>
      <c r="Y81" t="s">
        <v>626</v>
      </c>
      <c r="Z81">
        <v>2.27</v>
      </c>
      <c r="AC81" s="4" t="s">
        <v>88</v>
      </c>
      <c r="AD81" s="5">
        <v>45166025</v>
      </c>
      <c r="AE81" s="5">
        <v>13140355</v>
      </c>
      <c r="AF81" s="5">
        <v>6236341</v>
      </c>
      <c r="AI81" t="s">
        <v>626</v>
      </c>
      <c r="AJ81">
        <v>23.06</v>
      </c>
      <c r="AL81" t="s">
        <v>81</v>
      </c>
      <c r="AM81">
        <v>8.07</v>
      </c>
      <c r="AO81" t="s">
        <v>81</v>
      </c>
      <c r="AP81">
        <v>67.19</v>
      </c>
      <c r="AQ81">
        <v>71.16</v>
      </c>
      <c r="AS81" t="s">
        <v>81</v>
      </c>
      <c r="AT81">
        <v>9.16</v>
      </c>
      <c r="AU81">
        <v>8.6300000000000008</v>
      </c>
      <c r="AW81" t="s">
        <v>81</v>
      </c>
      <c r="AX81">
        <v>37.9</v>
      </c>
    </row>
    <row r="82" spans="1:50" x14ac:dyDescent="0.35">
      <c r="A82" t="s">
        <v>82</v>
      </c>
      <c r="B82">
        <v>87.07</v>
      </c>
      <c r="D82" t="s">
        <v>627</v>
      </c>
      <c r="E82">
        <v>56.27</v>
      </c>
      <c r="G82" t="s">
        <v>82</v>
      </c>
      <c r="H82">
        <v>0.57299999999999995</v>
      </c>
      <c r="J82" t="s">
        <v>627</v>
      </c>
      <c r="K82">
        <v>5</v>
      </c>
      <c r="M82" t="s">
        <v>627</v>
      </c>
      <c r="N82">
        <v>51.13</v>
      </c>
      <c r="P82" t="s">
        <v>86</v>
      </c>
      <c r="Q82">
        <v>12.01</v>
      </c>
      <c r="S82" t="s">
        <v>82</v>
      </c>
      <c r="T82">
        <v>0.29699999999999999</v>
      </c>
      <c r="V82" t="s">
        <v>627</v>
      </c>
      <c r="W82">
        <v>29.02</v>
      </c>
      <c r="Y82" t="s">
        <v>627</v>
      </c>
      <c r="Z82">
        <v>2.2400000000000002</v>
      </c>
      <c r="AC82" s="4" t="s">
        <v>83</v>
      </c>
      <c r="AD82" s="5">
        <v>114280972</v>
      </c>
      <c r="AE82" s="5">
        <v>55635661</v>
      </c>
      <c r="AF82" s="5">
        <v>31488136</v>
      </c>
      <c r="AI82" t="s">
        <v>627</v>
      </c>
      <c r="AJ82">
        <v>22.7</v>
      </c>
      <c r="AL82" t="s">
        <v>82</v>
      </c>
      <c r="AM82">
        <v>6.06</v>
      </c>
      <c r="AO82" t="s">
        <v>82</v>
      </c>
      <c r="AP82">
        <v>68.77</v>
      </c>
      <c r="AQ82">
        <v>72.709999999999994</v>
      </c>
      <c r="AS82" t="s">
        <v>82</v>
      </c>
      <c r="AT82">
        <v>8.64</v>
      </c>
      <c r="AU82">
        <v>8.19</v>
      </c>
      <c r="AW82" t="s">
        <v>82</v>
      </c>
      <c r="AX82">
        <v>37.909999999999997</v>
      </c>
    </row>
    <row r="83" spans="1:50" x14ac:dyDescent="0.35">
      <c r="A83" t="s">
        <v>83</v>
      </c>
      <c r="B83">
        <v>83.2</v>
      </c>
      <c r="D83" t="s">
        <v>628</v>
      </c>
      <c r="E83">
        <v>65.47</v>
      </c>
      <c r="G83" t="s">
        <v>83</v>
      </c>
      <c r="H83">
        <v>0.57299999999999995</v>
      </c>
      <c r="J83" t="s">
        <v>628</v>
      </c>
      <c r="K83">
        <v>13.33</v>
      </c>
      <c r="M83" t="s">
        <v>628</v>
      </c>
      <c r="N83">
        <v>44.16</v>
      </c>
      <c r="P83" t="s">
        <v>87</v>
      </c>
      <c r="Q83">
        <v>9.32</v>
      </c>
      <c r="S83" t="s">
        <v>83</v>
      </c>
      <c r="T83">
        <v>0.35499999999999998</v>
      </c>
      <c r="V83" t="s">
        <v>628</v>
      </c>
      <c r="W83">
        <v>29.93</v>
      </c>
      <c r="Y83" t="s">
        <v>628</v>
      </c>
      <c r="Z83">
        <v>2.2799999999999998</v>
      </c>
      <c r="AC83" s="4" t="s">
        <v>82</v>
      </c>
      <c r="AD83" s="5">
        <v>91721869</v>
      </c>
      <c r="AE83" s="5">
        <v>22996875</v>
      </c>
      <c r="AF83" s="5">
        <v>31613237</v>
      </c>
      <c r="AI83" t="s">
        <v>628</v>
      </c>
      <c r="AJ83">
        <v>23.31</v>
      </c>
      <c r="AL83" t="s">
        <v>83</v>
      </c>
      <c r="AM83">
        <v>5.64</v>
      </c>
      <c r="AO83" t="s">
        <v>83</v>
      </c>
      <c r="AP83">
        <v>66.680000000000007</v>
      </c>
      <c r="AQ83">
        <v>70.650000000000006</v>
      </c>
      <c r="AS83" t="s">
        <v>83</v>
      </c>
      <c r="AT83">
        <v>7.55</v>
      </c>
      <c r="AU83">
        <v>7.23</v>
      </c>
      <c r="AW83" t="s">
        <v>83</v>
      </c>
      <c r="AX83">
        <v>27.04</v>
      </c>
    </row>
    <row r="84" spans="1:50" x14ac:dyDescent="0.35">
      <c r="A84" t="s">
        <v>84</v>
      </c>
      <c r="B84">
        <v>89.37</v>
      </c>
      <c r="D84" t="s">
        <v>629</v>
      </c>
      <c r="E84">
        <v>54.51</v>
      </c>
      <c r="G84" t="s">
        <v>84</v>
      </c>
      <c r="H84">
        <v>0.59199999999999997</v>
      </c>
      <c r="J84" t="s">
        <v>629</v>
      </c>
      <c r="K84">
        <v>5.71</v>
      </c>
      <c r="M84" t="s">
        <v>629</v>
      </c>
      <c r="N84">
        <v>55.32</v>
      </c>
      <c r="P84" t="s">
        <v>88</v>
      </c>
      <c r="Q84">
        <v>12.77</v>
      </c>
      <c r="S84" t="s">
        <v>84</v>
      </c>
      <c r="T84">
        <v>0.27700000000000002</v>
      </c>
      <c r="V84" t="s">
        <v>629</v>
      </c>
      <c r="W84">
        <v>27.98</v>
      </c>
      <c r="Y84" t="s">
        <v>629</v>
      </c>
      <c r="Z84">
        <v>2.2799999999999998</v>
      </c>
      <c r="AC84" s="4" t="s">
        <v>86</v>
      </c>
      <c r="AD84" s="5">
        <v>90362164</v>
      </c>
      <c r="AE84" s="5">
        <v>30590500</v>
      </c>
      <c r="AF84" s="5">
        <v>18258399</v>
      </c>
      <c r="AI84" t="s">
        <v>629</v>
      </c>
      <c r="AJ84">
        <v>17.52</v>
      </c>
      <c r="AL84" t="s">
        <v>84</v>
      </c>
      <c r="AM84">
        <v>8.15</v>
      </c>
      <c r="AO84" t="s">
        <v>84</v>
      </c>
      <c r="AP84">
        <v>70.05</v>
      </c>
      <c r="AQ84">
        <v>74.05</v>
      </c>
      <c r="AS84" t="s">
        <v>84</v>
      </c>
      <c r="AT84">
        <v>8.9600000000000009</v>
      </c>
      <c r="AU84">
        <v>8.5399999999999991</v>
      </c>
      <c r="AW84" t="s">
        <v>84</v>
      </c>
      <c r="AX84">
        <v>39.54</v>
      </c>
    </row>
    <row r="85" spans="1:50" x14ac:dyDescent="0.35">
      <c r="A85" t="s">
        <v>85</v>
      </c>
      <c r="B85">
        <v>88.93</v>
      </c>
      <c r="D85" t="s">
        <v>630</v>
      </c>
      <c r="E85">
        <v>42.46</v>
      </c>
      <c r="G85" t="s">
        <v>85</v>
      </c>
      <c r="H85">
        <v>0.54200000000000004</v>
      </c>
      <c r="J85" t="s">
        <v>630</v>
      </c>
      <c r="K85">
        <v>2.5</v>
      </c>
      <c r="M85" t="s">
        <v>630</v>
      </c>
      <c r="N85">
        <v>54.4</v>
      </c>
      <c r="P85" t="s">
        <v>89</v>
      </c>
      <c r="Q85">
        <v>12.62</v>
      </c>
      <c r="S85" t="s">
        <v>85</v>
      </c>
      <c r="T85">
        <v>0.155</v>
      </c>
      <c r="V85" t="s">
        <v>630</v>
      </c>
      <c r="W85">
        <v>19.98</v>
      </c>
      <c r="Y85" t="s">
        <v>630</v>
      </c>
      <c r="Z85">
        <v>2.31</v>
      </c>
      <c r="AC85" s="4" t="s">
        <v>81</v>
      </c>
      <c r="AD85" s="5">
        <v>76256349</v>
      </c>
      <c r="AE85" s="5">
        <v>30633669</v>
      </c>
      <c r="AF85" s="5">
        <v>28493214</v>
      </c>
      <c r="AI85" t="s">
        <v>85</v>
      </c>
      <c r="AJ85">
        <v>21.74</v>
      </c>
      <c r="AL85" t="s">
        <v>85</v>
      </c>
      <c r="AM85">
        <v>5.23</v>
      </c>
      <c r="AO85" t="s">
        <v>85</v>
      </c>
      <c r="AP85">
        <v>69.69</v>
      </c>
      <c r="AQ85">
        <v>73.680000000000007</v>
      </c>
      <c r="AS85" t="s">
        <v>85</v>
      </c>
      <c r="AT85">
        <v>10.09</v>
      </c>
      <c r="AU85">
        <v>9.83</v>
      </c>
      <c r="AW85" t="s">
        <v>85</v>
      </c>
      <c r="AX85">
        <v>49.22</v>
      </c>
    </row>
    <row r="86" spans="1:50" x14ac:dyDescent="0.35">
      <c r="A86" t="s">
        <v>86</v>
      </c>
      <c r="B86">
        <v>89.87</v>
      </c>
      <c r="D86" t="s">
        <v>631</v>
      </c>
      <c r="E86">
        <v>55.48</v>
      </c>
      <c r="G86" t="s">
        <v>86</v>
      </c>
      <c r="H86">
        <v>0.49199999999999999</v>
      </c>
      <c r="J86" t="s">
        <v>631</v>
      </c>
      <c r="K86">
        <v>8.89</v>
      </c>
      <c r="M86" t="s">
        <v>631</v>
      </c>
      <c r="N86">
        <v>49.39</v>
      </c>
      <c r="P86" t="s">
        <v>90</v>
      </c>
      <c r="Q86">
        <v>15.95</v>
      </c>
      <c r="S86" t="s">
        <v>86</v>
      </c>
      <c r="T86">
        <v>0.216</v>
      </c>
      <c r="V86" t="s">
        <v>631</v>
      </c>
      <c r="W86">
        <v>23.59</v>
      </c>
      <c r="Y86" t="s">
        <v>631</v>
      </c>
      <c r="Z86">
        <v>2.33</v>
      </c>
      <c r="AC86" s="4" t="s">
        <v>84</v>
      </c>
      <c r="AD86" s="5">
        <v>92929076</v>
      </c>
      <c r="AE86" s="5">
        <v>21801613</v>
      </c>
      <c r="AF86" s="5">
        <v>22052190</v>
      </c>
      <c r="AI86" t="s">
        <v>631</v>
      </c>
      <c r="AJ86">
        <v>21.38</v>
      </c>
      <c r="AL86" t="s">
        <v>86</v>
      </c>
      <c r="AM86">
        <v>7.04</v>
      </c>
      <c r="AO86" t="s">
        <v>86</v>
      </c>
      <c r="AP86">
        <v>69.489999999999995</v>
      </c>
      <c r="AQ86">
        <v>73.459999999999994</v>
      </c>
      <c r="AS86" t="s">
        <v>86</v>
      </c>
      <c r="AT86">
        <v>9.69</v>
      </c>
      <c r="AU86">
        <v>9.11</v>
      </c>
      <c r="AW86" t="s">
        <v>86</v>
      </c>
      <c r="AX86">
        <v>39.950000000000003</v>
      </c>
    </row>
    <row r="87" spans="1:50" x14ac:dyDescent="0.35">
      <c r="A87" t="s">
        <v>87</v>
      </c>
      <c r="B87">
        <v>82.72</v>
      </c>
      <c r="D87" t="s">
        <v>632</v>
      </c>
      <c r="E87">
        <v>52.15</v>
      </c>
      <c r="G87" t="s">
        <v>87</v>
      </c>
      <c r="H87">
        <v>0.55600000000000005</v>
      </c>
      <c r="J87" t="s">
        <v>632</v>
      </c>
      <c r="K87">
        <v>4.4400000000000004</v>
      </c>
      <c r="M87" t="s">
        <v>632</v>
      </c>
      <c r="N87">
        <v>45.31</v>
      </c>
      <c r="P87" t="s">
        <v>91</v>
      </c>
      <c r="Q87">
        <v>11.75</v>
      </c>
      <c r="S87" t="s">
        <v>87</v>
      </c>
      <c r="T87">
        <v>0.249</v>
      </c>
      <c r="V87" t="s">
        <v>632</v>
      </c>
      <c r="W87">
        <v>26.33</v>
      </c>
      <c r="Y87" t="s">
        <v>632</v>
      </c>
      <c r="Z87">
        <v>2.27</v>
      </c>
      <c r="AC87" s="4" t="s">
        <v>89</v>
      </c>
      <c r="AD87" s="5">
        <v>79458968</v>
      </c>
      <c r="AE87" s="5">
        <v>20179628</v>
      </c>
      <c r="AF87" s="5">
        <v>22242562</v>
      </c>
      <c r="AI87" t="s">
        <v>632</v>
      </c>
      <c r="AJ87">
        <v>14.25</v>
      </c>
      <c r="AL87" t="s">
        <v>87</v>
      </c>
      <c r="AM87">
        <v>9.7200000000000006</v>
      </c>
      <c r="AO87" t="s">
        <v>87</v>
      </c>
      <c r="AP87">
        <v>68.91</v>
      </c>
      <c r="AQ87">
        <v>72.86</v>
      </c>
      <c r="AS87" t="s">
        <v>87</v>
      </c>
      <c r="AT87">
        <v>8.93</v>
      </c>
      <c r="AU87">
        <v>8.68</v>
      </c>
      <c r="AW87" t="s">
        <v>87</v>
      </c>
      <c r="AX87">
        <v>35.229999999999997</v>
      </c>
    </row>
    <row r="88" spans="1:50" x14ac:dyDescent="0.35">
      <c r="A88" t="s">
        <v>88</v>
      </c>
      <c r="B88">
        <v>89.94</v>
      </c>
      <c r="D88" t="s">
        <v>633</v>
      </c>
      <c r="E88">
        <v>54.01</v>
      </c>
      <c r="G88" t="s">
        <v>88</v>
      </c>
      <c r="H88">
        <v>0.48899999999999999</v>
      </c>
      <c r="J88" t="s">
        <v>633</v>
      </c>
      <c r="K88">
        <v>8.89</v>
      </c>
      <c r="M88" t="s">
        <v>633</v>
      </c>
      <c r="N88">
        <v>50.41</v>
      </c>
      <c r="P88" t="s">
        <v>92</v>
      </c>
      <c r="Q88">
        <v>12.42</v>
      </c>
      <c r="S88" t="s">
        <v>88</v>
      </c>
      <c r="T88">
        <v>0.15</v>
      </c>
      <c r="V88" t="s">
        <v>633</v>
      </c>
      <c r="W88">
        <v>22.98</v>
      </c>
      <c r="Y88" t="s">
        <v>633</v>
      </c>
      <c r="Z88">
        <v>2.62</v>
      </c>
      <c r="AC88" s="4" t="s">
        <v>87</v>
      </c>
      <c r="AD88" s="5">
        <v>100181384</v>
      </c>
      <c r="AE88" s="5">
        <v>23292563</v>
      </c>
      <c r="AF88" s="5">
        <v>21599446</v>
      </c>
      <c r="AI88" t="s">
        <v>633</v>
      </c>
      <c r="AJ88">
        <v>20.23</v>
      </c>
      <c r="AL88" t="s">
        <v>88</v>
      </c>
      <c r="AM88">
        <v>6.31</v>
      </c>
      <c r="AO88" t="s">
        <v>88</v>
      </c>
      <c r="AP88">
        <v>69.84</v>
      </c>
      <c r="AQ88">
        <v>73.83</v>
      </c>
      <c r="AS88" t="s">
        <v>88</v>
      </c>
      <c r="AT88">
        <v>10.01</v>
      </c>
      <c r="AU88">
        <v>9.43</v>
      </c>
      <c r="AW88" t="s">
        <v>88</v>
      </c>
      <c r="AX88">
        <v>44.61</v>
      </c>
    </row>
    <row r="89" spans="1:50" x14ac:dyDescent="0.35">
      <c r="A89" t="s">
        <v>89</v>
      </c>
      <c r="B89">
        <v>85.38</v>
      </c>
      <c r="D89" t="s">
        <v>634</v>
      </c>
      <c r="E89">
        <v>59.18</v>
      </c>
      <c r="G89" t="s">
        <v>89</v>
      </c>
      <c r="H89">
        <v>0.52600000000000002</v>
      </c>
      <c r="J89" t="s">
        <v>634</v>
      </c>
      <c r="K89">
        <v>15.56</v>
      </c>
      <c r="M89" t="s">
        <v>634</v>
      </c>
      <c r="N89">
        <v>59.64</v>
      </c>
      <c r="P89" t="s">
        <v>94</v>
      </c>
      <c r="Q89">
        <v>15.09</v>
      </c>
      <c r="S89" t="s">
        <v>89</v>
      </c>
      <c r="T89">
        <v>0.23899999999999999</v>
      </c>
      <c r="V89" t="s">
        <v>634</v>
      </c>
      <c r="W89">
        <v>23.04</v>
      </c>
      <c r="Y89" t="s">
        <v>634</v>
      </c>
      <c r="Z89">
        <v>2.33</v>
      </c>
      <c r="AC89" s="4" t="s">
        <v>85</v>
      </c>
      <c r="AD89" s="5">
        <v>26886106</v>
      </c>
      <c r="AE89" s="5">
        <v>13130125</v>
      </c>
      <c r="AF89" s="5">
        <v>19607773</v>
      </c>
      <c r="AI89" t="s">
        <v>634</v>
      </c>
      <c r="AJ89">
        <v>21.45</v>
      </c>
      <c r="AL89" t="s">
        <v>89</v>
      </c>
      <c r="AM89">
        <v>7.07</v>
      </c>
      <c r="AO89" t="s">
        <v>89</v>
      </c>
      <c r="AP89">
        <v>69.069999999999993</v>
      </c>
      <c r="AQ89">
        <v>73.02</v>
      </c>
      <c r="AS89" t="s">
        <v>89</v>
      </c>
      <c r="AT89">
        <v>8.8699999999999992</v>
      </c>
      <c r="AU89">
        <v>8.2100000000000009</v>
      </c>
      <c r="AW89" t="s">
        <v>89</v>
      </c>
      <c r="AX89">
        <v>36.6</v>
      </c>
    </row>
    <row r="90" spans="1:50" x14ac:dyDescent="0.35">
      <c r="A90" t="s">
        <v>90</v>
      </c>
      <c r="B90">
        <v>87.35</v>
      </c>
      <c r="D90" t="s">
        <v>635</v>
      </c>
      <c r="E90">
        <v>63.19</v>
      </c>
      <c r="G90" t="s">
        <v>90</v>
      </c>
      <c r="H90">
        <v>0.48699999999999999</v>
      </c>
      <c r="J90" t="s">
        <v>635</v>
      </c>
      <c r="K90">
        <v>13.33</v>
      </c>
      <c r="M90" t="s">
        <v>635</v>
      </c>
      <c r="N90">
        <v>48.6</v>
      </c>
      <c r="P90" t="s">
        <v>95</v>
      </c>
      <c r="Q90">
        <v>15.14</v>
      </c>
      <c r="S90" t="s">
        <v>90</v>
      </c>
      <c r="T90">
        <v>0.17399999999999999</v>
      </c>
      <c r="V90" t="s">
        <v>635</v>
      </c>
      <c r="W90">
        <v>27.62</v>
      </c>
      <c r="Y90" t="s">
        <v>635</v>
      </c>
      <c r="Z90">
        <v>2.2200000000000002</v>
      </c>
      <c r="AC90" s="4" t="s">
        <v>92</v>
      </c>
      <c r="AD90" s="5">
        <v>29236762</v>
      </c>
      <c r="AE90" s="5">
        <v>15928249</v>
      </c>
      <c r="AF90" s="5">
        <v>13893184</v>
      </c>
      <c r="AI90" t="s">
        <v>635</v>
      </c>
      <c r="AJ90">
        <v>26.01</v>
      </c>
      <c r="AL90" t="s">
        <v>90</v>
      </c>
      <c r="AM90">
        <v>22.98</v>
      </c>
      <c r="AO90" t="s">
        <v>90</v>
      </c>
      <c r="AP90">
        <v>66.47</v>
      </c>
      <c r="AQ90">
        <v>70.45</v>
      </c>
      <c r="AS90" t="s">
        <v>90</v>
      </c>
      <c r="AT90">
        <v>8.14</v>
      </c>
      <c r="AU90">
        <v>7.87</v>
      </c>
      <c r="AW90" t="s">
        <v>90</v>
      </c>
      <c r="AX90">
        <v>34.340000000000003</v>
      </c>
    </row>
    <row r="91" spans="1:50" x14ac:dyDescent="0.35">
      <c r="A91" t="s">
        <v>91</v>
      </c>
      <c r="B91">
        <v>93.89</v>
      </c>
      <c r="D91" t="s">
        <v>636</v>
      </c>
      <c r="E91">
        <v>68.040000000000006</v>
      </c>
      <c r="G91" t="s">
        <v>91</v>
      </c>
      <c r="H91">
        <v>0.13</v>
      </c>
      <c r="J91" t="s">
        <v>636</v>
      </c>
      <c r="K91">
        <v>20</v>
      </c>
      <c r="M91" t="s">
        <v>636</v>
      </c>
      <c r="N91">
        <v>46.76</v>
      </c>
      <c r="P91" t="s">
        <v>96</v>
      </c>
      <c r="Q91">
        <v>12.77</v>
      </c>
      <c r="S91" t="s">
        <v>91</v>
      </c>
      <c r="T91">
        <v>5.7000000000000002E-2</v>
      </c>
      <c r="V91" t="s">
        <v>636</v>
      </c>
      <c r="W91">
        <v>27.19</v>
      </c>
      <c r="Y91" t="s">
        <v>636</v>
      </c>
      <c r="Z91">
        <v>2.09</v>
      </c>
      <c r="AC91" s="4" t="s">
        <v>91</v>
      </c>
      <c r="AD91" s="5">
        <v>32070317</v>
      </c>
      <c r="AE91" s="5">
        <v>18366675</v>
      </c>
      <c r="AF91" s="5">
        <v>5174839</v>
      </c>
      <c r="AI91" t="s">
        <v>636</v>
      </c>
      <c r="AJ91">
        <v>12.54</v>
      </c>
      <c r="AL91" t="s">
        <v>91</v>
      </c>
      <c r="AM91">
        <v>3.16</v>
      </c>
      <c r="AO91" t="s">
        <v>91</v>
      </c>
      <c r="AP91">
        <v>71.02</v>
      </c>
      <c r="AQ91">
        <v>75.13</v>
      </c>
      <c r="AS91" t="s">
        <v>91</v>
      </c>
      <c r="AT91">
        <v>11.97</v>
      </c>
      <c r="AU91">
        <v>11.93</v>
      </c>
      <c r="AW91" t="s">
        <v>91</v>
      </c>
      <c r="AX91">
        <v>65.52</v>
      </c>
    </row>
    <row r="92" spans="1:50" x14ac:dyDescent="0.35">
      <c r="A92" t="s">
        <v>92</v>
      </c>
      <c r="B92">
        <v>90.92</v>
      </c>
      <c r="D92" t="s">
        <v>637</v>
      </c>
      <c r="E92">
        <v>52.93</v>
      </c>
      <c r="G92" t="s">
        <v>92</v>
      </c>
      <c r="H92">
        <v>0.41</v>
      </c>
      <c r="J92" t="s">
        <v>637</v>
      </c>
      <c r="K92">
        <v>6.67</v>
      </c>
      <c r="M92" t="s">
        <v>637</v>
      </c>
      <c r="N92">
        <v>49.48</v>
      </c>
      <c r="P92" t="s">
        <v>97</v>
      </c>
      <c r="Q92">
        <v>15.48</v>
      </c>
      <c r="S92" t="s">
        <v>92</v>
      </c>
      <c r="T92">
        <v>0.189</v>
      </c>
      <c r="V92" t="s">
        <v>637</v>
      </c>
      <c r="W92">
        <v>23.48</v>
      </c>
      <c r="Y92" t="s">
        <v>637</v>
      </c>
      <c r="Z92">
        <v>2.19</v>
      </c>
      <c r="AC92" s="4" t="s">
        <v>90</v>
      </c>
      <c r="AD92" s="5">
        <v>37940729</v>
      </c>
      <c r="AE92" s="5">
        <v>22581696</v>
      </c>
      <c r="AF92" s="5">
        <v>24418138</v>
      </c>
      <c r="AI92" t="s">
        <v>92</v>
      </c>
      <c r="AJ92">
        <v>15.43</v>
      </c>
      <c r="AL92" t="s">
        <v>92</v>
      </c>
      <c r="AM92">
        <v>3.21</v>
      </c>
      <c r="AO92" t="s">
        <v>92</v>
      </c>
      <c r="AP92">
        <v>69.73</v>
      </c>
      <c r="AQ92">
        <v>73.709999999999994</v>
      </c>
      <c r="AS92" t="s">
        <v>92</v>
      </c>
      <c r="AT92">
        <v>10.38</v>
      </c>
      <c r="AU92">
        <v>10.119999999999999</v>
      </c>
      <c r="AW92" t="s">
        <v>92</v>
      </c>
      <c r="AX92">
        <v>53.48</v>
      </c>
    </row>
    <row r="93" spans="1:50" x14ac:dyDescent="0.35">
      <c r="A93" t="s">
        <v>93</v>
      </c>
      <c r="B93">
        <v>89.29</v>
      </c>
      <c r="D93" t="s">
        <v>93</v>
      </c>
      <c r="E93">
        <v>68.069999999999993</v>
      </c>
      <c r="G93" t="s">
        <v>93</v>
      </c>
      <c r="H93">
        <v>0.52800000000000002</v>
      </c>
      <c r="J93" t="s">
        <v>93</v>
      </c>
      <c r="K93">
        <v>16.36</v>
      </c>
      <c r="M93" t="s">
        <v>93</v>
      </c>
      <c r="N93">
        <v>52.49</v>
      </c>
      <c r="P93" t="s">
        <v>98</v>
      </c>
      <c r="Q93">
        <v>11.14</v>
      </c>
      <c r="S93" t="s">
        <v>93</v>
      </c>
      <c r="T93">
        <v>0.32400000000000001</v>
      </c>
      <c r="V93" t="s">
        <v>93</v>
      </c>
      <c r="W93">
        <v>30.61</v>
      </c>
      <c r="Y93" t="s">
        <v>93</v>
      </c>
      <c r="Z93">
        <v>2.2799999999999998</v>
      </c>
      <c r="AC93" s="4" t="s">
        <v>1113</v>
      </c>
      <c r="AD93" s="5">
        <v>153450531</v>
      </c>
      <c r="AE93" s="5">
        <v>13726228</v>
      </c>
      <c r="AF93" s="5">
        <v>27060743</v>
      </c>
      <c r="AI93" t="s">
        <v>93</v>
      </c>
      <c r="AJ93">
        <v>19.98</v>
      </c>
      <c r="AL93" t="s">
        <v>93</v>
      </c>
      <c r="AM93">
        <v>7.58</v>
      </c>
      <c r="AO93" t="s">
        <v>93</v>
      </c>
      <c r="AP93">
        <v>69.83</v>
      </c>
      <c r="AQ93">
        <v>73.81</v>
      </c>
      <c r="AS93" t="s">
        <v>93</v>
      </c>
      <c r="AT93">
        <v>9.09</v>
      </c>
      <c r="AU93">
        <v>8.5299999999999994</v>
      </c>
      <c r="AW93" t="s">
        <v>93</v>
      </c>
      <c r="AX93">
        <v>35.93</v>
      </c>
    </row>
    <row r="94" spans="1:50" x14ac:dyDescent="0.35">
      <c r="A94" t="s">
        <v>94</v>
      </c>
      <c r="B94">
        <v>87.15</v>
      </c>
      <c r="D94" t="s">
        <v>638</v>
      </c>
      <c r="E94">
        <v>65.16</v>
      </c>
      <c r="G94" t="s">
        <v>94</v>
      </c>
      <c r="H94">
        <v>0.45900000000000002</v>
      </c>
      <c r="J94" t="s">
        <v>638</v>
      </c>
      <c r="K94">
        <v>6.67</v>
      </c>
      <c r="M94" t="s">
        <v>638</v>
      </c>
      <c r="N94">
        <v>50.58</v>
      </c>
      <c r="P94" t="s">
        <v>99</v>
      </c>
      <c r="Q94">
        <v>12.32</v>
      </c>
      <c r="S94" t="s">
        <v>94</v>
      </c>
      <c r="T94">
        <v>0.33500000000000002</v>
      </c>
      <c r="V94" t="s">
        <v>638</v>
      </c>
      <c r="W94">
        <v>42.8</v>
      </c>
      <c r="Y94" t="s">
        <v>638</v>
      </c>
      <c r="Z94">
        <v>2.2000000000000002</v>
      </c>
      <c r="AC94" s="4" t="s">
        <v>97</v>
      </c>
      <c r="AD94" s="5">
        <v>78231198</v>
      </c>
      <c r="AE94" s="5">
        <v>20559452</v>
      </c>
      <c r="AF94" s="5">
        <v>33159952</v>
      </c>
      <c r="AI94" t="s">
        <v>638</v>
      </c>
      <c r="AJ94">
        <v>25.11</v>
      </c>
      <c r="AL94" t="s">
        <v>94</v>
      </c>
      <c r="AM94">
        <v>7.54</v>
      </c>
      <c r="AO94" t="s">
        <v>94</v>
      </c>
      <c r="AP94">
        <v>68.63</v>
      </c>
      <c r="AQ94">
        <v>72.569999999999993</v>
      </c>
      <c r="AS94" t="s">
        <v>94</v>
      </c>
      <c r="AT94">
        <v>9.2799999999999994</v>
      </c>
      <c r="AU94">
        <v>8.07</v>
      </c>
      <c r="AW94" t="s">
        <v>94</v>
      </c>
      <c r="AX94">
        <v>32.93</v>
      </c>
    </row>
    <row r="95" spans="1:50" x14ac:dyDescent="0.35">
      <c r="A95" t="s">
        <v>95</v>
      </c>
      <c r="B95">
        <v>88.82</v>
      </c>
      <c r="D95" t="s">
        <v>639</v>
      </c>
      <c r="E95">
        <v>56.71</v>
      </c>
      <c r="G95" t="s">
        <v>95</v>
      </c>
      <c r="H95">
        <v>0.65600000000000003</v>
      </c>
      <c r="J95" t="s">
        <v>639</v>
      </c>
      <c r="K95">
        <v>2.86</v>
      </c>
      <c r="M95" t="s">
        <v>639</v>
      </c>
      <c r="N95">
        <v>62.55</v>
      </c>
      <c r="P95" t="s">
        <v>100</v>
      </c>
      <c r="Q95">
        <v>14.32</v>
      </c>
      <c r="S95" t="s">
        <v>95</v>
      </c>
      <c r="T95">
        <v>0.45500000000000002</v>
      </c>
      <c r="V95" t="s">
        <v>639</v>
      </c>
      <c r="W95">
        <v>40.770000000000003</v>
      </c>
      <c r="Y95" t="s">
        <v>639</v>
      </c>
      <c r="Z95">
        <v>2.1800000000000002</v>
      </c>
      <c r="AC95" s="4" t="s">
        <v>102</v>
      </c>
      <c r="AD95" s="5">
        <v>81144942</v>
      </c>
      <c r="AE95" s="5">
        <v>34888140</v>
      </c>
      <c r="AF95" s="5">
        <v>18595083</v>
      </c>
      <c r="AI95" t="s">
        <v>639</v>
      </c>
      <c r="AJ95">
        <v>18.78</v>
      </c>
      <c r="AL95" t="s">
        <v>95</v>
      </c>
      <c r="AM95">
        <v>8.9</v>
      </c>
      <c r="AO95" t="s">
        <v>95</v>
      </c>
      <c r="AP95">
        <v>69.81</v>
      </c>
      <c r="AQ95">
        <v>73.8</v>
      </c>
      <c r="AS95" t="s">
        <v>95</v>
      </c>
      <c r="AT95">
        <v>8.6300000000000008</v>
      </c>
      <c r="AU95">
        <v>7.81</v>
      </c>
      <c r="AW95" t="s">
        <v>95</v>
      </c>
      <c r="AX95">
        <v>30.4</v>
      </c>
    </row>
    <row r="96" spans="1:50" x14ac:dyDescent="0.35">
      <c r="A96" t="s">
        <v>96</v>
      </c>
      <c r="B96">
        <v>91.38</v>
      </c>
      <c r="D96" t="s">
        <v>640</v>
      </c>
      <c r="E96">
        <v>61.08</v>
      </c>
      <c r="G96" t="s">
        <v>96</v>
      </c>
      <c r="H96">
        <v>0.61</v>
      </c>
      <c r="J96" t="s">
        <v>640</v>
      </c>
      <c r="K96">
        <v>8.57</v>
      </c>
      <c r="M96" t="s">
        <v>640</v>
      </c>
      <c r="N96">
        <v>46.7</v>
      </c>
      <c r="P96" t="s">
        <v>101</v>
      </c>
      <c r="Q96">
        <v>13.98</v>
      </c>
      <c r="S96" t="s">
        <v>96</v>
      </c>
      <c r="T96">
        <v>0.39500000000000002</v>
      </c>
      <c r="V96" t="s">
        <v>640</v>
      </c>
      <c r="W96">
        <v>31.19</v>
      </c>
      <c r="Y96" t="s">
        <v>640</v>
      </c>
      <c r="Z96">
        <v>2.64</v>
      </c>
      <c r="AC96" s="4" t="s">
        <v>94</v>
      </c>
      <c r="AD96" s="5">
        <v>55198742</v>
      </c>
      <c r="AE96" s="5">
        <v>30958407</v>
      </c>
      <c r="AF96" s="5">
        <v>35884663</v>
      </c>
      <c r="AI96" t="s">
        <v>640</v>
      </c>
      <c r="AJ96">
        <v>23</v>
      </c>
      <c r="AL96" t="s">
        <v>96</v>
      </c>
      <c r="AM96">
        <v>8.5399999999999991</v>
      </c>
      <c r="AO96" t="s">
        <v>96</v>
      </c>
      <c r="AP96">
        <v>67.77</v>
      </c>
      <c r="AQ96">
        <v>71.72</v>
      </c>
      <c r="AS96" t="s">
        <v>96</v>
      </c>
      <c r="AT96">
        <v>8.64</v>
      </c>
      <c r="AU96">
        <v>7.84</v>
      </c>
      <c r="AW96" t="s">
        <v>96</v>
      </c>
      <c r="AX96">
        <v>26.95</v>
      </c>
    </row>
    <row r="97" spans="1:50" x14ac:dyDescent="0.35">
      <c r="A97" t="s">
        <v>97</v>
      </c>
      <c r="B97">
        <v>85.57</v>
      </c>
      <c r="D97" t="s">
        <v>641</v>
      </c>
      <c r="E97">
        <v>73.87</v>
      </c>
      <c r="G97" t="s">
        <v>97</v>
      </c>
      <c r="H97">
        <v>0.50700000000000001</v>
      </c>
      <c r="J97" t="s">
        <v>641</v>
      </c>
      <c r="K97">
        <v>20</v>
      </c>
      <c r="M97" t="s">
        <v>641</v>
      </c>
      <c r="N97">
        <v>52.68</v>
      </c>
      <c r="P97" t="s">
        <v>102</v>
      </c>
      <c r="Q97">
        <v>9.5399999999999991</v>
      </c>
      <c r="S97" t="s">
        <v>97</v>
      </c>
      <c r="T97">
        <v>0.36299999999999999</v>
      </c>
      <c r="V97" t="s">
        <v>641</v>
      </c>
      <c r="W97">
        <v>34.99</v>
      </c>
      <c r="Y97" t="s">
        <v>641</v>
      </c>
      <c r="Z97">
        <v>2.27</v>
      </c>
      <c r="AC97" s="4" t="s">
        <v>95</v>
      </c>
      <c r="AD97" s="5">
        <v>90855979</v>
      </c>
      <c r="AE97" s="5">
        <v>24521157</v>
      </c>
      <c r="AF97" s="5">
        <v>27941996</v>
      </c>
      <c r="AI97" t="s">
        <v>641</v>
      </c>
      <c r="AJ97">
        <v>17.27</v>
      </c>
      <c r="AL97" t="s">
        <v>97</v>
      </c>
      <c r="AM97">
        <v>9.4499999999999993</v>
      </c>
      <c r="AO97" t="s">
        <v>97</v>
      </c>
      <c r="AP97">
        <v>69.290000000000006</v>
      </c>
      <c r="AQ97">
        <v>73.25</v>
      </c>
      <c r="AS97" t="s">
        <v>97</v>
      </c>
      <c r="AT97">
        <v>8.59</v>
      </c>
      <c r="AU97">
        <v>8.09</v>
      </c>
      <c r="AW97" t="s">
        <v>97</v>
      </c>
      <c r="AX97">
        <v>32.17</v>
      </c>
    </row>
    <row r="98" spans="1:50" x14ac:dyDescent="0.35">
      <c r="A98" t="s">
        <v>98</v>
      </c>
      <c r="B98">
        <v>82.12</v>
      </c>
      <c r="D98" t="s">
        <v>642</v>
      </c>
      <c r="E98">
        <v>62.97</v>
      </c>
      <c r="G98" t="s">
        <v>98</v>
      </c>
      <c r="H98">
        <v>0.53700000000000003</v>
      </c>
      <c r="J98" t="s">
        <v>642</v>
      </c>
      <c r="K98">
        <v>8.57</v>
      </c>
      <c r="M98" t="s">
        <v>642</v>
      </c>
      <c r="N98">
        <v>57.46</v>
      </c>
      <c r="P98" t="s">
        <v>103</v>
      </c>
      <c r="Q98">
        <v>10.66</v>
      </c>
      <c r="S98" t="s">
        <v>98</v>
      </c>
      <c r="T98">
        <v>0.27900000000000003</v>
      </c>
      <c r="V98" t="s">
        <v>642</v>
      </c>
      <c r="W98">
        <v>35.56</v>
      </c>
      <c r="Y98" t="s">
        <v>642</v>
      </c>
      <c r="Z98">
        <v>2.19</v>
      </c>
      <c r="AC98" s="4" t="s">
        <v>98</v>
      </c>
      <c r="AD98" s="5">
        <v>78068613</v>
      </c>
      <c r="AE98" s="5">
        <v>24505101</v>
      </c>
      <c r="AF98" s="5">
        <v>22592182</v>
      </c>
      <c r="AI98" t="s">
        <v>642</v>
      </c>
      <c r="AJ98">
        <v>16.34</v>
      </c>
      <c r="AL98" t="s">
        <v>98</v>
      </c>
      <c r="AM98">
        <v>4.43</v>
      </c>
      <c r="AO98" t="s">
        <v>98</v>
      </c>
      <c r="AP98">
        <v>69.89</v>
      </c>
      <c r="AQ98">
        <v>73.88</v>
      </c>
      <c r="AS98" t="s">
        <v>98</v>
      </c>
      <c r="AT98">
        <v>8.9</v>
      </c>
      <c r="AU98">
        <v>8.5</v>
      </c>
      <c r="AW98" t="s">
        <v>98</v>
      </c>
      <c r="AX98">
        <v>32.83</v>
      </c>
    </row>
    <row r="99" spans="1:50" x14ac:dyDescent="0.35">
      <c r="A99" t="s">
        <v>99</v>
      </c>
      <c r="B99">
        <v>87.9</v>
      </c>
      <c r="D99" t="s">
        <v>643</v>
      </c>
      <c r="E99">
        <v>69.16</v>
      </c>
      <c r="G99" t="s">
        <v>99</v>
      </c>
      <c r="H99">
        <v>0.54700000000000004</v>
      </c>
      <c r="J99" t="s">
        <v>643</v>
      </c>
      <c r="K99">
        <v>26.67</v>
      </c>
      <c r="M99" t="s">
        <v>643</v>
      </c>
      <c r="N99">
        <v>53.23</v>
      </c>
      <c r="P99" t="s">
        <v>104</v>
      </c>
      <c r="Q99">
        <v>15.75</v>
      </c>
      <c r="S99" t="s">
        <v>99</v>
      </c>
      <c r="T99">
        <v>0.307</v>
      </c>
      <c r="V99" t="s">
        <v>643</v>
      </c>
      <c r="W99">
        <v>22.71</v>
      </c>
      <c r="Y99" t="s">
        <v>643</v>
      </c>
      <c r="Z99">
        <v>2.36</v>
      </c>
      <c r="AC99" s="4" t="s">
        <v>96</v>
      </c>
      <c r="AD99" s="5">
        <v>78608706</v>
      </c>
      <c r="AE99" s="5">
        <v>27710102</v>
      </c>
      <c r="AF99" s="5">
        <v>26282634</v>
      </c>
      <c r="AI99" t="s">
        <v>643</v>
      </c>
      <c r="AJ99">
        <v>19.59</v>
      </c>
      <c r="AL99" t="s">
        <v>99</v>
      </c>
      <c r="AM99">
        <v>10.85</v>
      </c>
      <c r="AO99" t="s">
        <v>99</v>
      </c>
      <c r="AP99">
        <v>65.05</v>
      </c>
      <c r="AQ99">
        <v>68.989999999999995</v>
      </c>
      <c r="AS99" t="s">
        <v>99</v>
      </c>
      <c r="AT99">
        <v>7.72</v>
      </c>
      <c r="AU99">
        <v>7.12</v>
      </c>
      <c r="AW99" t="s">
        <v>99</v>
      </c>
      <c r="AX99">
        <v>26.6</v>
      </c>
    </row>
    <row r="100" spans="1:50" x14ac:dyDescent="0.35">
      <c r="A100" t="s">
        <v>100</v>
      </c>
      <c r="B100">
        <v>86.51</v>
      </c>
      <c r="D100" t="s">
        <v>644</v>
      </c>
      <c r="E100">
        <v>73.39</v>
      </c>
      <c r="G100" t="s">
        <v>100</v>
      </c>
      <c r="H100">
        <v>0.54700000000000004</v>
      </c>
      <c r="J100" t="s">
        <v>644</v>
      </c>
      <c r="K100">
        <v>25.71</v>
      </c>
      <c r="M100" t="s">
        <v>644</v>
      </c>
      <c r="N100">
        <v>44.46</v>
      </c>
      <c r="P100" t="s">
        <v>106</v>
      </c>
      <c r="Q100">
        <v>6.22</v>
      </c>
      <c r="S100" t="s">
        <v>100</v>
      </c>
      <c r="T100">
        <v>0.35699999999999998</v>
      </c>
      <c r="V100" t="s">
        <v>644</v>
      </c>
      <c r="W100">
        <v>27.33</v>
      </c>
      <c r="Y100" t="s">
        <v>644</v>
      </c>
      <c r="Z100">
        <v>2.39</v>
      </c>
      <c r="AC100" s="4" t="s">
        <v>100</v>
      </c>
      <c r="AD100" s="5">
        <v>62507767</v>
      </c>
      <c r="AE100" s="5">
        <v>26347821</v>
      </c>
      <c r="AF100" s="5">
        <v>24975960</v>
      </c>
      <c r="AI100" t="s">
        <v>644</v>
      </c>
      <c r="AJ100">
        <v>22.87</v>
      </c>
      <c r="AL100" t="s">
        <v>100</v>
      </c>
      <c r="AM100">
        <v>9.7899999999999991</v>
      </c>
      <c r="AO100" t="s">
        <v>100</v>
      </c>
      <c r="AP100">
        <v>66.739999999999995</v>
      </c>
      <c r="AQ100">
        <v>70.709999999999994</v>
      </c>
      <c r="AS100" t="s">
        <v>100</v>
      </c>
      <c r="AT100">
        <v>8.52</v>
      </c>
      <c r="AU100">
        <v>8.01</v>
      </c>
      <c r="AW100" t="s">
        <v>100</v>
      </c>
      <c r="AX100">
        <v>30.03</v>
      </c>
    </row>
    <row r="101" spans="1:50" x14ac:dyDescent="0.35">
      <c r="A101" t="s">
        <v>101</v>
      </c>
      <c r="B101">
        <v>91.63</v>
      </c>
      <c r="D101" t="s">
        <v>645</v>
      </c>
      <c r="E101">
        <v>51.23</v>
      </c>
      <c r="G101" t="s">
        <v>101</v>
      </c>
      <c r="H101">
        <v>0.63700000000000001</v>
      </c>
      <c r="J101" t="s">
        <v>645</v>
      </c>
      <c r="K101">
        <v>2.86</v>
      </c>
      <c r="M101" t="s">
        <v>645</v>
      </c>
      <c r="N101">
        <v>56.88</v>
      </c>
      <c r="P101" t="s">
        <v>107</v>
      </c>
      <c r="Q101">
        <v>6.3</v>
      </c>
      <c r="S101" t="s">
        <v>101</v>
      </c>
      <c r="T101">
        <v>0.35499999999999998</v>
      </c>
      <c r="V101" t="s">
        <v>645</v>
      </c>
      <c r="W101">
        <v>29.38</v>
      </c>
      <c r="Y101" t="s">
        <v>645</v>
      </c>
      <c r="Z101">
        <v>2.4500000000000002</v>
      </c>
      <c r="AC101" s="4" t="s">
        <v>99</v>
      </c>
      <c r="AD101" s="5">
        <v>49287250</v>
      </c>
      <c r="AE101" s="5">
        <v>36688871</v>
      </c>
      <c r="AF101" s="5">
        <v>22384156</v>
      </c>
      <c r="AI101" t="s">
        <v>645</v>
      </c>
      <c r="AJ101">
        <v>21.31</v>
      </c>
      <c r="AL101" t="s">
        <v>101</v>
      </c>
      <c r="AM101">
        <v>6.46</v>
      </c>
      <c r="AO101" t="s">
        <v>101</v>
      </c>
      <c r="AP101">
        <v>68.569999999999993</v>
      </c>
      <c r="AQ101">
        <v>72.5</v>
      </c>
      <c r="AS101" t="s">
        <v>101</v>
      </c>
      <c r="AT101">
        <v>8.25</v>
      </c>
      <c r="AU101">
        <v>7.83</v>
      </c>
      <c r="AW101" t="s">
        <v>101</v>
      </c>
      <c r="AX101">
        <v>28.48</v>
      </c>
    </row>
    <row r="102" spans="1:50" x14ac:dyDescent="0.35">
      <c r="A102" t="s">
        <v>102</v>
      </c>
      <c r="B102">
        <v>88.83</v>
      </c>
      <c r="D102" t="s">
        <v>646</v>
      </c>
      <c r="E102">
        <v>56.05</v>
      </c>
      <c r="G102" t="s">
        <v>102</v>
      </c>
      <c r="H102">
        <v>0.53200000000000003</v>
      </c>
      <c r="J102" t="s">
        <v>646</v>
      </c>
      <c r="K102">
        <v>14.29</v>
      </c>
      <c r="M102" t="s">
        <v>646</v>
      </c>
      <c r="N102">
        <v>65.319999999999993</v>
      </c>
      <c r="P102" t="s">
        <v>108</v>
      </c>
      <c r="Q102">
        <v>6.13</v>
      </c>
      <c r="S102" t="s">
        <v>102</v>
      </c>
      <c r="T102">
        <v>0.46100000000000002</v>
      </c>
      <c r="V102" t="s">
        <v>646</v>
      </c>
      <c r="W102">
        <v>23.11</v>
      </c>
      <c r="Y102" t="s">
        <v>646</v>
      </c>
      <c r="Z102">
        <v>2.23</v>
      </c>
      <c r="AC102" s="4" t="s">
        <v>101</v>
      </c>
      <c r="AD102" s="5">
        <v>72094132</v>
      </c>
      <c r="AE102" s="5">
        <v>31105962</v>
      </c>
      <c r="AF102" s="5">
        <v>18191649</v>
      </c>
      <c r="AI102" t="s">
        <v>646</v>
      </c>
      <c r="AJ102">
        <v>20.76</v>
      </c>
      <c r="AL102" t="s">
        <v>102</v>
      </c>
      <c r="AM102">
        <v>5.29</v>
      </c>
      <c r="AO102" t="s">
        <v>102</v>
      </c>
      <c r="AP102">
        <v>66.48</v>
      </c>
      <c r="AQ102">
        <v>70.459999999999994</v>
      </c>
      <c r="AS102" t="s">
        <v>102</v>
      </c>
      <c r="AT102">
        <v>8.8800000000000008</v>
      </c>
      <c r="AU102">
        <v>7.94</v>
      </c>
      <c r="AW102" t="s">
        <v>102</v>
      </c>
      <c r="AX102">
        <v>29.86</v>
      </c>
    </row>
    <row r="103" spans="1:50" x14ac:dyDescent="0.35">
      <c r="A103" t="s">
        <v>103</v>
      </c>
      <c r="B103">
        <v>95.01</v>
      </c>
      <c r="D103" t="s">
        <v>647</v>
      </c>
      <c r="E103">
        <v>68.709999999999994</v>
      </c>
      <c r="G103" t="s">
        <v>103</v>
      </c>
      <c r="H103">
        <v>0.32600000000000001</v>
      </c>
      <c r="J103" t="s">
        <v>647</v>
      </c>
      <c r="K103">
        <v>17.78</v>
      </c>
      <c r="M103" t="s">
        <v>647</v>
      </c>
      <c r="N103">
        <v>46.95</v>
      </c>
      <c r="P103" t="s">
        <v>109</v>
      </c>
      <c r="Q103">
        <v>5.41</v>
      </c>
      <c r="S103" t="s">
        <v>103</v>
      </c>
      <c r="T103">
        <v>0.08</v>
      </c>
      <c r="V103" t="s">
        <v>647</v>
      </c>
      <c r="W103">
        <v>29.82</v>
      </c>
      <c r="Y103" t="s">
        <v>647</v>
      </c>
      <c r="Z103">
        <v>2.08</v>
      </c>
      <c r="AC103" s="4" t="s">
        <v>103</v>
      </c>
      <c r="AD103" s="5">
        <v>47543501</v>
      </c>
      <c r="AE103" s="5">
        <v>14319411</v>
      </c>
      <c r="AF103" s="5">
        <v>2838700</v>
      </c>
      <c r="AI103" t="s">
        <v>647</v>
      </c>
      <c r="AJ103">
        <v>15.09</v>
      </c>
      <c r="AL103" t="s">
        <v>103</v>
      </c>
      <c r="AM103">
        <v>8.24</v>
      </c>
      <c r="AO103" t="s">
        <v>103</v>
      </c>
      <c r="AP103">
        <v>71.19</v>
      </c>
      <c r="AQ103">
        <v>75.489999999999995</v>
      </c>
      <c r="AS103" t="s">
        <v>103</v>
      </c>
      <c r="AT103">
        <v>11.53</v>
      </c>
      <c r="AU103">
        <v>11.12</v>
      </c>
      <c r="AW103" t="s">
        <v>103</v>
      </c>
      <c r="AX103">
        <v>61.85</v>
      </c>
    </row>
    <row r="104" spans="1:50" x14ac:dyDescent="0.35">
      <c r="A104" t="s">
        <v>104</v>
      </c>
      <c r="B104">
        <v>94.54</v>
      </c>
      <c r="D104" t="s">
        <v>648</v>
      </c>
      <c r="E104">
        <v>52.51</v>
      </c>
      <c r="G104" t="s">
        <v>104</v>
      </c>
      <c r="H104">
        <v>0.75800000000000001</v>
      </c>
      <c r="J104" t="s">
        <v>648</v>
      </c>
      <c r="K104" t="s">
        <v>548</v>
      </c>
      <c r="M104" t="s">
        <v>648</v>
      </c>
      <c r="N104">
        <v>58.17</v>
      </c>
      <c r="P104" t="s">
        <v>110</v>
      </c>
      <c r="Q104">
        <v>8.1199999999999992</v>
      </c>
      <c r="S104" t="s">
        <v>104</v>
      </c>
      <c r="T104">
        <v>0.20699999999999999</v>
      </c>
      <c r="V104" t="s">
        <v>648</v>
      </c>
      <c r="W104">
        <v>35.03</v>
      </c>
      <c r="Y104" t="s">
        <v>648</v>
      </c>
      <c r="Z104">
        <v>2.19</v>
      </c>
      <c r="AC104" s="4" t="s">
        <v>104</v>
      </c>
      <c r="AD104" s="5">
        <v>30756248</v>
      </c>
      <c r="AE104" s="5">
        <v>15805206</v>
      </c>
      <c r="AF104" s="5">
        <v>7432666</v>
      </c>
      <c r="AI104" t="s">
        <v>648</v>
      </c>
      <c r="AJ104">
        <v>19.82</v>
      </c>
      <c r="AL104" t="s">
        <v>104</v>
      </c>
      <c r="AM104">
        <v>3</v>
      </c>
      <c r="AO104" t="s">
        <v>104</v>
      </c>
      <c r="AP104">
        <v>70.89</v>
      </c>
      <c r="AQ104">
        <v>74.92</v>
      </c>
      <c r="AS104" t="s">
        <v>104</v>
      </c>
      <c r="AT104">
        <v>11.15</v>
      </c>
      <c r="AU104">
        <v>10.210000000000001</v>
      </c>
      <c r="AW104" t="s">
        <v>104</v>
      </c>
      <c r="AX104">
        <v>52.15</v>
      </c>
    </row>
    <row r="105" spans="1:50" x14ac:dyDescent="0.35">
      <c r="A105" t="s">
        <v>105</v>
      </c>
      <c r="B105">
        <v>93.25</v>
      </c>
      <c r="D105" t="s">
        <v>105</v>
      </c>
      <c r="E105">
        <v>76.58</v>
      </c>
      <c r="G105" t="s">
        <v>105</v>
      </c>
      <c r="H105">
        <v>0.496</v>
      </c>
      <c r="J105" t="s">
        <v>105</v>
      </c>
      <c r="K105">
        <v>24</v>
      </c>
      <c r="M105" t="s">
        <v>105</v>
      </c>
      <c r="N105">
        <v>54.24</v>
      </c>
      <c r="P105" t="s">
        <v>111</v>
      </c>
      <c r="Q105">
        <v>4.58</v>
      </c>
      <c r="S105" t="s">
        <v>105</v>
      </c>
      <c r="T105">
        <v>0.30399999999999999</v>
      </c>
      <c r="V105" t="s">
        <v>105</v>
      </c>
      <c r="W105">
        <v>34.4</v>
      </c>
      <c r="Y105" t="s">
        <v>105</v>
      </c>
      <c r="Z105">
        <v>2.23</v>
      </c>
      <c r="AC105" s="4" t="s">
        <v>1114</v>
      </c>
      <c r="AD105" s="5">
        <v>207474049</v>
      </c>
      <c r="AE105" s="5">
        <v>16926930</v>
      </c>
      <c r="AF105" s="5">
        <v>10337985</v>
      </c>
      <c r="AI105" t="s">
        <v>105</v>
      </c>
      <c r="AJ105">
        <v>19.62</v>
      </c>
      <c r="AL105" t="s">
        <v>105</v>
      </c>
      <c r="AM105">
        <v>11.78</v>
      </c>
      <c r="AO105" t="s">
        <v>105</v>
      </c>
      <c r="AP105">
        <v>68.739999999999995</v>
      </c>
      <c r="AQ105">
        <v>72.680000000000007</v>
      </c>
      <c r="AS105" t="s">
        <v>105</v>
      </c>
      <c r="AT105">
        <v>8.67</v>
      </c>
      <c r="AU105">
        <v>8.33</v>
      </c>
      <c r="AW105" t="s">
        <v>105</v>
      </c>
      <c r="AX105">
        <v>36.909999999999997</v>
      </c>
    </row>
    <row r="106" spans="1:50" x14ac:dyDescent="0.35">
      <c r="A106" t="s">
        <v>106</v>
      </c>
      <c r="B106">
        <v>94.34</v>
      </c>
      <c r="D106" t="s">
        <v>649</v>
      </c>
      <c r="E106">
        <v>52.45</v>
      </c>
      <c r="G106" t="s">
        <v>106</v>
      </c>
      <c r="H106">
        <v>0.53300000000000003</v>
      </c>
      <c r="J106" t="s">
        <v>649</v>
      </c>
      <c r="K106">
        <v>8.57</v>
      </c>
      <c r="M106" t="s">
        <v>649</v>
      </c>
      <c r="N106">
        <v>61.7</v>
      </c>
      <c r="P106" t="s">
        <v>112</v>
      </c>
      <c r="Q106">
        <v>4.4800000000000004</v>
      </c>
      <c r="S106" t="s">
        <v>106</v>
      </c>
      <c r="T106">
        <v>0.34399999999999997</v>
      </c>
      <c r="V106" t="s">
        <v>649</v>
      </c>
      <c r="W106">
        <v>24.41</v>
      </c>
      <c r="Y106" t="s">
        <v>649</v>
      </c>
      <c r="Z106">
        <v>2.31</v>
      </c>
      <c r="AC106" s="4" t="s">
        <v>109</v>
      </c>
      <c r="AD106" s="5">
        <v>58428866</v>
      </c>
      <c r="AE106" s="5">
        <v>48601829</v>
      </c>
      <c r="AF106" s="5">
        <v>27410877</v>
      </c>
      <c r="AI106" t="s">
        <v>649</v>
      </c>
      <c r="AJ106">
        <v>22</v>
      </c>
      <c r="AL106" t="s">
        <v>106</v>
      </c>
      <c r="AM106">
        <v>11.46</v>
      </c>
      <c r="AO106" t="s">
        <v>106</v>
      </c>
      <c r="AP106">
        <v>66.91</v>
      </c>
      <c r="AQ106">
        <v>70.88</v>
      </c>
      <c r="AS106" t="s">
        <v>106</v>
      </c>
      <c r="AT106">
        <v>8.9600000000000009</v>
      </c>
      <c r="AU106">
        <v>8.73</v>
      </c>
      <c r="AW106" t="s">
        <v>106</v>
      </c>
      <c r="AX106">
        <v>42.52</v>
      </c>
    </row>
    <row r="107" spans="1:50" x14ac:dyDescent="0.35">
      <c r="A107" t="s">
        <v>107</v>
      </c>
      <c r="B107">
        <v>92.35</v>
      </c>
      <c r="D107" t="s">
        <v>650</v>
      </c>
      <c r="E107">
        <v>61.87</v>
      </c>
      <c r="G107" t="s">
        <v>107</v>
      </c>
      <c r="H107">
        <v>0.52700000000000002</v>
      </c>
      <c r="J107" t="s">
        <v>650</v>
      </c>
      <c r="K107">
        <v>15.56</v>
      </c>
      <c r="M107" t="s">
        <v>650</v>
      </c>
      <c r="N107">
        <v>51.65</v>
      </c>
      <c r="P107" t="s">
        <v>113</v>
      </c>
      <c r="Q107">
        <v>10.47</v>
      </c>
      <c r="S107" t="s">
        <v>107</v>
      </c>
      <c r="T107">
        <v>0.34799999999999998</v>
      </c>
      <c r="V107" t="s">
        <v>650</v>
      </c>
      <c r="W107">
        <v>25.37</v>
      </c>
      <c r="Y107" t="s">
        <v>650</v>
      </c>
      <c r="Z107">
        <v>2.2799999999999998</v>
      </c>
      <c r="AC107" s="4" t="s">
        <v>111</v>
      </c>
      <c r="AD107" s="5">
        <v>63346751</v>
      </c>
      <c r="AE107" s="5">
        <v>22405130</v>
      </c>
      <c r="AF107" s="5">
        <v>8512713</v>
      </c>
      <c r="AI107" t="s">
        <v>650</v>
      </c>
      <c r="AJ107">
        <v>19.239999999999998</v>
      </c>
      <c r="AL107" t="s">
        <v>107</v>
      </c>
      <c r="AM107">
        <v>13.15</v>
      </c>
      <c r="AO107" t="s">
        <v>107</v>
      </c>
      <c r="AP107">
        <v>67.38</v>
      </c>
      <c r="AQ107">
        <v>71.34</v>
      </c>
      <c r="AS107" t="s">
        <v>107</v>
      </c>
      <c r="AT107">
        <v>7.5</v>
      </c>
      <c r="AU107">
        <v>6.79</v>
      </c>
      <c r="AW107" t="s">
        <v>107</v>
      </c>
      <c r="AX107">
        <v>20.61</v>
      </c>
    </row>
    <row r="108" spans="1:50" x14ac:dyDescent="0.35">
      <c r="A108" t="s">
        <v>108</v>
      </c>
      <c r="B108">
        <v>89.82</v>
      </c>
      <c r="D108" t="s">
        <v>651</v>
      </c>
      <c r="E108">
        <v>69.66</v>
      </c>
      <c r="G108" t="s">
        <v>108</v>
      </c>
      <c r="H108">
        <v>0.56899999999999995</v>
      </c>
      <c r="J108" t="s">
        <v>651</v>
      </c>
      <c r="K108">
        <v>15.56</v>
      </c>
      <c r="M108" t="s">
        <v>651</v>
      </c>
      <c r="N108">
        <v>55.58</v>
      </c>
      <c r="P108" t="s">
        <v>114</v>
      </c>
      <c r="Q108">
        <v>8.4</v>
      </c>
      <c r="S108" t="s">
        <v>108</v>
      </c>
      <c r="T108">
        <v>0.36299999999999999</v>
      </c>
      <c r="V108" t="s">
        <v>651</v>
      </c>
      <c r="W108">
        <v>36.520000000000003</v>
      </c>
      <c r="Y108" t="s">
        <v>651</v>
      </c>
      <c r="Z108">
        <v>2.2400000000000002</v>
      </c>
      <c r="AC108" s="4" t="s">
        <v>110</v>
      </c>
      <c r="AD108" s="5">
        <v>72896702</v>
      </c>
      <c r="AE108" s="5">
        <v>33108961</v>
      </c>
      <c r="AF108" s="5">
        <v>25567872</v>
      </c>
      <c r="AI108" t="s">
        <v>651</v>
      </c>
      <c r="AJ108">
        <v>18.95</v>
      </c>
      <c r="AL108" t="s">
        <v>108</v>
      </c>
      <c r="AM108">
        <v>10.93</v>
      </c>
      <c r="AO108" t="s">
        <v>108</v>
      </c>
      <c r="AP108">
        <v>67.790000000000006</v>
      </c>
      <c r="AQ108">
        <v>71.739999999999995</v>
      </c>
      <c r="AS108" t="s">
        <v>108</v>
      </c>
      <c r="AT108">
        <v>8.65</v>
      </c>
      <c r="AU108">
        <v>7.57</v>
      </c>
      <c r="AW108" t="s">
        <v>108</v>
      </c>
      <c r="AX108">
        <v>31.64</v>
      </c>
    </row>
    <row r="109" spans="1:50" x14ac:dyDescent="0.35">
      <c r="A109" t="s">
        <v>109</v>
      </c>
      <c r="B109">
        <v>94.76</v>
      </c>
      <c r="D109" t="s">
        <v>652</v>
      </c>
      <c r="E109">
        <v>69.3</v>
      </c>
      <c r="G109" t="s">
        <v>109</v>
      </c>
      <c r="H109">
        <v>0.48899999999999999</v>
      </c>
      <c r="J109" t="s">
        <v>652</v>
      </c>
      <c r="K109">
        <v>15</v>
      </c>
      <c r="M109" t="s">
        <v>652</v>
      </c>
      <c r="N109">
        <v>56.69</v>
      </c>
      <c r="P109" t="s">
        <v>115</v>
      </c>
      <c r="Q109">
        <v>8.5500000000000007</v>
      </c>
      <c r="S109" t="s">
        <v>109</v>
      </c>
      <c r="T109">
        <v>0.26500000000000001</v>
      </c>
      <c r="V109" t="s">
        <v>652</v>
      </c>
      <c r="W109">
        <v>36.9</v>
      </c>
      <c r="Y109" t="s">
        <v>652</v>
      </c>
      <c r="Z109">
        <v>2.2799999999999998</v>
      </c>
      <c r="AC109" s="4" t="s">
        <v>108</v>
      </c>
      <c r="AD109" s="5">
        <v>85840401</v>
      </c>
      <c r="AE109" s="5">
        <v>35399055</v>
      </c>
      <c r="AF109" s="5">
        <v>11646389</v>
      </c>
      <c r="AI109" t="s">
        <v>652</v>
      </c>
      <c r="AJ109">
        <v>23.41</v>
      </c>
      <c r="AL109" t="s">
        <v>109</v>
      </c>
      <c r="AM109">
        <v>15</v>
      </c>
      <c r="AO109" t="s">
        <v>109</v>
      </c>
      <c r="AP109">
        <v>64.959999999999994</v>
      </c>
      <c r="AQ109">
        <v>68.89</v>
      </c>
      <c r="AS109" t="s">
        <v>109</v>
      </c>
      <c r="AT109">
        <v>8.93</v>
      </c>
      <c r="AU109">
        <v>8.31</v>
      </c>
      <c r="AW109" t="s">
        <v>109</v>
      </c>
      <c r="AX109">
        <v>38.19</v>
      </c>
    </row>
    <row r="110" spans="1:50" x14ac:dyDescent="0.35">
      <c r="A110" t="s">
        <v>110</v>
      </c>
      <c r="B110">
        <v>86.55</v>
      </c>
      <c r="D110" t="s">
        <v>653</v>
      </c>
      <c r="E110">
        <v>65.44</v>
      </c>
      <c r="G110" t="s">
        <v>110</v>
      </c>
      <c r="H110">
        <v>0.54300000000000004</v>
      </c>
      <c r="J110" t="s">
        <v>653</v>
      </c>
      <c r="K110">
        <v>20</v>
      </c>
      <c r="M110" t="s">
        <v>653</v>
      </c>
      <c r="N110">
        <v>56.8</v>
      </c>
      <c r="P110" t="s">
        <v>116</v>
      </c>
      <c r="Q110">
        <v>12.35</v>
      </c>
      <c r="S110" t="s">
        <v>110</v>
      </c>
      <c r="T110">
        <v>0.39100000000000001</v>
      </c>
      <c r="V110" t="s">
        <v>653</v>
      </c>
      <c r="W110">
        <v>25.68</v>
      </c>
      <c r="Y110" t="s">
        <v>653</v>
      </c>
      <c r="Z110">
        <v>2.2599999999999998</v>
      </c>
      <c r="AC110" s="4" t="s">
        <v>107</v>
      </c>
      <c r="AD110" s="5">
        <v>146323713</v>
      </c>
      <c r="AE110" s="5">
        <v>56299180</v>
      </c>
      <c r="AF110" s="5">
        <v>36442120</v>
      </c>
      <c r="AI110" t="s">
        <v>653</v>
      </c>
      <c r="AJ110">
        <v>21.22</v>
      </c>
      <c r="AL110" t="s">
        <v>110</v>
      </c>
      <c r="AM110">
        <v>14.13</v>
      </c>
      <c r="AO110" t="s">
        <v>110</v>
      </c>
      <c r="AP110">
        <v>67.010000000000005</v>
      </c>
      <c r="AQ110">
        <v>70.98</v>
      </c>
      <c r="AS110" t="s">
        <v>110</v>
      </c>
      <c r="AT110">
        <v>7.87</v>
      </c>
      <c r="AU110">
        <v>7.41</v>
      </c>
      <c r="AW110" t="s">
        <v>110</v>
      </c>
      <c r="AX110">
        <v>28.04</v>
      </c>
    </row>
    <row r="111" spans="1:50" x14ac:dyDescent="0.35">
      <c r="A111" t="s">
        <v>111</v>
      </c>
      <c r="B111">
        <v>83.48</v>
      </c>
      <c r="D111" t="s">
        <v>654</v>
      </c>
      <c r="E111">
        <v>61.78</v>
      </c>
      <c r="G111" t="s">
        <v>111</v>
      </c>
      <c r="H111">
        <v>0.58199999999999996</v>
      </c>
      <c r="J111" t="s">
        <v>654</v>
      </c>
      <c r="K111">
        <v>8.89</v>
      </c>
      <c r="M111" t="s">
        <v>654</v>
      </c>
      <c r="N111">
        <v>60.33</v>
      </c>
      <c r="P111" t="s">
        <v>117</v>
      </c>
      <c r="Q111">
        <v>8.2799999999999994</v>
      </c>
      <c r="S111" t="s">
        <v>111</v>
      </c>
      <c r="T111">
        <v>0.371</v>
      </c>
      <c r="V111" t="s">
        <v>654</v>
      </c>
      <c r="W111">
        <v>35.74</v>
      </c>
      <c r="Y111" t="s">
        <v>654</v>
      </c>
      <c r="Z111">
        <v>2.31</v>
      </c>
      <c r="AC111" s="4" t="s">
        <v>106</v>
      </c>
      <c r="AD111" s="5">
        <v>78983637</v>
      </c>
      <c r="AE111" s="5">
        <v>33901802</v>
      </c>
      <c r="AF111" s="5">
        <v>22638546</v>
      </c>
      <c r="AI111" t="s">
        <v>654</v>
      </c>
      <c r="AJ111">
        <v>19.55</v>
      </c>
      <c r="AL111" t="s">
        <v>111</v>
      </c>
      <c r="AM111">
        <v>14.9</v>
      </c>
      <c r="AO111" t="s">
        <v>111</v>
      </c>
      <c r="AP111">
        <v>67.58</v>
      </c>
      <c r="AQ111">
        <v>71.540000000000006</v>
      </c>
      <c r="AS111" t="s">
        <v>111</v>
      </c>
      <c r="AT111">
        <v>7.93</v>
      </c>
      <c r="AU111">
        <v>7.43</v>
      </c>
      <c r="AW111" t="s">
        <v>111</v>
      </c>
      <c r="AX111">
        <v>27.23</v>
      </c>
    </row>
    <row r="112" spans="1:50" x14ac:dyDescent="0.35">
      <c r="A112" t="s">
        <v>112</v>
      </c>
      <c r="B112">
        <v>89.54</v>
      </c>
      <c r="D112" t="s">
        <v>655</v>
      </c>
      <c r="E112">
        <v>57.73</v>
      </c>
      <c r="G112" t="s">
        <v>112</v>
      </c>
      <c r="H112">
        <v>0.59099999999999997</v>
      </c>
      <c r="J112" t="s">
        <v>655</v>
      </c>
      <c r="K112">
        <v>8.89</v>
      </c>
      <c r="M112" t="s">
        <v>655</v>
      </c>
      <c r="N112">
        <v>58.41</v>
      </c>
      <c r="P112" t="s">
        <v>118</v>
      </c>
      <c r="Q112">
        <v>7.49</v>
      </c>
      <c r="S112" t="s">
        <v>112</v>
      </c>
      <c r="T112">
        <v>0.29499999999999998</v>
      </c>
      <c r="V112" t="s">
        <v>655</v>
      </c>
      <c r="W112">
        <v>29.4</v>
      </c>
      <c r="Y112" t="s">
        <v>655</v>
      </c>
      <c r="Z112">
        <v>2.23</v>
      </c>
      <c r="AC112" s="4" t="s">
        <v>119</v>
      </c>
      <c r="AD112" s="5">
        <v>46534088</v>
      </c>
      <c r="AE112" s="5">
        <v>58192689</v>
      </c>
      <c r="AF112" s="5">
        <v>2771277</v>
      </c>
      <c r="AI112" t="s">
        <v>655</v>
      </c>
      <c r="AJ112">
        <v>18.739999999999998</v>
      </c>
      <c r="AL112" t="s">
        <v>112</v>
      </c>
      <c r="AM112">
        <v>9.58</v>
      </c>
      <c r="AO112" t="s">
        <v>112</v>
      </c>
      <c r="AP112">
        <v>67.83</v>
      </c>
      <c r="AQ112">
        <v>71.78</v>
      </c>
      <c r="AS112" t="s">
        <v>112</v>
      </c>
      <c r="AT112">
        <v>7.91</v>
      </c>
      <c r="AU112">
        <v>7.11</v>
      </c>
      <c r="AW112" t="s">
        <v>112</v>
      </c>
      <c r="AX112">
        <v>25.77</v>
      </c>
    </row>
    <row r="113" spans="1:50" x14ac:dyDescent="0.35">
      <c r="A113" t="s">
        <v>113</v>
      </c>
      <c r="B113">
        <v>92.46</v>
      </c>
      <c r="D113" t="s">
        <v>656</v>
      </c>
      <c r="E113">
        <v>57.8</v>
      </c>
      <c r="G113" t="s">
        <v>113</v>
      </c>
      <c r="H113">
        <v>0.59</v>
      </c>
      <c r="J113" t="s">
        <v>656</v>
      </c>
      <c r="K113">
        <v>12.5</v>
      </c>
      <c r="M113" t="s">
        <v>656</v>
      </c>
      <c r="N113">
        <v>51.93</v>
      </c>
      <c r="P113" t="s">
        <v>119</v>
      </c>
      <c r="Q113">
        <v>4.59</v>
      </c>
      <c r="S113" t="s">
        <v>113</v>
      </c>
      <c r="T113">
        <v>0.35699999999999998</v>
      </c>
      <c r="V113" t="s">
        <v>656</v>
      </c>
      <c r="W113">
        <v>22.97</v>
      </c>
      <c r="Y113" t="s">
        <v>656</v>
      </c>
      <c r="Z113">
        <v>2.27</v>
      </c>
      <c r="AC113" s="4" t="s">
        <v>120</v>
      </c>
      <c r="AD113" s="5">
        <v>14293107</v>
      </c>
      <c r="AE113" s="5">
        <v>15225883</v>
      </c>
      <c r="AF113" s="5">
        <v>3578528</v>
      </c>
      <c r="AI113" t="s">
        <v>656</v>
      </c>
      <c r="AJ113">
        <v>22.85</v>
      </c>
      <c r="AL113" t="s">
        <v>113</v>
      </c>
      <c r="AM113">
        <v>10.36</v>
      </c>
      <c r="AO113" t="s">
        <v>113</v>
      </c>
      <c r="AP113">
        <v>65.94</v>
      </c>
      <c r="AQ113">
        <v>69.92</v>
      </c>
      <c r="AS113" t="s">
        <v>113</v>
      </c>
      <c r="AT113">
        <v>8.2200000000000006</v>
      </c>
      <c r="AU113">
        <v>7.93</v>
      </c>
      <c r="AW113" t="s">
        <v>113</v>
      </c>
      <c r="AX113">
        <v>26.81</v>
      </c>
    </row>
    <row r="114" spans="1:50" x14ac:dyDescent="0.35">
      <c r="A114" t="s">
        <v>114</v>
      </c>
      <c r="B114">
        <v>94.59</v>
      </c>
      <c r="D114" t="s">
        <v>657</v>
      </c>
      <c r="E114">
        <v>56.77</v>
      </c>
      <c r="G114" t="s">
        <v>114</v>
      </c>
      <c r="H114">
        <v>0.53500000000000003</v>
      </c>
      <c r="J114" t="s">
        <v>657</v>
      </c>
      <c r="K114">
        <v>6.67</v>
      </c>
      <c r="M114" t="s">
        <v>657</v>
      </c>
      <c r="N114">
        <v>52.48</v>
      </c>
      <c r="P114" t="s">
        <v>120</v>
      </c>
      <c r="Q114">
        <v>8.09</v>
      </c>
      <c r="S114" t="s">
        <v>114</v>
      </c>
      <c r="T114">
        <v>0.32400000000000001</v>
      </c>
      <c r="V114" t="s">
        <v>657</v>
      </c>
      <c r="W114">
        <v>29.5</v>
      </c>
      <c r="Y114" t="s">
        <v>657</v>
      </c>
      <c r="Z114">
        <v>2.2000000000000002</v>
      </c>
      <c r="AC114" s="4" t="s">
        <v>121</v>
      </c>
      <c r="AD114" s="5">
        <v>39309849</v>
      </c>
      <c r="AE114" s="5">
        <v>27464395</v>
      </c>
      <c r="AF114" s="5">
        <v>18606866</v>
      </c>
      <c r="AI114" t="s">
        <v>657</v>
      </c>
      <c r="AJ114">
        <v>18.16</v>
      </c>
      <c r="AL114" t="s">
        <v>114</v>
      </c>
      <c r="AM114">
        <v>9.99</v>
      </c>
      <c r="AO114" t="s">
        <v>114</v>
      </c>
      <c r="AP114">
        <v>67.849999999999994</v>
      </c>
      <c r="AQ114">
        <v>71.8</v>
      </c>
      <c r="AS114" t="s">
        <v>114</v>
      </c>
      <c r="AT114">
        <v>8.2100000000000009</v>
      </c>
      <c r="AU114">
        <v>7.71</v>
      </c>
      <c r="AW114" t="s">
        <v>114</v>
      </c>
      <c r="AX114">
        <v>31.77</v>
      </c>
    </row>
    <row r="115" spans="1:50" x14ac:dyDescent="0.35">
      <c r="A115" t="s">
        <v>115</v>
      </c>
      <c r="B115">
        <v>98.93</v>
      </c>
      <c r="D115" t="s">
        <v>658</v>
      </c>
      <c r="E115">
        <v>61.8</v>
      </c>
      <c r="G115" t="s">
        <v>115</v>
      </c>
      <c r="H115">
        <v>0.53600000000000003</v>
      </c>
      <c r="J115" t="s">
        <v>658</v>
      </c>
      <c r="K115">
        <v>15</v>
      </c>
      <c r="M115" t="s">
        <v>658</v>
      </c>
      <c r="N115">
        <v>56.49</v>
      </c>
      <c r="P115" t="s">
        <v>121</v>
      </c>
      <c r="Q115">
        <v>10.23</v>
      </c>
      <c r="S115" t="s">
        <v>115</v>
      </c>
      <c r="T115">
        <v>0.312</v>
      </c>
      <c r="V115" t="s">
        <v>658</v>
      </c>
      <c r="W115">
        <v>27.45</v>
      </c>
      <c r="Y115" t="s">
        <v>658</v>
      </c>
      <c r="Z115">
        <v>2.23</v>
      </c>
      <c r="AC115" s="4" t="s">
        <v>1157</v>
      </c>
      <c r="AD115" s="5">
        <v>66359090</v>
      </c>
      <c r="AE115" s="5">
        <v>26327149</v>
      </c>
      <c r="AF115" s="5">
        <v>2558829</v>
      </c>
      <c r="AI115" t="s">
        <v>658</v>
      </c>
      <c r="AJ115">
        <v>24.39</v>
      </c>
      <c r="AL115" t="s">
        <v>115</v>
      </c>
      <c r="AM115">
        <v>13.28</v>
      </c>
      <c r="AO115" t="s">
        <v>115</v>
      </c>
      <c r="AP115">
        <v>64.430000000000007</v>
      </c>
      <c r="AQ115">
        <v>68.33</v>
      </c>
      <c r="AS115" t="s">
        <v>115</v>
      </c>
      <c r="AT115">
        <v>8.39</v>
      </c>
      <c r="AU115">
        <v>7.87</v>
      </c>
      <c r="AW115" t="s">
        <v>115</v>
      </c>
      <c r="AX115">
        <v>28.55</v>
      </c>
    </row>
    <row r="116" spans="1:50" x14ac:dyDescent="0.35">
      <c r="A116" t="s">
        <v>116</v>
      </c>
      <c r="B116">
        <v>93.69</v>
      </c>
      <c r="D116" t="s">
        <v>659</v>
      </c>
      <c r="E116">
        <v>58.39</v>
      </c>
      <c r="G116" t="s">
        <v>116</v>
      </c>
      <c r="H116">
        <v>0.59899999999999998</v>
      </c>
      <c r="J116" t="s">
        <v>659</v>
      </c>
      <c r="K116">
        <v>5.71</v>
      </c>
      <c r="M116" t="s">
        <v>659</v>
      </c>
      <c r="N116">
        <v>51.94</v>
      </c>
      <c r="P116" t="s">
        <v>122</v>
      </c>
      <c r="Q116">
        <v>7.84</v>
      </c>
      <c r="S116" t="s">
        <v>116</v>
      </c>
      <c r="T116">
        <v>0.36499999999999999</v>
      </c>
      <c r="V116" t="s">
        <v>659</v>
      </c>
      <c r="W116">
        <v>35.19</v>
      </c>
      <c r="Y116" t="s">
        <v>659</v>
      </c>
      <c r="Z116">
        <v>2.34</v>
      </c>
      <c r="AC116" s="4" t="s">
        <v>1155</v>
      </c>
      <c r="AD116" s="5">
        <v>139321881</v>
      </c>
      <c r="AE116" s="5">
        <v>54818740</v>
      </c>
      <c r="AF116" s="5">
        <v>19155553</v>
      </c>
      <c r="AI116" t="s">
        <v>659</v>
      </c>
      <c r="AJ116">
        <v>34.049999999999997</v>
      </c>
      <c r="AL116" t="s">
        <v>116</v>
      </c>
      <c r="AM116">
        <v>11.8</v>
      </c>
      <c r="AO116" t="s">
        <v>116</v>
      </c>
      <c r="AP116">
        <v>63.84</v>
      </c>
      <c r="AQ116">
        <v>67.72</v>
      </c>
      <c r="AS116" t="s">
        <v>116</v>
      </c>
      <c r="AT116">
        <v>8.17</v>
      </c>
      <c r="AU116">
        <v>7.51</v>
      </c>
      <c r="AW116" t="s">
        <v>116</v>
      </c>
      <c r="AX116">
        <v>28.34</v>
      </c>
    </row>
    <row r="117" spans="1:50" x14ac:dyDescent="0.35">
      <c r="A117" t="s">
        <v>117</v>
      </c>
      <c r="B117">
        <v>93.71</v>
      </c>
      <c r="D117" t="s">
        <v>660</v>
      </c>
      <c r="E117">
        <v>51.22</v>
      </c>
      <c r="G117" t="s">
        <v>117</v>
      </c>
      <c r="H117">
        <v>0.84199999999999997</v>
      </c>
      <c r="J117" t="s">
        <v>660</v>
      </c>
      <c r="K117" t="s">
        <v>548</v>
      </c>
      <c r="M117" t="s">
        <v>660</v>
      </c>
      <c r="N117">
        <v>59.94</v>
      </c>
      <c r="P117" t="s">
        <v>124</v>
      </c>
      <c r="Q117">
        <v>9.16</v>
      </c>
      <c r="S117" t="s">
        <v>117</v>
      </c>
      <c r="T117">
        <v>0.436</v>
      </c>
      <c r="V117" t="s">
        <v>660</v>
      </c>
      <c r="W117">
        <v>38.020000000000003</v>
      </c>
      <c r="Y117" t="s">
        <v>660</v>
      </c>
      <c r="Z117">
        <v>2.29</v>
      </c>
      <c r="AC117" s="4" t="s">
        <v>115</v>
      </c>
      <c r="AD117" s="5">
        <v>84750222</v>
      </c>
      <c r="AE117" s="5">
        <v>44626392</v>
      </c>
      <c r="AF117" s="5">
        <v>16588674</v>
      </c>
      <c r="AI117" t="s">
        <v>660</v>
      </c>
      <c r="AJ117">
        <v>20.329999999999998</v>
      </c>
      <c r="AL117" t="s">
        <v>117</v>
      </c>
      <c r="AM117">
        <v>10.91</v>
      </c>
      <c r="AO117" t="s">
        <v>117</v>
      </c>
      <c r="AP117">
        <v>67.03</v>
      </c>
      <c r="AQ117">
        <v>71</v>
      </c>
      <c r="AS117" t="s">
        <v>117</v>
      </c>
      <c r="AT117">
        <v>7.6</v>
      </c>
      <c r="AU117">
        <v>6.71</v>
      </c>
      <c r="AW117" t="s">
        <v>117</v>
      </c>
      <c r="AX117">
        <v>29.12</v>
      </c>
    </row>
    <row r="118" spans="1:50" x14ac:dyDescent="0.35">
      <c r="A118" t="s">
        <v>118</v>
      </c>
      <c r="B118">
        <v>92.96</v>
      </c>
      <c r="D118" t="s">
        <v>661</v>
      </c>
      <c r="E118">
        <v>49.21</v>
      </c>
      <c r="G118" t="s">
        <v>118</v>
      </c>
      <c r="H118">
        <v>0.66200000000000003</v>
      </c>
      <c r="J118" t="s">
        <v>661</v>
      </c>
      <c r="K118">
        <v>4</v>
      </c>
      <c r="M118" t="s">
        <v>661</v>
      </c>
      <c r="N118">
        <v>53.24</v>
      </c>
      <c r="P118" t="s">
        <v>125</v>
      </c>
      <c r="Q118">
        <v>11.66</v>
      </c>
      <c r="S118" t="s">
        <v>118</v>
      </c>
      <c r="T118">
        <v>0.42099999999999999</v>
      </c>
      <c r="V118" t="s">
        <v>661</v>
      </c>
      <c r="W118">
        <v>26.08</v>
      </c>
      <c r="Y118" t="s">
        <v>661</v>
      </c>
      <c r="Z118">
        <v>2.2799999999999998</v>
      </c>
      <c r="AC118" s="4" t="s">
        <v>114</v>
      </c>
      <c r="AD118" s="5">
        <v>25994573</v>
      </c>
      <c r="AE118" s="5">
        <v>47198158</v>
      </c>
      <c r="AF118" s="5">
        <v>10627457</v>
      </c>
      <c r="AI118" t="s">
        <v>661</v>
      </c>
      <c r="AJ118">
        <v>24.33</v>
      </c>
      <c r="AL118" t="s">
        <v>118</v>
      </c>
      <c r="AM118">
        <v>18.260000000000002</v>
      </c>
      <c r="AO118" t="s">
        <v>118</v>
      </c>
      <c r="AP118">
        <v>64.459999999999994</v>
      </c>
      <c r="AQ118">
        <v>68.37</v>
      </c>
      <c r="AS118" t="s">
        <v>118</v>
      </c>
      <c r="AT118">
        <v>8.0299999999999994</v>
      </c>
      <c r="AU118">
        <v>7.04</v>
      </c>
      <c r="AW118" t="s">
        <v>118</v>
      </c>
      <c r="AX118">
        <v>22.46</v>
      </c>
    </row>
    <row r="119" spans="1:50" x14ac:dyDescent="0.35">
      <c r="A119" t="s">
        <v>119</v>
      </c>
      <c r="B119">
        <v>96.52</v>
      </c>
      <c r="D119" t="s">
        <v>662</v>
      </c>
      <c r="E119">
        <v>62.15</v>
      </c>
      <c r="G119" t="s">
        <v>119</v>
      </c>
      <c r="H119">
        <v>0.32400000000000001</v>
      </c>
      <c r="J119" t="s">
        <v>662</v>
      </c>
      <c r="K119">
        <v>12</v>
      </c>
      <c r="M119" t="s">
        <v>662</v>
      </c>
      <c r="N119">
        <v>49.24</v>
      </c>
      <c r="P119" t="s">
        <v>126</v>
      </c>
      <c r="Q119">
        <v>7.49</v>
      </c>
      <c r="S119" t="s">
        <v>119</v>
      </c>
      <c r="T119">
        <v>0.14799999999999999</v>
      </c>
      <c r="V119" t="s">
        <v>662</v>
      </c>
      <c r="W119">
        <v>29.29</v>
      </c>
      <c r="Y119" t="s">
        <v>662</v>
      </c>
      <c r="Z119">
        <v>2.1</v>
      </c>
      <c r="AC119" s="4" t="s">
        <v>113</v>
      </c>
      <c r="AD119" s="5">
        <v>74109540</v>
      </c>
      <c r="AE119" s="5">
        <v>47765745</v>
      </c>
      <c r="AF119" s="5">
        <v>19871482</v>
      </c>
      <c r="AI119" t="s">
        <v>662</v>
      </c>
      <c r="AJ119">
        <v>15.4</v>
      </c>
      <c r="AL119" t="s">
        <v>119</v>
      </c>
      <c r="AM119">
        <v>10.220000000000001</v>
      </c>
      <c r="AO119" t="s">
        <v>119</v>
      </c>
      <c r="AP119">
        <v>70.040000000000006</v>
      </c>
      <c r="AQ119">
        <v>74.040000000000006</v>
      </c>
      <c r="AS119" t="s">
        <v>119</v>
      </c>
      <c r="AT119">
        <v>11.07</v>
      </c>
      <c r="AU119">
        <v>10.68</v>
      </c>
      <c r="AW119" t="s">
        <v>119</v>
      </c>
      <c r="AX119">
        <v>61.9</v>
      </c>
    </row>
    <row r="120" spans="1:50" x14ac:dyDescent="0.35">
      <c r="A120" t="s">
        <v>120</v>
      </c>
      <c r="B120">
        <v>93.72</v>
      </c>
      <c r="D120" t="s">
        <v>663</v>
      </c>
      <c r="E120">
        <v>58.39</v>
      </c>
      <c r="G120" t="s">
        <v>120</v>
      </c>
      <c r="H120">
        <v>0.33700000000000002</v>
      </c>
      <c r="J120" t="s">
        <v>663</v>
      </c>
      <c r="K120">
        <v>16</v>
      </c>
      <c r="M120" t="s">
        <v>663</v>
      </c>
      <c r="N120">
        <v>63.37</v>
      </c>
      <c r="P120" t="s">
        <v>127</v>
      </c>
      <c r="Q120">
        <v>9.52</v>
      </c>
      <c r="S120" t="s">
        <v>120</v>
      </c>
      <c r="T120">
        <v>0.23799999999999999</v>
      </c>
      <c r="V120" t="s">
        <v>663</v>
      </c>
      <c r="W120">
        <v>24.97</v>
      </c>
      <c r="Y120" t="s">
        <v>663</v>
      </c>
      <c r="Z120">
        <v>2.2000000000000002</v>
      </c>
      <c r="AC120" s="4" t="s">
        <v>116</v>
      </c>
      <c r="AD120" s="5">
        <v>41572968</v>
      </c>
      <c r="AE120" s="5">
        <v>32840694</v>
      </c>
      <c r="AF120" s="5">
        <v>23679575</v>
      </c>
      <c r="AI120" t="s">
        <v>663</v>
      </c>
      <c r="AJ120">
        <v>17.940000000000001</v>
      </c>
      <c r="AL120" t="s">
        <v>120</v>
      </c>
      <c r="AM120">
        <v>11.23</v>
      </c>
      <c r="AO120" t="s">
        <v>120</v>
      </c>
      <c r="AP120">
        <v>69.33</v>
      </c>
      <c r="AQ120">
        <v>73.3</v>
      </c>
      <c r="AS120" t="s">
        <v>120</v>
      </c>
      <c r="AT120">
        <v>10.64</v>
      </c>
      <c r="AU120">
        <v>10.02</v>
      </c>
      <c r="AW120" t="s">
        <v>120</v>
      </c>
      <c r="AX120">
        <v>56.69</v>
      </c>
    </row>
    <row r="121" spans="1:50" ht="28" x14ac:dyDescent="0.35">
      <c r="A121" t="s">
        <v>121</v>
      </c>
      <c r="B121">
        <v>95.01</v>
      </c>
      <c r="D121" t="s">
        <v>664</v>
      </c>
      <c r="E121">
        <v>57.43</v>
      </c>
      <c r="G121" t="s">
        <v>121</v>
      </c>
      <c r="H121">
        <v>0.47099999999999997</v>
      </c>
      <c r="J121" t="s">
        <v>664</v>
      </c>
      <c r="K121">
        <v>16</v>
      </c>
      <c r="M121" t="s">
        <v>664</v>
      </c>
      <c r="N121">
        <v>59.14</v>
      </c>
      <c r="P121" t="s">
        <v>128</v>
      </c>
      <c r="Q121">
        <v>9.06</v>
      </c>
      <c r="S121" t="s">
        <v>121</v>
      </c>
      <c r="T121">
        <v>0.25700000000000001</v>
      </c>
      <c r="V121" t="s">
        <v>664</v>
      </c>
      <c r="W121">
        <v>21.82</v>
      </c>
      <c r="Y121" t="s">
        <v>664</v>
      </c>
      <c r="Z121">
        <v>2.2999999999999998</v>
      </c>
      <c r="AC121" s="4" t="s">
        <v>1156</v>
      </c>
      <c r="AD121" s="5">
        <v>46226769</v>
      </c>
      <c r="AE121" s="5">
        <v>16286681</v>
      </c>
      <c r="AF121" s="5">
        <v>6239875</v>
      </c>
      <c r="AI121" t="s">
        <v>664</v>
      </c>
      <c r="AJ121">
        <v>24.71</v>
      </c>
      <c r="AL121" t="s">
        <v>121</v>
      </c>
      <c r="AM121">
        <v>8.8800000000000008</v>
      </c>
      <c r="AO121" t="s">
        <v>121</v>
      </c>
      <c r="AP121">
        <v>65.760000000000005</v>
      </c>
      <c r="AQ121">
        <v>69.739999999999995</v>
      </c>
      <c r="AS121" t="s">
        <v>121</v>
      </c>
      <c r="AT121">
        <v>9.57</v>
      </c>
      <c r="AU121">
        <v>9.3699999999999992</v>
      </c>
      <c r="AW121" t="s">
        <v>121</v>
      </c>
      <c r="AX121">
        <v>45.06</v>
      </c>
    </row>
    <row r="122" spans="1:50" x14ac:dyDescent="0.35">
      <c r="A122" t="s">
        <v>122</v>
      </c>
      <c r="B122">
        <v>95.47</v>
      </c>
      <c r="D122" t="s">
        <v>665</v>
      </c>
      <c r="E122">
        <v>65.59</v>
      </c>
      <c r="G122" t="s">
        <v>122</v>
      </c>
      <c r="H122">
        <v>0.35199999999999998</v>
      </c>
      <c r="J122" t="s">
        <v>665</v>
      </c>
      <c r="K122">
        <v>20</v>
      </c>
      <c r="M122" t="s">
        <v>665</v>
      </c>
      <c r="N122">
        <v>56.27</v>
      </c>
      <c r="P122" t="s">
        <v>129</v>
      </c>
      <c r="Q122">
        <v>4.8600000000000003</v>
      </c>
      <c r="S122" t="s">
        <v>122</v>
      </c>
      <c r="T122">
        <v>0.28799999999999998</v>
      </c>
      <c r="V122" t="s">
        <v>665</v>
      </c>
      <c r="W122">
        <v>27.05</v>
      </c>
      <c r="Y122" t="s">
        <v>665</v>
      </c>
      <c r="Z122">
        <v>2.23</v>
      </c>
      <c r="AC122" s="4" t="s">
        <v>118</v>
      </c>
      <c r="AD122" s="5">
        <v>53535758</v>
      </c>
      <c r="AE122" s="5">
        <v>28092116</v>
      </c>
      <c r="AF122" s="5">
        <v>13192304</v>
      </c>
      <c r="AI122" t="s">
        <v>665</v>
      </c>
      <c r="AJ122">
        <v>17.79</v>
      </c>
      <c r="AL122" t="s">
        <v>122</v>
      </c>
      <c r="AM122">
        <v>12.65</v>
      </c>
      <c r="AO122" t="s">
        <v>122</v>
      </c>
      <c r="AP122">
        <v>68.33</v>
      </c>
      <c r="AQ122">
        <v>72.27</v>
      </c>
      <c r="AS122" t="s">
        <v>122</v>
      </c>
      <c r="AT122">
        <v>10.31</v>
      </c>
      <c r="AU122">
        <v>9.68</v>
      </c>
      <c r="AW122" t="s">
        <v>122</v>
      </c>
      <c r="AX122">
        <v>44.09</v>
      </c>
    </row>
    <row r="123" spans="1:50" x14ac:dyDescent="0.35">
      <c r="A123" t="s">
        <v>123</v>
      </c>
      <c r="B123">
        <v>91.57</v>
      </c>
      <c r="D123" t="s">
        <v>123</v>
      </c>
      <c r="E123">
        <v>70.06</v>
      </c>
      <c r="G123" t="s">
        <v>123</v>
      </c>
      <c r="H123">
        <v>0.46899999999999997</v>
      </c>
      <c r="J123" t="s">
        <v>123</v>
      </c>
      <c r="K123">
        <v>15.56</v>
      </c>
      <c r="M123" t="s">
        <v>123</v>
      </c>
      <c r="N123">
        <v>52.4</v>
      </c>
      <c r="P123" t="s">
        <v>130</v>
      </c>
      <c r="Q123">
        <v>9.94</v>
      </c>
      <c r="S123" t="s">
        <v>123</v>
      </c>
      <c r="T123">
        <v>0.316</v>
      </c>
      <c r="V123" t="s">
        <v>123</v>
      </c>
      <c r="W123">
        <v>34.92</v>
      </c>
      <c r="Y123" t="s">
        <v>123</v>
      </c>
      <c r="Z123">
        <v>2.2999999999999998</v>
      </c>
      <c r="AC123" s="4" t="s">
        <v>1115</v>
      </c>
      <c r="AD123" s="5">
        <v>142508973</v>
      </c>
      <c r="AE123" s="5">
        <v>22067575</v>
      </c>
      <c r="AF123" s="5">
        <v>58985230</v>
      </c>
      <c r="AI123" t="s">
        <v>123</v>
      </c>
      <c r="AJ123">
        <v>23.38</v>
      </c>
      <c r="AL123" t="s">
        <v>123</v>
      </c>
      <c r="AM123">
        <v>14.04</v>
      </c>
      <c r="AO123" t="s">
        <v>123</v>
      </c>
      <c r="AP123">
        <v>67.989999999999995</v>
      </c>
      <c r="AQ123">
        <v>71.94</v>
      </c>
      <c r="AS123" t="s">
        <v>123</v>
      </c>
      <c r="AT123">
        <v>9.25</v>
      </c>
      <c r="AU123">
        <v>8.8000000000000007</v>
      </c>
      <c r="AW123" t="s">
        <v>123</v>
      </c>
      <c r="AX123">
        <v>40.07</v>
      </c>
    </row>
    <row r="124" spans="1:50" x14ac:dyDescent="0.35">
      <c r="A124" t="s">
        <v>124</v>
      </c>
      <c r="B124">
        <v>94.74</v>
      </c>
      <c r="D124" t="s">
        <v>666</v>
      </c>
      <c r="E124">
        <v>55.87</v>
      </c>
      <c r="G124" t="s">
        <v>124</v>
      </c>
      <c r="H124">
        <v>0.78400000000000003</v>
      </c>
      <c r="J124" t="s">
        <v>666</v>
      </c>
      <c r="K124" t="s">
        <v>548</v>
      </c>
      <c r="M124" t="s">
        <v>666</v>
      </c>
      <c r="N124">
        <v>49.38</v>
      </c>
      <c r="P124" t="s">
        <v>131</v>
      </c>
      <c r="Q124">
        <v>13.17</v>
      </c>
      <c r="S124" t="s">
        <v>124</v>
      </c>
      <c r="T124">
        <v>0.34399999999999997</v>
      </c>
      <c r="V124" t="s">
        <v>666</v>
      </c>
      <c r="W124">
        <v>42.34</v>
      </c>
      <c r="Y124" t="s">
        <v>666</v>
      </c>
      <c r="Z124">
        <v>2.38</v>
      </c>
      <c r="AC124" s="4" t="s">
        <v>124</v>
      </c>
      <c r="AD124" s="5">
        <v>62569123</v>
      </c>
      <c r="AE124" s="5">
        <v>24756642</v>
      </c>
      <c r="AF124" s="5">
        <v>60102981</v>
      </c>
      <c r="AI124" t="s">
        <v>666</v>
      </c>
      <c r="AJ124">
        <v>23.94</v>
      </c>
      <c r="AL124" t="s">
        <v>124</v>
      </c>
      <c r="AM124">
        <v>17.510000000000002</v>
      </c>
      <c r="AO124" t="s">
        <v>124</v>
      </c>
      <c r="AP124">
        <v>66.45</v>
      </c>
      <c r="AQ124">
        <v>70.430000000000007</v>
      </c>
      <c r="AS124" t="s">
        <v>124</v>
      </c>
      <c r="AT124">
        <v>9.73</v>
      </c>
      <c r="AU124">
        <v>9.19</v>
      </c>
      <c r="AW124" t="s">
        <v>124</v>
      </c>
      <c r="AX124">
        <v>44.13</v>
      </c>
    </row>
    <row r="125" spans="1:50" x14ac:dyDescent="0.35">
      <c r="A125" t="s">
        <v>125</v>
      </c>
      <c r="B125">
        <v>94.24</v>
      </c>
      <c r="D125" t="s">
        <v>667</v>
      </c>
      <c r="E125">
        <v>63.13</v>
      </c>
      <c r="G125" t="s">
        <v>125</v>
      </c>
      <c r="H125">
        <v>0.45</v>
      </c>
      <c r="J125" t="s">
        <v>667</v>
      </c>
      <c r="K125">
        <v>16.670000000000002</v>
      </c>
      <c r="M125" t="s">
        <v>667</v>
      </c>
      <c r="N125">
        <v>52.81</v>
      </c>
      <c r="P125" t="s">
        <v>132</v>
      </c>
      <c r="Q125">
        <v>7.89</v>
      </c>
      <c r="S125" t="s">
        <v>125</v>
      </c>
      <c r="T125">
        <v>0.34300000000000003</v>
      </c>
      <c r="V125" t="s">
        <v>667</v>
      </c>
      <c r="W125">
        <v>25.6</v>
      </c>
      <c r="Y125" t="s">
        <v>667</v>
      </c>
      <c r="Z125">
        <v>2.16</v>
      </c>
      <c r="AC125" s="4" t="s">
        <v>126</v>
      </c>
      <c r="AD125" s="5">
        <v>82625881</v>
      </c>
      <c r="AE125" s="5">
        <v>33807246</v>
      </c>
      <c r="AF125" s="5">
        <v>16418599</v>
      </c>
      <c r="AI125" t="s">
        <v>667</v>
      </c>
      <c r="AJ125">
        <v>21.5</v>
      </c>
      <c r="AL125" t="s">
        <v>125</v>
      </c>
      <c r="AM125">
        <v>14.79</v>
      </c>
      <c r="AO125" t="s">
        <v>125</v>
      </c>
      <c r="AP125">
        <v>67.290000000000006</v>
      </c>
      <c r="AQ125">
        <v>71.25</v>
      </c>
      <c r="AS125" t="s">
        <v>125</v>
      </c>
      <c r="AT125">
        <v>8.98</v>
      </c>
      <c r="AU125">
        <v>8.68</v>
      </c>
      <c r="AW125" t="s">
        <v>125</v>
      </c>
      <c r="AX125">
        <v>39.24</v>
      </c>
    </row>
    <row r="126" spans="1:50" x14ac:dyDescent="0.35">
      <c r="A126" t="s">
        <v>126</v>
      </c>
      <c r="B126">
        <v>91.47</v>
      </c>
      <c r="D126" t="s">
        <v>668</v>
      </c>
      <c r="E126">
        <v>61.88</v>
      </c>
      <c r="G126" t="s">
        <v>126</v>
      </c>
      <c r="H126">
        <v>0.51300000000000001</v>
      </c>
      <c r="J126" t="s">
        <v>668</v>
      </c>
      <c r="K126">
        <v>6.67</v>
      </c>
      <c r="M126" t="s">
        <v>668</v>
      </c>
      <c r="N126">
        <v>57.38</v>
      </c>
      <c r="P126" t="s">
        <v>133</v>
      </c>
      <c r="Q126">
        <v>9.81</v>
      </c>
      <c r="S126" t="s">
        <v>126</v>
      </c>
      <c r="T126">
        <v>0.251</v>
      </c>
      <c r="V126" t="s">
        <v>668</v>
      </c>
      <c r="W126">
        <v>38.07</v>
      </c>
      <c r="Y126" t="s">
        <v>668</v>
      </c>
      <c r="Z126">
        <v>2.35</v>
      </c>
      <c r="AC126" s="4" t="s">
        <v>125</v>
      </c>
      <c r="AD126" s="5">
        <v>37411737</v>
      </c>
      <c r="AE126" s="5">
        <v>32334390</v>
      </c>
      <c r="AF126" s="5">
        <v>18472323</v>
      </c>
      <c r="AI126" t="s">
        <v>668</v>
      </c>
      <c r="AJ126">
        <v>23.67</v>
      </c>
      <c r="AL126" t="s">
        <v>126</v>
      </c>
      <c r="AM126">
        <v>11.29</v>
      </c>
      <c r="AO126" t="s">
        <v>126</v>
      </c>
      <c r="AP126">
        <v>66.83</v>
      </c>
      <c r="AQ126">
        <v>70.81</v>
      </c>
      <c r="AS126" t="s">
        <v>126</v>
      </c>
      <c r="AT126">
        <v>8.56</v>
      </c>
      <c r="AU126">
        <v>7.73</v>
      </c>
      <c r="AW126" t="s">
        <v>126</v>
      </c>
      <c r="AX126">
        <v>31.06</v>
      </c>
    </row>
    <row r="127" spans="1:50" x14ac:dyDescent="0.35">
      <c r="A127" t="s">
        <v>127</v>
      </c>
      <c r="B127">
        <v>87.72</v>
      </c>
      <c r="D127" t="s">
        <v>669</v>
      </c>
      <c r="E127">
        <v>62.89</v>
      </c>
      <c r="G127" t="s">
        <v>127</v>
      </c>
      <c r="H127">
        <v>0.54700000000000004</v>
      </c>
      <c r="J127" t="s">
        <v>669</v>
      </c>
      <c r="K127">
        <v>8</v>
      </c>
      <c r="M127" t="s">
        <v>669</v>
      </c>
      <c r="N127">
        <v>50.68</v>
      </c>
      <c r="P127" t="s">
        <v>135</v>
      </c>
      <c r="Q127">
        <v>8.5</v>
      </c>
      <c r="S127" t="s">
        <v>127</v>
      </c>
      <c r="T127">
        <v>0.40699999999999997</v>
      </c>
      <c r="V127" t="s">
        <v>669</v>
      </c>
      <c r="W127">
        <v>37.619999999999997</v>
      </c>
      <c r="Y127" t="s">
        <v>669</v>
      </c>
      <c r="Z127">
        <v>2.4700000000000002</v>
      </c>
      <c r="AC127" s="4" t="s">
        <v>133</v>
      </c>
      <c r="AD127" s="5">
        <v>22434036</v>
      </c>
      <c r="AE127" s="5">
        <v>24635597</v>
      </c>
      <c r="AF127" s="5">
        <v>7411333</v>
      </c>
      <c r="AI127" t="s">
        <v>669</v>
      </c>
      <c r="AJ127">
        <v>25.25</v>
      </c>
      <c r="AL127" t="s">
        <v>127</v>
      </c>
      <c r="AM127">
        <v>17.829999999999998</v>
      </c>
      <c r="AO127" t="s">
        <v>127</v>
      </c>
      <c r="AP127">
        <v>65.34</v>
      </c>
      <c r="AQ127">
        <v>69.3</v>
      </c>
      <c r="AS127" t="s">
        <v>127</v>
      </c>
      <c r="AT127">
        <v>8.99</v>
      </c>
      <c r="AU127">
        <v>8.19</v>
      </c>
      <c r="AW127" t="s">
        <v>127</v>
      </c>
      <c r="AX127">
        <v>31.6</v>
      </c>
    </row>
    <row r="128" spans="1:50" x14ac:dyDescent="0.35">
      <c r="A128" t="s">
        <v>128</v>
      </c>
      <c r="B128">
        <v>86.3</v>
      </c>
      <c r="D128" t="s">
        <v>670</v>
      </c>
      <c r="E128">
        <v>59.07</v>
      </c>
      <c r="G128" t="s">
        <v>128</v>
      </c>
      <c r="H128">
        <v>0.505</v>
      </c>
      <c r="J128" t="s">
        <v>670</v>
      </c>
      <c r="K128">
        <v>6.67</v>
      </c>
      <c r="M128" t="s">
        <v>670</v>
      </c>
      <c r="N128">
        <v>54.99</v>
      </c>
      <c r="P128" t="s">
        <v>136</v>
      </c>
      <c r="Q128">
        <v>9.19</v>
      </c>
      <c r="S128" t="s">
        <v>128</v>
      </c>
      <c r="T128">
        <v>0.34699999999999998</v>
      </c>
      <c r="V128" t="s">
        <v>670</v>
      </c>
      <c r="W128">
        <v>35.24</v>
      </c>
      <c r="Y128" t="s">
        <v>670</v>
      </c>
      <c r="Z128">
        <v>2.44</v>
      </c>
      <c r="AC128" s="4" t="s">
        <v>127</v>
      </c>
      <c r="AD128" s="5">
        <v>55331545</v>
      </c>
      <c r="AE128" s="5">
        <v>28927008</v>
      </c>
      <c r="AF128" s="5">
        <v>23254337</v>
      </c>
      <c r="AI128" t="s">
        <v>670</v>
      </c>
      <c r="AJ128">
        <v>25.4</v>
      </c>
      <c r="AL128" t="s">
        <v>128</v>
      </c>
      <c r="AM128">
        <v>18</v>
      </c>
      <c r="AO128" t="s">
        <v>128</v>
      </c>
      <c r="AP128">
        <v>66.400000000000006</v>
      </c>
      <c r="AQ128">
        <v>70.38</v>
      </c>
      <c r="AS128" t="s">
        <v>128</v>
      </c>
      <c r="AT128">
        <v>8.5500000000000007</v>
      </c>
      <c r="AU128">
        <v>7.68</v>
      </c>
      <c r="AW128" t="s">
        <v>128</v>
      </c>
      <c r="AX128">
        <v>29.84</v>
      </c>
    </row>
    <row r="129" spans="1:50" x14ac:dyDescent="0.35">
      <c r="A129" t="s">
        <v>129</v>
      </c>
      <c r="B129">
        <v>84.87</v>
      </c>
      <c r="D129" t="s">
        <v>671</v>
      </c>
      <c r="E129">
        <v>56.32</v>
      </c>
      <c r="G129" t="s">
        <v>129</v>
      </c>
      <c r="H129">
        <v>0.60399999999999998</v>
      </c>
      <c r="J129" t="s">
        <v>671</v>
      </c>
      <c r="K129">
        <v>4</v>
      </c>
      <c r="M129" t="s">
        <v>671</v>
      </c>
      <c r="N129">
        <v>55.82</v>
      </c>
      <c r="P129" t="s">
        <v>137</v>
      </c>
      <c r="Q129">
        <v>7.61</v>
      </c>
      <c r="S129" t="s">
        <v>129</v>
      </c>
      <c r="T129">
        <v>0.39200000000000002</v>
      </c>
      <c r="V129" t="s">
        <v>671</v>
      </c>
      <c r="W129">
        <v>32.770000000000003</v>
      </c>
      <c r="Y129" t="s">
        <v>671</v>
      </c>
      <c r="Z129">
        <v>2.3199999999999998</v>
      </c>
      <c r="AC129" s="4" t="s">
        <v>128</v>
      </c>
      <c r="AD129" s="5">
        <v>59278157</v>
      </c>
      <c r="AE129" s="5">
        <v>26911401</v>
      </c>
      <c r="AF129" s="5">
        <v>27524923</v>
      </c>
      <c r="AI129" t="s">
        <v>671</v>
      </c>
      <c r="AJ129">
        <v>21.28</v>
      </c>
      <c r="AL129" t="s">
        <v>129</v>
      </c>
      <c r="AM129">
        <v>10.76</v>
      </c>
      <c r="AO129" t="s">
        <v>129</v>
      </c>
      <c r="AP129">
        <v>65.37</v>
      </c>
      <c r="AQ129">
        <v>69.33</v>
      </c>
      <c r="AS129" t="s">
        <v>129</v>
      </c>
      <c r="AT129">
        <v>8.84</v>
      </c>
      <c r="AU129">
        <v>8.15</v>
      </c>
      <c r="AW129" t="s">
        <v>129</v>
      </c>
      <c r="AX129">
        <v>32.020000000000003</v>
      </c>
    </row>
    <row r="130" spans="1:50" x14ac:dyDescent="0.35">
      <c r="A130" t="s">
        <v>130</v>
      </c>
      <c r="B130">
        <v>92.06</v>
      </c>
      <c r="D130" t="s">
        <v>672</v>
      </c>
      <c r="E130">
        <v>74.25</v>
      </c>
      <c r="G130" t="s">
        <v>130</v>
      </c>
      <c r="H130">
        <v>0.52</v>
      </c>
      <c r="J130" t="s">
        <v>672</v>
      </c>
      <c r="K130">
        <v>20</v>
      </c>
      <c r="M130" t="s">
        <v>672</v>
      </c>
      <c r="N130">
        <v>57.18</v>
      </c>
      <c r="P130" t="s">
        <v>138</v>
      </c>
      <c r="Q130">
        <v>10.59</v>
      </c>
      <c r="S130" t="s">
        <v>130</v>
      </c>
      <c r="T130">
        <v>0.36299999999999999</v>
      </c>
      <c r="V130" t="s">
        <v>672</v>
      </c>
      <c r="W130">
        <v>38.1</v>
      </c>
      <c r="Y130" t="s">
        <v>672</v>
      </c>
      <c r="Z130">
        <v>2.42</v>
      </c>
      <c r="AC130" s="4" t="s">
        <v>129</v>
      </c>
      <c r="AD130" s="5">
        <v>63333625</v>
      </c>
      <c r="AE130" s="5">
        <v>33694011</v>
      </c>
      <c r="AF130" s="5">
        <v>21530240</v>
      </c>
      <c r="AI130" t="s">
        <v>672</v>
      </c>
      <c r="AJ130">
        <v>26.16</v>
      </c>
      <c r="AL130" t="s">
        <v>130</v>
      </c>
      <c r="AM130">
        <v>11.15</v>
      </c>
      <c r="AO130" t="s">
        <v>130</v>
      </c>
      <c r="AP130">
        <v>62.07</v>
      </c>
      <c r="AQ130">
        <v>65.88</v>
      </c>
      <c r="AS130" t="s">
        <v>130</v>
      </c>
      <c r="AT130">
        <v>8.57</v>
      </c>
      <c r="AU130">
        <v>8.1199999999999992</v>
      </c>
      <c r="AW130" t="s">
        <v>130</v>
      </c>
      <c r="AX130">
        <v>31.21</v>
      </c>
    </row>
    <row r="131" spans="1:50" x14ac:dyDescent="0.35">
      <c r="A131" t="s">
        <v>131</v>
      </c>
      <c r="B131">
        <v>96.01</v>
      </c>
      <c r="D131" t="s">
        <v>673</v>
      </c>
      <c r="E131">
        <v>66.41</v>
      </c>
      <c r="G131" t="s">
        <v>131</v>
      </c>
      <c r="H131">
        <v>0.51500000000000001</v>
      </c>
      <c r="J131" t="s">
        <v>673</v>
      </c>
      <c r="K131">
        <v>12</v>
      </c>
      <c r="M131" t="s">
        <v>673</v>
      </c>
      <c r="N131">
        <v>56.27</v>
      </c>
      <c r="P131" t="s">
        <v>139</v>
      </c>
      <c r="Q131">
        <v>9.35</v>
      </c>
      <c r="S131" t="s">
        <v>131</v>
      </c>
      <c r="T131">
        <v>0.35</v>
      </c>
      <c r="V131" t="s">
        <v>673</v>
      </c>
      <c r="W131">
        <v>34.96</v>
      </c>
      <c r="Y131" t="s">
        <v>673</v>
      </c>
      <c r="Z131">
        <v>2.1800000000000002</v>
      </c>
      <c r="AC131" s="4" t="s">
        <v>130</v>
      </c>
      <c r="AD131" s="5">
        <v>45735211</v>
      </c>
      <c r="AE131" s="5">
        <v>26578878</v>
      </c>
      <c r="AF131" s="5">
        <v>31620329</v>
      </c>
      <c r="AI131" t="s">
        <v>673</v>
      </c>
      <c r="AJ131">
        <v>26.95</v>
      </c>
      <c r="AL131" t="s">
        <v>131</v>
      </c>
      <c r="AM131">
        <v>14.12</v>
      </c>
      <c r="AO131" t="s">
        <v>131</v>
      </c>
      <c r="AP131">
        <v>66.52</v>
      </c>
      <c r="AQ131">
        <v>70.5</v>
      </c>
      <c r="AS131" t="s">
        <v>131</v>
      </c>
      <c r="AT131">
        <v>8.7100000000000009</v>
      </c>
      <c r="AU131">
        <v>8.1199999999999992</v>
      </c>
      <c r="AW131" t="s">
        <v>131</v>
      </c>
      <c r="AX131">
        <v>33.119999999999997</v>
      </c>
    </row>
    <row r="132" spans="1:50" x14ac:dyDescent="0.35">
      <c r="A132" t="s">
        <v>132</v>
      </c>
      <c r="B132">
        <v>87.25</v>
      </c>
      <c r="D132" t="s">
        <v>674</v>
      </c>
      <c r="E132">
        <v>74.930000000000007</v>
      </c>
      <c r="G132" t="s">
        <v>132</v>
      </c>
      <c r="H132">
        <v>0.52400000000000002</v>
      </c>
      <c r="J132" t="s">
        <v>674</v>
      </c>
      <c r="K132">
        <v>20</v>
      </c>
      <c r="M132" t="s">
        <v>674</v>
      </c>
      <c r="N132">
        <v>50.96</v>
      </c>
      <c r="P132" t="s">
        <v>140</v>
      </c>
      <c r="Q132">
        <v>10.28</v>
      </c>
      <c r="S132" t="s">
        <v>132</v>
      </c>
      <c r="T132">
        <v>0.39</v>
      </c>
      <c r="V132" t="s">
        <v>674</v>
      </c>
      <c r="W132">
        <v>43.16</v>
      </c>
      <c r="Y132" t="s">
        <v>674</v>
      </c>
      <c r="Z132">
        <v>2.35</v>
      </c>
      <c r="AC132" s="4" t="s">
        <v>131</v>
      </c>
      <c r="AD132" s="5">
        <v>46596873</v>
      </c>
      <c r="AE132" s="5">
        <v>23053209</v>
      </c>
      <c r="AF132" s="5">
        <v>25125055</v>
      </c>
      <c r="AI132" t="s">
        <v>674</v>
      </c>
      <c r="AJ132">
        <v>25.22</v>
      </c>
      <c r="AL132" t="s">
        <v>132</v>
      </c>
      <c r="AM132">
        <v>9.4</v>
      </c>
      <c r="AO132" t="s">
        <v>132</v>
      </c>
      <c r="AP132">
        <v>66.58</v>
      </c>
      <c r="AQ132">
        <v>70.56</v>
      </c>
      <c r="AS132" t="s">
        <v>132</v>
      </c>
      <c r="AT132">
        <v>8.07</v>
      </c>
      <c r="AU132">
        <v>6.93</v>
      </c>
      <c r="AW132" t="s">
        <v>132</v>
      </c>
      <c r="AX132">
        <v>30.29</v>
      </c>
    </row>
    <row r="133" spans="1:50" x14ac:dyDescent="0.35">
      <c r="A133" t="s">
        <v>133</v>
      </c>
      <c r="B133">
        <v>96.12</v>
      </c>
      <c r="D133" t="s">
        <v>675</v>
      </c>
      <c r="E133">
        <v>75.94</v>
      </c>
      <c r="G133" t="s">
        <v>133</v>
      </c>
      <c r="H133">
        <v>0.31900000000000001</v>
      </c>
      <c r="J133" t="s">
        <v>675</v>
      </c>
      <c r="K133">
        <v>22.86</v>
      </c>
      <c r="M133" t="s">
        <v>675</v>
      </c>
      <c r="N133">
        <v>48.83</v>
      </c>
      <c r="P133" t="s">
        <v>141</v>
      </c>
      <c r="Q133">
        <v>7.11</v>
      </c>
      <c r="S133" t="s">
        <v>133</v>
      </c>
      <c r="T133">
        <v>0.19400000000000001</v>
      </c>
      <c r="V133" t="s">
        <v>675</v>
      </c>
      <c r="W133">
        <v>33.99</v>
      </c>
      <c r="Y133" t="s">
        <v>675</v>
      </c>
      <c r="Z133">
        <v>2.15</v>
      </c>
      <c r="AC133" s="4" t="s">
        <v>132</v>
      </c>
      <c r="AD133" s="5">
        <v>53348690</v>
      </c>
      <c r="AE133" s="5">
        <v>22614126</v>
      </c>
      <c r="AF133" s="5">
        <v>18838122</v>
      </c>
      <c r="AI133" t="s">
        <v>675</v>
      </c>
      <c r="AJ133">
        <v>18.079999999999998</v>
      </c>
      <c r="AL133" t="s">
        <v>133</v>
      </c>
      <c r="AM133">
        <v>14.71</v>
      </c>
      <c r="AO133" t="s">
        <v>133</v>
      </c>
      <c r="AP133">
        <v>68.81</v>
      </c>
      <c r="AQ133">
        <v>72.760000000000005</v>
      </c>
      <c r="AS133" t="s">
        <v>133</v>
      </c>
      <c r="AT133">
        <v>12.12</v>
      </c>
      <c r="AU133">
        <v>11.82</v>
      </c>
      <c r="AW133" t="s">
        <v>133</v>
      </c>
      <c r="AX133">
        <v>67.849999999999994</v>
      </c>
    </row>
    <row r="134" spans="1:50" x14ac:dyDescent="0.35">
      <c r="A134" t="s">
        <v>134</v>
      </c>
      <c r="B134">
        <v>90.75</v>
      </c>
      <c r="D134" t="s">
        <v>134</v>
      </c>
      <c r="E134">
        <v>68.16</v>
      </c>
      <c r="G134" t="s">
        <v>134</v>
      </c>
      <c r="H134">
        <v>0.437</v>
      </c>
      <c r="J134" t="s">
        <v>134</v>
      </c>
      <c r="K134">
        <v>18.82</v>
      </c>
      <c r="M134" t="s">
        <v>134</v>
      </c>
      <c r="N134">
        <v>53.25</v>
      </c>
      <c r="P134" t="s">
        <v>142</v>
      </c>
      <c r="Q134">
        <v>8.44</v>
      </c>
      <c r="S134" t="s">
        <v>134</v>
      </c>
      <c r="T134">
        <v>0.26</v>
      </c>
      <c r="V134" t="s">
        <v>134</v>
      </c>
      <c r="W134">
        <v>29.03</v>
      </c>
      <c r="Y134" t="s">
        <v>134</v>
      </c>
      <c r="Z134">
        <v>2.2799999999999998</v>
      </c>
      <c r="AC134" s="4" t="s">
        <v>1116</v>
      </c>
      <c r="AD134" s="5">
        <v>213887022</v>
      </c>
      <c r="AE134" s="5">
        <v>19079410</v>
      </c>
      <c r="AF134" s="5">
        <v>12762854</v>
      </c>
      <c r="AI134" t="s">
        <v>134</v>
      </c>
      <c r="AJ134">
        <v>18.3</v>
      </c>
      <c r="AL134" t="s">
        <v>134</v>
      </c>
      <c r="AM134">
        <v>11.11</v>
      </c>
      <c r="AO134" t="s">
        <v>134</v>
      </c>
      <c r="AP134">
        <v>69.31</v>
      </c>
      <c r="AQ134">
        <v>73.28</v>
      </c>
      <c r="AS134" t="s">
        <v>134</v>
      </c>
      <c r="AT134">
        <v>8.57</v>
      </c>
      <c r="AU134">
        <v>8</v>
      </c>
      <c r="AW134" t="s">
        <v>134</v>
      </c>
      <c r="AX134">
        <v>32.119999999999997</v>
      </c>
    </row>
    <row r="135" spans="1:50" x14ac:dyDescent="0.35">
      <c r="A135" t="s">
        <v>135</v>
      </c>
      <c r="B135">
        <v>93.47</v>
      </c>
      <c r="D135" t="s">
        <v>676</v>
      </c>
      <c r="E135">
        <v>68.61</v>
      </c>
      <c r="G135" t="s">
        <v>135</v>
      </c>
      <c r="H135">
        <v>0.46800000000000003</v>
      </c>
      <c r="J135" t="s">
        <v>676</v>
      </c>
      <c r="K135">
        <v>17.14</v>
      </c>
      <c r="M135" t="s">
        <v>676</v>
      </c>
      <c r="N135">
        <v>57.47</v>
      </c>
      <c r="P135" t="s">
        <v>143</v>
      </c>
      <c r="Q135">
        <v>8.43</v>
      </c>
      <c r="S135" t="s">
        <v>135</v>
      </c>
      <c r="T135">
        <v>0.32500000000000001</v>
      </c>
      <c r="V135" t="s">
        <v>676</v>
      </c>
      <c r="W135">
        <v>32.56</v>
      </c>
      <c r="Y135" t="s">
        <v>676</v>
      </c>
      <c r="Z135">
        <v>2.5099999999999998</v>
      </c>
      <c r="AC135" s="4" t="s">
        <v>135</v>
      </c>
      <c r="AD135" s="5">
        <v>46169037</v>
      </c>
      <c r="AE135" s="5">
        <v>29483685</v>
      </c>
      <c r="AF135" s="5">
        <v>16969646</v>
      </c>
      <c r="AI135" t="s">
        <v>676</v>
      </c>
      <c r="AJ135">
        <v>19.329999999999998</v>
      </c>
      <c r="AL135" t="s">
        <v>135</v>
      </c>
      <c r="AM135">
        <v>11.17</v>
      </c>
      <c r="AO135" t="s">
        <v>135</v>
      </c>
      <c r="AP135">
        <v>66.19</v>
      </c>
      <c r="AQ135">
        <v>70.17</v>
      </c>
      <c r="AS135" t="s">
        <v>135</v>
      </c>
      <c r="AT135">
        <v>8.5299999999999994</v>
      </c>
      <c r="AU135">
        <v>8.16</v>
      </c>
      <c r="AW135" t="s">
        <v>135</v>
      </c>
      <c r="AX135">
        <v>32.9</v>
      </c>
    </row>
    <row r="136" spans="1:50" x14ac:dyDescent="0.35">
      <c r="A136" t="s">
        <v>136</v>
      </c>
      <c r="B136">
        <v>91.27</v>
      </c>
      <c r="D136" t="s">
        <v>677</v>
      </c>
      <c r="E136">
        <v>55.97</v>
      </c>
      <c r="G136" t="s">
        <v>136</v>
      </c>
      <c r="H136">
        <v>0.53200000000000003</v>
      </c>
      <c r="J136" t="s">
        <v>677</v>
      </c>
      <c r="K136">
        <v>6.67</v>
      </c>
      <c r="M136" t="s">
        <v>677</v>
      </c>
      <c r="N136">
        <v>58.49</v>
      </c>
      <c r="P136" t="s">
        <v>144</v>
      </c>
      <c r="Q136">
        <v>10.82</v>
      </c>
      <c r="S136" t="s">
        <v>136</v>
      </c>
      <c r="T136">
        <v>0.255</v>
      </c>
      <c r="V136" t="s">
        <v>677</v>
      </c>
      <c r="W136">
        <v>29.05</v>
      </c>
      <c r="Y136" t="s">
        <v>677</v>
      </c>
      <c r="Z136">
        <v>2.37</v>
      </c>
      <c r="AC136" s="4" t="s">
        <v>137</v>
      </c>
      <c r="AD136" s="5">
        <v>108356968</v>
      </c>
      <c r="AE136" s="5">
        <v>66698291</v>
      </c>
      <c r="AF136" s="5">
        <v>12837672</v>
      </c>
      <c r="AI136" t="s">
        <v>677</v>
      </c>
      <c r="AJ136">
        <v>19.399999999999999</v>
      </c>
      <c r="AL136" t="s">
        <v>136</v>
      </c>
      <c r="AM136">
        <v>10.52</v>
      </c>
      <c r="AO136" t="s">
        <v>136</v>
      </c>
      <c r="AP136">
        <v>67.3</v>
      </c>
      <c r="AQ136">
        <v>71.260000000000005</v>
      </c>
      <c r="AS136" t="s">
        <v>136</v>
      </c>
      <c r="AT136">
        <v>7.73</v>
      </c>
      <c r="AU136">
        <v>6.97</v>
      </c>
      <c r="AW136" t="s">
        <v>136</v>
      </c>
      <c r="AX136">
        <v>21.2</v>
      </c>
    </row>
    <row r="137" spans="1:50" x14ac:dyDescent="0.35">
      <c r="A137" t="s">
        <v>137</v>
      </c>
      <c r="B137">
        <v>89.96</v>
      </c>
      <c r="D137" t="s">
        <v>678</v>
      </c>
      <c r="E137">
        <v>63.28</v>
      </c>
      <c r="G137" t="s">
        <v>137</v>
      </c>
      <c r="H137">
        <v>0.46500000000000002</v>
      </c>
      <c r="J137" t="s">
        <v>678</v>
      </c>
      <c r="K137">
        <v>14</v>
      </c>
      <c r="M137" t="s">
        <v>678</v>
      </c>
      <c r="N137">
        <v>51.04</v>
      </c>
      <c r="P137" t="s">
        <v>145</v>
      </c>
      <c r="Q137">
        <v>8.75</v>
      </c>
      <c r="S137" t="s">
        <v>137</v>
      </c>
      <c r="T137">
        <v>0.28799999999999998</v>
      </c>
      <c r="V137" t="s">
        <v>678</v>
      </c>
      <c r="W137">
        <v>28.8</v>
      </c>
      <c r="Y137" t="s">
        <v>678</v>
      </c>
      <c r="Z137">
        <v>2.33</v>
      </c>
      <c r="AC137" s="4" t="s">
        <v>139</v>
      </c>
      <c r="AD137" s="5">
        <v>184750151</v>
      </c>
      <c r="AE137" s="5">
        <v>85158635</v>
      </c>
      <c r="AF137" s="5">
        <v>20491984</v>
      </c>
      <c r="AI137" t="s">
        <v>678</v>
      </c>
      <c r="AJ137">
        <v>17.670000000000002</v>
      </c>
      <c r="AL137" t="s">
        <v>137</v>
      </c>
      <c r="AM137">
        <v>12.79</v>
      </c>
      <c r="AO137" t="s">
        <v>137</v>
      </c>
      <c r="AP137">
        <v>68.05</v>
      </c>
      <c r="AQ137">
        <v>71.989999999999995</v>
      </c>
      <c r="AS137" t="s">
        <v>137</v>
      </c>
      <c r="AT137">
        <v>8.1300000000000008</v>
      </c>
      <c r="AU137">
        <v>7.47</v>
      </c>
      <c r="AW137" t="s">
        <v>137</v>
      </c>
      <c r="AX137">
        <v>27.3</v>
      </c>
    </row>
    <row r="138" spans="1:50" x14ac:dyDescent="0.35">
      <c r="A138" t="s">
        <v>138</v>
      </c>
      <c r="B138">
        <v>89.6</v>
      </c>
      <c r="D138" t="s">
        <v>679</v>
      </c>
      <c r="E138">
        <v>61.24</v>
      </c>
      <c r="G138" t="s">
        <v>138</v>
      </c>
      <c r="H138">
        <v>0.41099999999999998</v>
      </c>
      <c r="J138" t="s">
        <v>679</v>
      </c>
      <c r="K138">
        <v>10</v>
      </c>
      <c r="M138" t="s">
        <v>679</v>
      </c>
      <c r="N138">
        <v>55.23</v>
      </c>
      <c r="P138" t="s">
        <v>146</v>
      </c>
      <c r="Q138">
        <v>8.07</v>
      </c>
      <c r="S138" t="s">
        <v>138</v>
      </c>
      <c r="T138">
        <v>0.23599999999999999</v>
      </c>
      <c r="V138" t="s">
        <v>679</v>
      </c>
      <c r="W138">
        <v>32.090000000000003</v>
      </c>
      <c r="Y138" t="s">
        <v>679</v>
      </c>
      <c r="Z138">
        <v>2.2799999999999998</v>
      </c>
      <c r="AC138" s="4" t="s">
        <v>140</v>
      </c>
      <c r="AD138" s="5">
        <v>107279400</v>
      </c>
      <c r="AE138" s="5">
        <v>51361143</v>
      </c>
      <c r="AF138" s="5">
        <v>40859582</v>
      </c>
      <c r="AI138" t="s">
        <v>679</v>
      </c>
      <c r="AJ138">
        <v>18.93</v>
      </c>
      <c r="AL138" t="s">
        <v>138</v>
      </c>
      <c r="AM138">
        <v>13.8</v>
      </c>
      <c r="AO138" t="s">
        <v>138</v>
      </c>
      <c r="AP138">
        <v>69.31</v>
      </c>
      <c r="AQ138">
        <v>73.28</v>
      </c>
      <c r="AS138" t="s">
        <v>138</v>
      </c>
      <c r="AT138">
        <v>8.3800000000000008</v>
      </c>
      <c r="AU138">
        <v>7.91</v>
      </c>
      <c r="AW138" t="s">
        <v>138</v>
      </c>
      <c r="AX138">
        <v>31.54</v>
      </c>
    </row>
    <row r="139" spans="1:50" x14ac:dyDescent="0.35">
      <c r="A139" t="s">
        <v>139</v>
      </c>
      <c r="B139">
        <v>90.02</v>
      </c>
      <c r="D139" t="s">
        <v>680</v>
      </c>
      <c r="E139">
        <v>63.26</v>
      </c>
      <c r="G139" t="s">
        <v>139</v>
      </c>
      <c r="H139">
        <v>0.46300000000000002</v>
      </c>
      <c r="J139" t="s">
        <v>680</v>
      </c>
      <c r="K139">
        <v>14</v>
      </c>
      <c r="M139" t="s">
        <v>680</v>
      </c>
      <c r="N139">
        <v>63.97</v>
      </c>
      <c r="P139" t="s">
        <v>147</v>
      </c>
      <c r="Q139">
        <v>7.23</v>
      </c>
      <c r="S139" t="s">
        <v>139</v>
      </c>
      <c r="T139">
        <v>0.251</v>
      </c>
      <c r="V139" t="s">
        <v>680</v>
      </c>
      <c r="W139">
        <v>32.17</v>
      </c>
      <c r="Y139" t="s">
        <v>680</v>
      </c>
      <c r="Z139">
        <v>2.21</v>
      </c>
      <c r="AC139" s="4" t="s">
        <v>138</v>
      </c>
      <c r="AD139" s="5">
        <v>142060583</v>
      </c>
      <c r="AE139" s="5">
        <v>45452836</v>
      </c>
      <c r="AF139" s="5">
        <v>19011013</v>
      </c>
      <c r="AI139" t="s">
        <v>680</v>
      </c>
      <c r="AJ139">
        <v>17.63</v>
      </c>
      <c r="AL139" t="s">
        <v>139</v>
      </c>
      <c r="AM139">
        <v>10.65</v>
      </c>
      <c r="AO139" t="s">
        <v>139</v>
      </c>
      <c r="AP139">
        <v>68.37</v>
      </c>
      <c r="AQ139">
        <v>72.31</v>
      </c>
      <c r="AS139" t="s">
        <v>139</v>
      </c>
      <c r="AT139">
        <v>8.2799999999999994</v>
      </c>
      <c r="AU139">
        <v>7.52</v>
      </c>
      <c r="AW139" t="s">
        <v>139</v>
      </c>
      <c r="AX139">
        <v>26.87</v>
      </c>
    </row>
    <row r="140" spans="1:50" x14ac:dyDescent="0.35">
      <c r="A140" t="s">
        <v>140</v>
      </c>
      <c r="B140">
        <v>89.79</v>
      </c>
      <c r="D140" t="s">
        <v>681</v>
      </c>
      <c r="E140">
        <v>64.28</v>
      </c>
      <c r="G140" t="s">
        <v>140</v>
      </c>
      <c r="H140">
        <v>0.44600000000000001</v>
      </c>
      <c r="J140" t="s">
        <v>681</v>
      </c>
      <c r="K140">
        <v>11.11</v>
      </c>
      <c r="M140" t="s">
        <v>681</v>
      </c>
      <c r="N140">
        <v>55.2</v>
      </c>
      <c r="P140" t="s">
        <v>148</v>
      </c>
      <c r="Q140">
        <v>7.43</v>
      </c>
      <c r="S140" t="s">
        <v>140</v>
      </c>
      <c r="T140">
        <v>0.28899999999999998</v>
      </c>
      <c r="V140" t="s">
        <v>681</v>
      </c>
      <c r="W140">
        <v>35</v>
      </c>
      <c r="Y140" t="s">
        <v>681</v>
      </c>
      <c r="Z140">
        <v>2.31</v>
      </c>
      <c r="AC140" s="4" t="s">
        <v>136</v>
      </c>
      <c r="AD140" s="5">
        <v>94283390</v>
      </c>
      <c r="AE140" s="5">
        <v>43891102</v>
      </c>
      <c r="AF140" s="5">
        <v>30582202</v>
      </c>
      <c r="AI140" t="s">
        <v>681</v>
      </c>
      <c r="AJ140">
        <v>19.100000000000001</v>
      </c>
      <c r="AL140" t="s">
        <v>140</v>
      </c>
      <c r="AM140">
        <v>17.170000000000002</v>
      </c>
      <c r="AO140" t="s">
        <v>140</v>
      </c>
      <c r="AP140">
        <v>67.91</v>
      </c>
      <c r="AQ140">
        <v>71.849999999999994</v>
      </c>
      <c r="AS140" t="s">
        <v>140</v>
      </c>
      <c r="AT140">
        <v>8.57</v>
      </c>
      <c r="AU140">
        <v>8.1999999999999993</v>
      </c>
      <c r="AW140" t="s">
        <v>140</v>
      </c>
      <c r="AX140">
        <v>27.91</v>
      </c>
    </row>
    <row r="141" spans="1:50" x14ac:dyDescent="0.35">
      <c r="A141" t="s">
        <v>141</v>
      </c>
      <c r="B141">
        <v>88.64</v>
      </c>
      <c r="D141" t="s">
        <v>682</v>
      </c>
      <c r="E141">
        <v>61.22</v>
      </c>
      <c r="G141" t="s">
        <v>141</v>
      </c>
      <c r="H141">
        <v>0.55400000000000005</v>
      </c>
      <c r="J141" t="s">
        <v>682</v>
      </c>
      <c r="K141">
        <v>10</v>
      </c>
      <c r="M141" t="s">
        <v>682</v>
      </c>
      <c r="N141">
        <v>56.76</v>
      </c>
      <c r="P141" t="s">
        <v>149</v>
      </c>
      <c r="Q141">
        <v>8.3800000000000008</v>
      </c>
      <c r="S141" t="s">
        <v>141</v>
      </c>
      <c r="T141">
        <v>0.378</v>
      </c>
      <c r="V141" t="s">
        <v>682</v>
      </c>
      <c r="W141">
        <v>32.42</v>
      </c>
      <c r="Y141" t="s">
        <v>682</v>
      </c>
      <c r="Z141">
        <v>2.3199999999999998</v>
      </c>
      <c r="AC141" s="4" t="s">
        <v>1158</v>
      </c>
      <c r="AD141" s="5">
        <v>83525867</v>
      </c>
      <c r="AE141" s="5">
        <v>22572109</v>
      </c>
      <c r="AF141" s="5">
        <v>20132255</v>
      </c>
      <c r="AI141" t="s">
        <v>682</v>
      </c>
      <c r="AJ141">
        <v>18.100000000000001</v>
      </c>
      <c r="AL141" t="s">
        <v>141</v>
      </c>
      <c r="AM141">
        <v>11.02</v>
      </c>
      <c r="AO141" t="s">
        <v>141</v>
      </c>
      <c r="AP141">
        <v>67.989999999999995</v>
      </c>
      <c r="AQ141">
        <v>71.930000000000007</v>
      </c>
      <c r="AS141" t="s">
        <v>141</v>
      </c>
      <c r="AT141">
        <v>8.1</v>
      </c>
      <c r="AU141">
        <v>7.24</v>
      </c>
      <c r="AW141" t="s">
        <v>141</v>
      </c>
      <c r="AX141">
        <v>23.88</v>
      </c>
    </row>
    <row r="142" spans="1:50" x14ac:dyDescent="0.35">
      <c r="A142" t="s">
        <v>142</v>
      </c>
      <c r="B142">
        <v>90.26</v>
      </c>
      <c r="D142" t="s">
        <v>683</v>
      </c>
      <c r="E142">
        <v>66.97</v>
      </c>
      <c r="G142" t="s">
        <v>142</v>
      </c>
      <c r="H142">
        <v>0.48599999999999999</v>
      </c>
      <c r="J142" t="s">
        <v>683</v>
      </c>
      <c r="K142">
        <v>20</v>
      </c>
      <c r="M142" t="s">
        <v>683</v>
      </c>
      <c r="N142">
        <v>54.29</v>
      </c>
      <c r="P142" t="s">
        <v>151</v>
      </c>
      <c r="Q142">
        <v>13.4</v>
      </c>
      <c r="S142" t="s">
        <v>142</v>
      </c>
      <c r="T142">
        <v>0.34100000000000003</v>
      </c>
      <c r="V142" t="s">
        <v>683</v>
      </c>
      <c r="W142">
        <v>26.73</v>
      </c>
      <c r="Y142" t="s">
        <v>683</v>
      </c>
      <c r="Z142">
        <v>2.2599999999999998</v>
      </c>
      <c r="AC142" s="4" t="s">
        <v>141</v>
      </c>
      <c r="AD142" s="5">
        <v>82911380</v>
      </c>
      <c r="AE142" s="5">
        <v>34792993</v>
      </c>
      <c r="AF142" s="5">
        <v>35297217</v>
      </c>
      <c r="AI142" t="s">
        <v>683</v>
      </c>
      <c r="AJ142">
        <v>19.47</v>
      </c>
      <c r="AL142" t="s">
        <v>142</v>
      </c>
      <c r="AM142">
        <v>8.0399999999999991</v>
      </c>
      <c r="AO142" t="s">
        <v>142</v>
      </c>
      <c r="AP142">
        <v>68.5</v>
      </c>
      <c r="AQ142">
        <v>72.44</v>
      </c>
      <c r="AS142" t="s">
        <v>142</v>
      </c>
      <c r="AT142">
        <v>8.27</v>
      </c>
      <c r="AU142">
        <v>7.56</v>
      </c>
      <c r="AW142" t="s">
        <v>142</v>
      </c>
      <c r="AX142">
        <v>26.08</v>
      </c>
    </row>
    <row r="143" spans="1:50" x14ac:dyDescent="0.35">
      <c r="A143" t="s">
        <v>143</v>
      </c>
      <c r="B143">
        <v>88.04</v>
      </c>
      <c r="D143" t="s">
        <v>684</v>
      </c>
      <c r="E143">
        <v>75.3</v>
      </c>
      <c r="G143" t="s">
        <v>143</v>
      </c>
      <c r="H143">
        <v>0.45100000000000001</v>
      </c>
      <c r="J143" t="s">
        <v>684</v>
      </c>
      <c r="K143">
        <v>28.89</v>
      </c>
      <c r="M143" t="s">
        <v>684</v>
      </c>
      <c r="N143">
        <v>45.68</v>
      </c>
      <c r="P143" t="s">
        <v>152</v>
      </c>
      <c r="Q143">
        <v>13.14</v>
      </c>
      <c r="S143" t="s">
        <v>143</v>
      </c>
      <c r="T143">
        <v>0.28000000000000003</v>
      </c>
      <c r="V143" t="s">
        <v>684</v>
      </c>
      <c r="W143">
        <v>29.68</v>
      </c>
      <c r="Y143" t="s">
        <v>684</v>
      </c>
      <c r="Z143">
        <v>2.29</v>
      </c>
      <c r="AC143" s="4" t="s">
        <v>148</v>
      </c>
      <c r="AD143" s="5">
        <v>72109054</v>
      </c>
      <c r="AE143" s="5">
        <v>45409601</v>
      </c>
      <c r="AF143" s="5">
        <v>2007695</v>
      </c>
      <c r="AI143" t="s">
        <v>684</v>
      </c>
      <c r="AJ143">
        <v>19.36</v>
      </c>
      <c r="AL143" t="s">
        <v>143</v>
      </c>
      <c r="AM143">
        <v>12.89</v>
      </c>
      <c r="AO143" t="s">
        <v>143</v>
      </c>
      <c r="AP143">
        <v>67.81</v>
      </c>
      <c r="AQ143">
        <v>71.760000000000005</v>
      </c>
      <c r="AS143" t="s">
        <v>143</v>
      </c>
      <c r="AT143">
        <v>8.3699999999999992</v>
      </c>
      <c r="AU143">
        <v>7.67</v>
      </c>
      <c r="AW143" t="s">
        <v>143</v>
      </c>
      <c r="AX143">
        <v>27.32</v>
      </c>
    </row>
    <row r="144" spans="1:50" x14ac:dyDescent="0.35">
      <c r="A144" t="s">
        <v>144</v>
      </c>
      <c r="B144">
        <v>92.68</v>
      </c>
      <c r="D144" t="s">
        <v>685</v>
      </c>
      <c r="E144">
        <v>65.98</v>
      </c>
      <c r="G144" t="s">
        <v>144</v>
      </c>
      <c r="H144">
        <v>0.18099999999999999</v>
      </c>
      <c r="J144" t="s">
        <v>685</v>
      </c>
      <c r="K144">
        <v>27.5</v>
      </c>
      <c r="M144" t="s">
        <v>685</v>
      </c>
      <c r="N144">
        <v>54.55</v>
      </c>
      <c r="P144" t="s">
        <v>153</v>
      </c>
      <c r="Q144">
        <v>13.79</v>
      </c>
      <c r="S144" t="s">
        <v>144</v>
      </c>
      <c r="T144">
        <v>0.14000000000000001</v>
      </c>
      <c r="V144" t="s">
        <v>685</v>
      </c>
      <c r="W144">
        <v>20.43</v>
      </c>
      <c r="Y144" t="s">
        <v>685</v>
      </c>
      <c r="Z144">
        <v>2.29</v>
      </c>
      <c r="AC144" s="4" t="s">
        <v>149</v>
      </c>
      <c r="AD144" s="5">
        <v>20218881</v>
      </c>
      <c r="AE144" s="5">
        <v>15326228</v>
      </c>
      <c r="AF144" s="5">
        <v>6100166</v>
      </c>
      <c r="AI144" t="s">
        <v>685</v>
      </c>
      <c r="AJ144">
        <v>17.22</v>
      </c>
      <c r="AL144" t="s">
        <v>144</v>
      </c>
      <c r="AM144">
        <v>9.14</v>
      </c>
      <c r="AO144" t="s">
        <v>144</v>
      </c>
      <c r="AP144">
        <v>69.12</v>
      </c>
      <c r="AQ144">
        <v>73.069999999999993</v>
      </c>
      <c r="AS144" t="s">
        <v>144</v>
      </c>
      <c r="AT144">
        <v>8.74</v>
      </c>
      <c r="AU144">
        <v>8.08</v>
      </c>
      <c r="AW144" t="s">
        <v>144</v>
      </c>
      <c r="AX144">
        <v>31.42</v>
      </c>
    </row>
    <row r="145" spans="1:50" x14ac:dyDescent="0.35">
      <c r="A145" t="s">
        <v>145</v>
      </c>
      <c r="B145">
        <v>84.63</v>
      </c>
      <c r="D145" t="s">
        <v>686</v>
      </c>
      <c r="E145">
        <v>68.430000000000007</v>
      </c>
      <c r="G145" t="s">
        <v>145</v>
      </c>
      <c r="H145">
        <v>0.48199999999999998</v>
      </c>
      <c r="J145" t="s">
        <v>686</v>
      </c>
      <c r="K145">
        <v>22.86</v>
      </c>
      <c r="M145" t="s">
        <v>686</v>
      </c>
      <c r="N145">
        <v>54.09</v>
      </c>
      <c r="P145" t="s">
        <v>154</v>
      </c>
      <c r="Q145">
        <v>14.51</v>
      </c>
      <c r="S145" t="s">
        <v>145</v>
      </c>
      <c r="T145">
        <v>0.34599999999999997</v>
      </c>
      <c r="V145" t="s">
        <v>686</v>
      </c>
      <c r="W145">
        <v>25.9</v>
      </c>
      <c r="Y145" t="s">
        <v>686</v>
      </c>
      <c r="Z145">
        <v>2.31</v>
      </c>
      <c r="AC145" s="4" t="s">
        <v>143</v>
      </c>
      <c r="AD145" s="5">
        <v>80138379</v>
      </c>
      <c r="AE145" s="5">
        <v>38237826</v>
      </c>
      <c r="AF145" s="5">
        <v>11869850</v>
      </c>
      <c r="AI145" t="s">
        <v>686</v>
      </c>
      <c r="AJ145">
        <v>19.760000000000002</v>
      </c>
      <c r="AL145" t="s">
        <v>145</v>
      </c>
      <c r="AM145">
        <v>6.73</v>
      </c>
      <c r="AO145" t="s">
        <v>145</v>
      </c>
      <c r="AP145">
        <v>66.81</v>
      </c>
      <c r="AQ145">
        <v>70.78</v>
      </c>
      <c r="AS145" t="s">
        <v>145</v>
      </c>
      <c r="AT145">
        <v>7.33</v>
      </c>
      <c r="AU145">
        <v>6.83</v>
      </c>
      <c r="AW145" t="s">
        <v>145</v>
      </c>
      <c r="AX145">
        <v>18.7</v>
      </c>
    </row>
    <row r="146" spans="1:50" x14ac:dyDescent="0.35">
      <c r="A146" t="s">
        <v>146</v>
      </c>
      <c r="B146">
        <v>89.01</v>
      </c>
      <c r="D146" t="s">
        <v>1073</v>
      </c>
      <c r="E146">
        <v>56.53</v>
      </c>
      <c r="G146" t="s">
        <v>146</v>
      </c>
      <c r="H146">
        <v>0.499</v>
      </c>
      <c r="J146" t="s">
        <v>1073</v>
      </c>
      <c r="K146">
        <v>6.67</v>
      </c>
      <c r="M146" t="s">
        <v>1073</v>
      </c>
      <c r="N146">
        <v>56.85</v>
      </c>
      <c r="P146" t="s">
        <v>155</v>
      </c>
      <c r="Q146">
        <v>13.08</v>
      </c>
      <c r="S146" t="s">
        <v>146</v>
      </c>
      <c r="T146">
        <v>0.26200000000000001</v>
      </c>
      <c r="V146" t="s">
        <v>1073</v>
      </c>
      <c r="W146">
        <v>31.89</v>
      </c>
      <c r="Y146" t="s">
        <v>1073</v>
      </c>
      <c r="Z146">
        <v>2.2400000000000002</v>
      </c>
      <c r="AC146" s="4" t="s">
        <v>144</v>
      </c>
      <c r="AD146" s="5">
        <v>55864527</v>
      </c>
      <c r="AE146" s="5">
        <v>22286779</v>
      </c>
      <c r="AF146" s="5">
        <v>14368276</v>
      </c>
      <c r="AI146" t="s">
        <v>1073</v>
      </c>
      <c r="AJ146">
        <v>19.61</v>
      </c>
      <c r="AL146" t="s">
        <v>146</v>
      </c>
      <c r="AM146">
        <v>7.25</v>
      </c>
      <c r="AO146" t="s">
        <v>146</v>
      </c>
      <c r="AP146">
        <v>68.5</v>
      </c>
      <c r="AQ146">
        <v>72.44</v>
      </c>
      <c r="AS146" t="s">
        <v>146</v>
      </c>
      <c r="AT146">
        <v>8.11</v>
      </c>
      <c r="AU146">
        <v>7.45</v>
      </c>
      <c r="AW146" t="s">
        <v>146</v>
      </c>
      <c r="AX146">
        <v>27.7</v>
      </c>
    </row>
    <row r="147" spans="1:50" x14ac:dyDescent="0.35">
      <c r="A147" t="s">
        <v>147</v>
      </c>
      <c r="B147">
        <v>94.25</v>
      </c>
      <c r="D147" t="s">
        <v>687</v>
      </c>
      <c r="E147">
        <v>55.43</v>
      </c>
      <c r="G147" t="s">
        <v>147</v>
      </c>
      <c r="H147">
        <v>0.58699999999999997</v>
      </c>
      <c r="J147" t="s">
        <v>687</v>
      </c>
      <c r="K147">
        <v>4</v>
      </c>
      <c r="M147" t="s">
        <v>687</v>
      </c>
      <c r="N147">
        <v>56.62</v>
      </c>
      <c r="P147" t="s">
        <v>156</v>
      </c>
      <c r="Q147">
        <v>12.24</v>
      </c>
      <c r="S147" t="s">
        <v>147</v>
      </c>
      <c r="T147">
        <v>0.30199999999999999</v>
      </c>
      <c r="V147" t="s">
        <v>687</v>
      </c>
      <c r="W147">
        <v>33.58</v>
      </c>
      <c r="Y147" t="s">
        <v>687</v>
      </c>
      <c r="Z147">
        <v>2.58</v>
      </c>
      <c r="AC147" s="4" t="s">
        <v>145</v>
      </c>
      <c r="AD147" s="5">
        <v>57399703</v>
      </c>
      <c r="AE147" s="5">
        <v>23122784</v>
      </c>
      <c r="AF147" s="5">
        <v>13690454</v>
      </c>
      <c r="AI147" t="s">
        <v>687</v>
      </c>
      <c r="AJ147">
        <v>19.53</v>
      </c>
      <c r="AL147" t="s">
        <v>147</v>
      </c>
      <c r="AM147">
        <v>13.49</v>
      </c>
      <c r="AO147" t="s">
        <v>147</v>
      </c>
      <c r="AP147">
        <v>62.43</v>
      </c>
      <c r="AQ147">
        <v>66.25</v>
      </c>
      <c r="AS147" t="s">
        <v>147</v>
      </c>
      <c r="AT147">
        <v>8.93</v>
      </c>
      <c r="AU147">
        <v>8.57</v>
      </c>
      <c r="AW147" t="s">
        <v>147</v>
      </c>
      <c r="AX147">
        <v>30.37</v>
      </c>
    </row>
    <row r="148" spans="1:50" x14ac:dyDescent="0.35">
      <c r="A148" t="s">
        <v>148</v>
      </c>
      <c r="B148">
        <v>94.14</v>
      </c>
      <c r="D148" t="s">
        <v>688</v>
      </c>
      <c r="E148">
        <v>71.98</v>
      </c>
      <c r="G148" t="s">
        <v>148</v>
      </c>
      <c r="H148">
        <v>0.17199999999999999</v>
      </c>
      <c r="J148" t="s">
        <v>688</v>
      </c>
      <c r="K148">
        <v>22</v>
      </c>
      <c r="M148" t="s">
        <v>688</v>
      </c>
      <c r="N148">
        <v>45.69</v>
      </c>
      <c r="P148" t="s">
        <v>157</v>
      </c>
      <c r="Q148">
        <v>12.74</v>
      </c>
      <c r="S148" t="s">
        <v>148</v>
      </c>
      <c r="T148">
        <v>0.161</v>
      </c>
      <c r="V148" t="s">
        <v>688</v>
      </c>
      <c r="W148">
        <v>30.94</v>
      </c>
      <c r="Y148" t="s">
        <v>688</v>
      </c>
      <c r="Z148">
        <v>2.19</v>
      </c>
      <c r="AC148" s="4" t="s">
        <v>146</v>
      </c>
      <c r="AD148" s="5">
        <v>55349704</v>
      </c>
      <c r="AE148" s="5">
        <v>15737435</v>
      </c>
      <c r="AF148" s="5">
        <v>45183328</v>
      </c>
      <c r="AI148" t="s">
        <v>688</v>
      </c>
      <c r="AJ148">
        <v>16.18</v>
      </c>
      <c r="AL148" t="s">
        <v>148</v>
      </c>
      <c r="AM148">
        <v>7.77</v>
      </c>
      <c r="AO148" t="s">
        <v>148</v>
      </c>
      <c r="AP148">
        <v>69.959999999999994</v>
      </c>
      <c r="AQ148">
        <v>73.959999999999994</v>
      </c>
      <c r="AS148" t="s">
        <v>148</v>
      </c>
      <c r="AT148">
        <v>11.41</v>
      </c>
      <c r="AU148">
        <v>10.68</v>
      </c>
      <c r="AW148" t="s">
        <v>148</v>
      </c>
      <c r="AX148">
        <v>59.04</v>
      </c>
    </row>
    <row r="149" spans="1:50" x14ac:dyDescent="0.35">
      <c r="A149" t="s">
        <v>149</v>
      </c>
      <c r="B149">
        <v>95.99</v>
      </c>
      <c r="D149" t="s">
        <v>689</v>
      </c>
      <c r="E149">
        <v>74.5</v>
      </c>
      <c r="G149" t="s">
        <v>149</v>
      </c>
      <c r="H149">
        <v>0.28899999999999998</v>
      </c>
      <c r="J149" t="s">
        <v>689</v>
      </c>
      <c r="K149">
        <v>24</v>
      </c>
      <c r="M149" t="s">
        <v>689</v>
      </c>
      <c r="N149">
        <v>53.94</v>
      </c>
      <c r="P149" t="s">
        <v>159</v>
      </c>
      <c r="Q149">
        <v>14.7</v>
      </c>
      <c r="S149" t="s">
        <v>149</v>
      </c>
      <c r="T149">
        <v>0.13800000000000001</v>
      </c>
      <c r="V149" t="s">
        <v>689</v>
      </c>
      <c r="W149">
        <v>33.340000000000003</v>
      </c>
      <c r="Y149" t="s">
        <v>689</v>
      </c>
      <c r="Z149">
        <v>2.1</v>
      </c>
      <c r="AC149" s="4" t="s">
        <v>147</v>
      </c>
      <c r="AD149" s="5">
        <v>52771715</v>
      </c>
      <c r="AE149" s="5">
        <v>29569281</v>
      </c>
      <c r="AF149" s="5">
        <v>27368216</v>
      </c>
      <c r="AI149" t="s">
        <v>689</v>
      </c>
      <c r="AJ149">
        <v>13.34</v>
      </c>
      <c r="AL149" t="s">
        <v>149</v>
      </c>
      <c r="AM149">
        <v>7.28</v>
      </c>
      <c r="AO149" t="s">
        <v>149</v>
      </c>
      <c r="AP149">
        <v>70.17</v>
      </c>
      <c r="AQ149">
        <v>74.17</v>
      </c>
      <c r="AS149" t="s">
        <v>149</v>
      </c>
      <c r="AT149">
        <v>11.19</v>
      </c>
      <c r="AU149">
        <v>10.94</v>
      </c>
      <c r="AW149" t="s">
        <v>149</v>
      </c>
      <c r="AX149">
        <v>60.35</v>
      </c>
    </row>
    <row r="150" spans="1:50" x14ac:dyDescent="0.35">
      <c r="A150" t="s">
        <v>150</v>
      </c>
      <c r="B150">
        <v>89.84</v>
      </c>
      <c r="D150" t="s">
        <v>150</v>
      </c>
      <c r="E150">
        <v>58.22</v>
      </c>
      <c r="G150" t="s">
        <v>150</v>
      </c>
      <c r="H150">
        <v>0.49</v>
      </c>
      <c r="J150" t="s">
        <v>150</v>
      </c>
      <c r="K150">
        <v>9.52</v>
      </c>
      <c r="M150" t="s">
        <v>150</v>
      </c>
      <c r="N150">
        <v>57.64</v>
      </c>
      <c r="P150" t="s">
        <v>160</v>
      </c>
      <c r="Q150">
        <v>15.28</v>
      </c>
      <c r="S150" t="s">
        <v>150</v>
      </c>
      <c r="T150">
        <v>0.32</v>
      </c>
      <c r="V150" t="s">
        <v>150</v>
      </c>
      <c r="W150">
        <v>27.1</v>
      </c>
      <c r="Y150" t="s">
        <v>150</v>
      </c>
      <c r="Z150">
        <v>2.2400000000000002</v>
      </c>
      <c r="AC150" s="4" t="s">
        <v>1117</v>
      </c>
      <c r="AD150" s="6" t="s">
        <v>548</v>
      </c>
      <c r="AE150" s="6" t="s">
        <v>548</v>
      </c>
      <c r="AF150" s="6" t="s">
        <v>548</v>
      </c>
      <c r="AI150" t="s">
        <v>1161</v>
      </c>
      <c r="AJ150">
        <v>19.670000000000002</v>
      </c>
      <c r="AL150" t="s">
        <v>150</v>
      </c>
      <c r="AM150">
        <v>4.5199999999999996</v>
      </c>
      <c r="AO150" t="s">
        <v>150</v>
      </c>
      <c r="AP150">
        <v>69.3</v>
      </c>
      <c r="AQ150">
        <v>73.260000000000005</v>
      </c>
      <c r="AS150" t="s">
        <v>150</v>
      </c>
      <c r="AT150">
        <v>8.4499999999999993</v>
      </c>
      <c r="AU150">
        <v>8.11</v>
      </c>
      <c r="AW150" t="s">
        <v>150</v>
      </c>
      <c r="AX150">
        <v>37.18</v>
      </c>
    </row>
    <row r="151" spans="1:50" x14ac:dyDescent="0.35">
      <c r="A151" t="s">
        <v>151</v>
      </c>
      <c r="B151">
        <v>89.24</v>
      </c>
      <c r="D151" t="s">
        <v>690</v>
      </c>
      <c r="E151">
        <v>61.19</v>
      </c>
      <c r="G151" t="s">
        <v>151</v>
      </c>
      <c r="H151">
        <v>0.48799999999999999</v>
      </c>
      <c r="J151" t="s">
        <v>690</v>
      </c>
      <c r="K151">
        <v>14.71</v>
      </c>
      <c r="M151" t="s">
        <v>690</v>
      </c>
      <c r="N151">
        <v>59.99</v>
      </c>
      <c r="P151" t="s">
        <v>161</v>
      </c>
      <c r="Q151">
        <v>15.94</v>
      </c>
      <c r="S151" t="s">
        <v>151</v>
      </c>
      <c r="T151">
        <v>0.28799999999999998</v>
      </c>
      <c r="V151" t="s">
        <v>690</v>
      </c>
      <c r="W151">
        <v>25.28</v>
      </c>
      <c r="Y151" t="s">
        <v>690</v>
      </c>
      <c r="Z151">
        <v>2.34</v>
      </c>
      <c r="AC151" s="4" t="s">
        <v>1118</v>
      </c>
      <c r="AD151" s="5">
        <v>344372919</v>
      </c>
      <c r="AE151" s="5">
        <v>36721756</v>
      </c>
      <c r="AF151" s="5">
        <v>12997731</v>
      </c>
      <c r="AI151" t="s">
        <v>690</v>
      </c>
      <c r="AJ151">
        <v>18.309999999999999</v>
      </c>
      <c r="AL151" t="s">
        <v>151</v>
      </c>
      <c r="AM151">
        <v>4.32</v>
      </c>
      <c r="AO151" t="s">
        <v>151</v>
      </c>
      <c r="AP151">
        <v>69.650000000000006</v>
      </c>
      <c r="AQ151">
        <v>73.63</v>
      </c>
      <c r="AS151" t="s">
        <v>151</v>
      </c>
      <c r="AT151">
        <v>8.74</v>
      </c>
      <c r="AU151">
        <v>8.16</v>
      </c>
      <c r="AW151" t="s">
        <v>151</v>
      </c>
      <c r="AX151">
        <v>37.85</v>
      </c>
    </row>
    <row r="152" spans="1:50" x14ac:dyDescent="0.35">
      <c r="A152" t="s">
        <v>152</v>
      </c>
      <c r="B152">
        <v>89.21</v>
      </c>
      <c r="D152" t="s">
        <v>691</v>
      </c>
      <c r="E152">
        <v>53.47</v>
      </c>
      <c r="G152" t="s">
        <v>152</v>
      </c>
      <c r="H152">
        <v>0.28699999999999998</v>
      </c>
      <c r="J152" t="s">
        <v>691</v>
      </c>
      <c r="K152">
        <v>8</v>
      </c>
      <c r="M152" t="s">
        <v>691</v>
      </c>
      <c r="N152">
        <v>55.26</v>
      </c>
      <c r="P152" t="s">
        <v>162</v>
      </c>
      <c r="Q152">
        <v>24.11</v>
      </c>
      <c r="S152" t="s">
        <v>152</v>
      </c>
      <c r="T152">
        <v>0.28100000000000003</v>
      </c>
      <c r="V152" t="s">
        <v>691</v>
      </c>
      <c r="W152">
        <v>23.24</v>
      </c>
      <c r="Y152" t="s">
        <v>691</v>
      </c>
      <c r="Z152">
        <v>2.13</v>
      </c>
      <c r="AC152" s="4" t="s">
        <v>177</v>
      </c>
      <c r="AD152" s="5">
        <v>299853896</v>
      </c>
      <c r="AE152" s="5">
        <v>51268832</v>
      </c>
      <c r="AF152" s="5">
        <v>18474951</v>
      </c>
      <c r="AI152" t="s">
        <v>691</v>
      </c>
      <c r="AJ152">
        <v>19.37</v>
      </c>
      <c r="AL152" t="s">
        <v>152</v>
      </c>
      <c r="AM152">
        <v>6.46</v>
      </c>
      <c r="AO152" t="s">
        <v>152</v>
      </c>
      <c r="AP152">
        <v>69.599999999999994</v>
      </c>
      <c r="AQ152">
        <v>73.569999999999993</v>
      </c>
      <c r="AS152" t="s">
        <v>152</v>
      </c>
      <c r="AT152">
        <v>9.08</v>
      </c>
      <c r="AU152">
        <v>8.65</v>
      </c>
      <c r="AW152" t="s">
        <v>152</v>
      </c>
      <c r="AX152">
        <v>43.38</v>
      </c>
    </row>
    <row r="153" spans="1:50" x14ac:dyDescent="0.35">
      <c r="A153" t="s">
        <v>153</v>
      </c>
      <c r="B153">
        <v>90.36</v>
      </c>
      <c r="D153" t="s">
        <v>692</v>
      </c>
      <c r="E153">
        <v>64.150000000000006</v>
      </c>
      <c r="G153" t="s">
        <v>153</v>
      </c>
      <c r="H153">
        <v>0.45900000000000002</v>
      </c>
      <c r="J153" t="s">
        <v>692</v>
      </c>
      <c r="K153">
        <v>16</v>
      </c>
      <c r="M153" t="s">
        <v>692</v>
      </c>
      <c r="N153">
        <v>58.43</v>
      </c>
      <c r="P153" t="s">
        <v>163</v>
      </c>
      <c r="Q153">
        <v>13.71</v>
      </c>
      <c r="S153" t="s">
        <v>153</v>
      </c>
      <c r="T153">
        <v>0.32600000000000001</v>
      </c>
      <c r="V153" t="s">
        <v>692</v>
      </c>
      <c r="W153">
        <v>27.36</v>
      </c>
      <c r="Y153" t="s">
        <v>692</v>
      </c>
      <c r="Z153">
        <v>2.23</v>
      </c>
      <c r="AC153" s="4" t="s">
        <v>189</v>
      </c>
      <c r="AD153" s="5">
        <v>182211292</v>
      </c>
      <c r="AE153" s="5">
        <v>29493271</v>
      </c>
      <c r="AF153" s="5">
        <v>5089561</v>
      </c>
      <c r="AI153" t="s">
        <v>692</v>
      </c>
      <c r="AJ153">
        <v>21.23</v>
      </c>
      <c r="AL153" t="s">
        <v>153</v>
      </c>
      <c r="AM153">
        <v>2.71</v>
      </c>
      <c r="AO153" t="s">
        <v>153</v>
      </c>
      <c r="AP153">
        <v>68.510000000000005</v>
      </c>
      <c r="AQ153">
        <v>72.44</v>
      </c>
      <c r="AS153" t="s">
        <v>153</v>
      </c>
      <c r="AT153">
        <v>8.07</v>
      </c>
      <c r="AU153">
        <v>7.42</v>
      </c>
      <c r="AW153" t="s">
        <v>153</v>
      </c>
      <c r="AX153">
        <v>32.840000000000003</v>
      </c>
    </row>
    <row r="154" spans="1:50" x14ac:dyDescent="0.35">
      <c r="A154" t="s">
        <v>154</v>
      </c>
      <c r="B154">
        <v>91.91</v>
      </c>
      <c r="D154" t="s">
        <v>693</v>
      </c>
      <c r="E154">
        <v>63.29</v>
      </c>
      <c r="G154" t="s">
        <v>154</v>
      </c>
      <c r="H154">
        <v>0.38800000000000001</v>
      </c>
      <c r="J154" t="s">
        <v>693</v>
      </c>
      <c r="K154">
        <v>20</v>
      </c>
      <c r="M154" t="s">
        <v>693</v>
      </c>
      <c r="N154">
        <v>58.19</v>
      </c>
      <c r="P154" t="s">
        <v>164</v>
      </c>
      <c r="Q154">
        <v>7.53</v>
      </c>
      <c r="S154" t="s">
        <v>154</v>
      </c>
      <c r="T154">
        <v>0.38300000000000001</v>
      </c>
      <c r="V154" t="s">
        <v>693</v>
      </c>
      <c r="W154">
        <v>22.44</v>
      </c>
      <c r="Y154" t="s">
        <v>693</v>
      </c>
      <c r="Z154">
        <v>2.3199999999999998</v>
      </c>
      <c r="AC154" s="4" t="s">
        <v>174</v>
      </c>
      <c r="AD154" s="5">
        <v>414754542</v>
      </c>
      <c r="AE154" s="5">
        <v>102472378</v>
      </c>
      <c r="AF154" s="5">
        <v>18854963</v>
      </c>
      <c r="AI154" t="s">
        <v>693</v>
      </c>
      <c r="AJ154">
        <v>21.21</v>
      </c>
      <c r="AL154" t="s">
        <v>154</v>
      </c>
      <c r="AM154">
        <v>5.29</v>
      </c>
      <c r="AO154" t="s">
        <v>154</v>
      </c>
      <c r="AP154">
        <v>70.16</v>
      </c>
      <c r="AQ154">
        <v>74.16</v>
      </c>
      <c r="AS154" t="s">
        <v>154</v>
      </c>
      <c r="AT154">
        <v>7.66</v>
      </c>
      <c r="AU154">
        <v>6.94</v>
      </c>
      <c r="AW154" t="s">
        <v>154</v>
      </c>
      <c r="AX154">
        <v>23.05</v>
      </c>
    </row>
    <row r="155" spans="1:50" x14ac:dyDescent="0.35">
      <c r="A155" t="s">
        <v>155</v>
      </c>
      <c r="B155">
        <v>84.81</v>
      </c>
      <c r="D155" t="s">
        <v>694</v>
      </c>
      <c r="E155">
        <v>49.45</v>
      </c>
      <c r="G155" t="s">
        <v>155</v>
      </c>
      <c r="H155">
        <v>0.59899999999999998</v>
      </c>
      <c r="J155" t="s">
        <v>694</v>
      </c>
      <c r="K155">
        <v>8</v>
      </c>
      <c r="M155" t="s">
        <v>694</v>
      </c>
      <c r="N155">
        <v>56.11</v>
      </c>
      <c r="P155" t="s">
        <v>165</v>
      </c>
      <c r="Q155">
        <v>10.07</v>
      </c>
      <c r="S155" t="s">
        <v>155</v>
      </c>
      <c r="T155">
        <v>0.46200000000000002</v>
      </c>
      <c r="V155" t="s">
        <v>694</v>
      </c>
      <c r="W155">
        <v>22.16</v>
      </c>
      <c r="Y155" t="s">
        <v>694</v>
      </c>
      <c r="Z155">
        <v>2.15</v>
      </c>
      <c r="AC155" s="4" t="s">
        <v>180</v>
      </c>
      <c r="AD155" s="5">
        <v>80236181</v>
      </c>
      <c r="AE155" s="5">
        <v>52574437</v>
      </c>
      <c r="AF155" s="5">
        <v>20256167</v>
      </c>
      <c r="AI155" t="s">
        <v>694</v>
      </c>
      <c r="AJ155">
        <v>23.69</v>
      </c>
      <c r="AL155" t="s">
        <v>155</v>
      </c>
      <c r="AM155">
        <v>3.11</v>
      </c>
      <c r="AO155" t="s">
        <v>155</v>
      </c>
      <c r="AP155">
        <v>67.05</v>
      </c>
      <c r="AQ155">
        <v>71.02</v>
      </c>
      <c r="AS155" t="s">
        <v>155</v>
      </c>
      <c r="AT155">
        <v>7.23</v>
      </c>
      <c r="AU155">
        <v>6.72</v>
      </c>
      <c r="AW155" t="s">
        <v>155</v>
      </c>
      <c r="AX155">
        <v>24.61</v>
      </c>
    </row>
    <row r="156" spans="1:50" x14ac:dyDescent="0.35">
      <c r="A156" t="s">
        <v>156</v>
      </c>
      <c r="B156">
        <v>87.3</v>
      </c>
      <c r="D156" t="s">
        <v>695</v>
      </c>
      <c r="E156">
        <v>54.92</v>
      </c>
      <c r="G156" t="s">
        <v>156</v>
      </c>
      <c r="H156">
        <v>0.47699999999999998</v>
      </c>
      <c r="J156" t="s">
        <v>695</v>
      </c>
      <c r="K156">
        <v>8</v>
      </c>
      <c r="M156" t="s">
        <v>695</v>
      </c>
      <c r="N156">
        <v>62.69</v>
      </c>
      <c r="P156" t="s">
        <v>1085</v>
      </c>
      <c r="Q156">
        <v>3.63</v>
      </c>
      <c r="S156" t="s">
        <v>156</v>
      </c>
      <c r="T156">
        <v>0.29699999999999999</v>
      </c>
      <c r="V156" t="s">
        <v>695</v>
      </c>
      <c r="W156">
        <v>27.48</v>
      </c>
      <c r="Y156" t="s">
        <v>695</v>
      </c>
      <c r="Z156">
        <v>2.11</v>
      </c>
      <c r="AC156" s="4" t="s">
        <v>176</v>
      </c>
      <c r="AD156" s="5">
        <v>313587295</v>
      </c>
      <c r="AE156" s="5">
        <v>111708891</v>
      </c>
      <c r="AF156" s="5">
        <v>33408922</v>
      </c>
      <c r="AI156" t="s">
        <v>695</v>
      </c>
      <c r="AJ156">
        <v>20.85</v>
      </c>
      <c r="AL156" t="s">
        <v>156</v>
      </c>
      <c r="AM156">
        <v>6.73</v>
      </c>
      <c r="AO156" t="s">
        <v>156</v>
      </c>
      <c r="AP156">
        <v>70.62</v>
      </c>
      <c r="AQ156">
        <v>74.650000000000006</v>
      </c>
      <c r="AS156" t="s">
        <v>156</v>
      </c>
      <c r="AT156">
        <v>8.98</v>
      </c>
      <c r="AU156">
        <v>8.7899999999999991</v>
      </c>
      <c r="AW156" t="s">
        <v>156</v>
      </c>
      <c r="AX156">
        <v>41.02</v>
      </c>
    </row>
    <row r="157" spans="1:50" x14ac:dyDescent="0.35">
      <c r="A157" t="s">
        <v>157</v>
      </c>
      <c r="B157">
        <v>93.16</v>
      </c>
      <c r="D157" t="s">
        <v>696</v>
      </c>
      <c r="E157">
        <v>65.099999999999994</v>
      </c>
      <c r="G157" t="s">
        <v>157</v>
      </c>
      <c r="H157">
        <v>0.217</v>
      </c>
      <c r="J157" t="s">
        <v>696</v>
      </c>
      <c r="K157">
        <v>13.33</v>
      </c>
      <c r="M157" t="s">
        <v>696</v>
      </c>
      <c r="N157">
        <v>54.55</v>
      </c>
      <c r="P157" t="s">
        <v>168</v>
      </c>
      <c r="Q157">
        <v>2.2799999999999998</v>
      </c>
      <c r="S157" t="s">
        <v>157</v>
      </c>
      <c r="T157">
        <v>0.193</v>
      </c>
      <c r="V157" t="s">
        <v>696</v>
      </c>
      <c r="W157">
        <v>30.08</v>
      </c>
      <c r="Y157" t="s">
        <v>696</v>
      </c>
      <c r="Z157">
        <v>2.2599999999999998</v>
      </c>
      <c r="AC157" s="4" t="s">
        <v>182</v>
      </c>
      <c r="AD157" s="5">
        <v>236008686</v>
      </c>
      <c r="AE157" s="5">
        <v>69512792</v>
      </c>
      <c r="AF157" s="5">
        <v>10294939</v>
      </c>
      <c r="AI157" t="s">
        <v>696</v>
      </c>
      <c r="AJ157">
        <v>14.61</v>
      </c>
      <c r="AL157" t="s">
        <v>157</v>
      </c>
      <c r="AM157">
        <v>4.2699999999999996</v>
      </c>
      <c r="AO157" t="s">
        <v>157</v>
      </c>
      <c r="AP157">
        <v>72.180000000000007</v>
      </c>
      <c r="AQ157">
        <v>75.900000000000006</v>
      </c>
      <c r="AS157" t="s">
        <v>157</v>
      </c>
      <c r="AT157">
        <v>10.84</v>
      </c>
      <c r="AU157">
        <v>10.08</v>
      </c>
      <c r="AW157" t="s">
        <v>157</v>
      </c>
      <c r="AX157">
        <v>55.68</v>
      </c>
    </row>
    <row r="158" spans="1:50" x14ac:dyDescent="0.35">
      <c r="A158" t="s">
        <v>697</v>
      </c>
      <c r="B158">
        <v>93.96</v>
      </c>
      <c r="D158" t="s">
        <v>697</v>
      </c>
      <c r="E158">
        <v>58.83</v>
      </c>
      <c r="G158" t="s">
        <v>697</v>
      </c>
      <c r="H158">
        <v>0.34799999999999998</v>
      </c>
      <c r="J158" t="s">
        <v>697</v>
      </c>
      <c r="K158">
        <v>8.89</v>
      </c>
      <c r="M158" t="s">
        <v>697</v>
      </c>
      <c r="N158">
        <v>44.35</v>
      </c>
      <c r="P158" t="s">
        <v>169</v>
      </c>
      <c r="Q158">
        <v>3.08</v>
      </c>
      <c r="S158" t="s">
        <v>697</v>
      </c>
      <c r="T158">
        <v>0.14000000000000001</v>
      </c>
      <c r="V158" t="s">
        <v>697</v>
      </c>
      <c r="W158">
        <v>28.01</v>
      </c>
      <c r="Y158" t="s">
        <v>697</v>
      </c>
      <c r="Z158">
        <v>2.21</v>
      </c>
      <c r="AC158" s="4" t="s">
        <v>178</v>
      </c>
      <c r="AD158" s="5">
        <v>252253834</v>
      </c>
      <c r="AE158" s="5">
        <v>78578178</v>
      </c>
      <c r="AF158" s="5">
        <v>20390686</v>
      </c>
      <c r="AI158" t="s">
        <v>158</v>
      </c>
      <c r="AJ158">
        <v>15.43</v>
      </c>
      <c r="AL158" t="s">
        <v>158</v>
      </c>
      <c r="AM158">
        <v>5.69</v>
      </c>
      <c r="AO158" t="s">
        <v>158</v>
      </c>
      <c r="AP158">
        <v>68.989999999999995</v>
      </c>
      <c r="AQ158">
        <v>72.94</v>
      </c>
      <c r="AS158" t="s">
        <v>158</v>
      </c>
      <c r="AT158">
        <v>10.51</v>
      </c>
      <c r="AU158">
        <v>10.38</v>
      </c>
      <c r="AW158" t="s">
        <v>158</v>
      </c>
      <c r="AX158">
        <v>60.24</v>
      </c>
    </row>
    <row r="159" spans="1:50" x14ac:dyDescent="0.35">
      <c r="A159" t="s">
        <v>159</v>
      </c>
      <c r="B159">
        <v>91.33</v>
      </c>
      <c r="D159" t="s">
        <v>698</v>
      </c>
      <c r="E159">
        <v>57.07</v>
      </c>
      <c r="G159" t="s">
        <v>159</v>
      </c>
      <c r="H159">
        <v>0.40100000000000002</v>
      </c>
      <c r="J159" t="s">
        <v>698</v>
      </c>
      <c r="K159">
        <v>10</v>
      </c>
      <c r="M159" t="s">
        <v>698</v>
      </c>
      <c r="N159">
        <v>43.77</v>
      </c>
      <c r="P159" t="s">
        <v>170</v>
      </c>
      <c r="Q159">
        <v>2.91</v>
      </c>
      <c r="S159" t="s">
        <v>159</v>
      </c>
      <c r="T159">
        <v>0.185</v>
      </c>
      <c r="V159" t="s">
        <v>698</v>
      </c>
      <c r="W159">
        <v>24.77</v>
      </c>
      <c r="Y159" t="s">
        <v>698</v>
      </c>
      <c r="Z159">
        <v>2.2799999999999998</v>
      </c>
      <c r="AC159" s="4" t="s">
        <v>185</v>
      </c>
      <c r="AD159" s="5">
        <v>229420189</v>
      </c>
      <c r="AE159" s="5">
        <v>63386754</v>
      </c>
      <c r="AF159" s="5">
        <v>7749296</v>
      </c>
      <c r="AI159" t="s">
        <v>698</v>
      </c>
      <c r="AJ159">
        <v>16.64</v>
      </c>
      <c r="AL159" t="s">
        <v>159</v>
      </c>
      <c r="AM159">
        <v>5.95</v>
      </c>
      <c r="AO159" t="s">
        <v>159</v>
      </c>
      <c r="AP159">
        <v>70.06</v>
      </c>
      <c r="AQ159">
        <v>74.05</v>
      </c>
      <c r="AS159" t="s">
        <v>159</v>
      </c>
      <c r="AT159">
        <v>8.9</v>
      </c>
      <c r="AU159">
        <v>8.43</v>
      </c>
      <c r="AW159" t="s">
        <v>159</v>
      </c>
      <c r="AX159">
        <v>39.04</v>
      </c>
    </row>
    <row r="160" spans="1:50" x14ac:dyDescent="0.35">
      <c r="A160" t="s">
        <v>160</v>
      </c>
      <c r="B160">
        <v>93.93</v>
      </c>
      <c r="D160" t="s">
        <v>699</v>
      </c>
      <c r="E160">
        <v>71.930000000000007</v>
      </c>
      <c r="G160" t="s">
        <v>160</v>
      </c>
      <c r="H160">
        <v>0.35699999999999998</v>
      </c>
      <c r="J160" t="s">
        <v>699</v>
      </c>
      <c r="K160">
        <v>28</v>
      </c>
      <c r="M160" t="s">
        <v>699</v>
      </c>
      <c r="N160">
        <v>48.33</v>
      </c>
      <c r="P160" t="s">
        <v>171</v>
      </c>
      <c r="Q160">
        <v>2.0299999999999998</v>
      </c>
      <c r="S160" t="s">
        <v>160</v>
      </c>
      <c r="T160">
        <v>0.20499999999999999</v>
      </c>
      <c r="V160" t="s">
        <v>699</v>
      </c>
      <c r="W160">
        <v>24.06</v>
      </c>
      <c r="Y160" t="s">
        <v>699</v>
      </c>
      <c r="Z160">
        <v>2.25</v>
      </c>
      <c r="AC160" s="4" t="s">
        <v>188</v>
      </c>
      <c r="AD160" s="5">
        <v>172721598</v>
      </c>
      <c r="AE160" s="5">
        <v>29756610</v>
      </c>
      <c r="AF160" s="5">
        <v>26456289</v>
      </c>
      <c r="AI160" t="s">
        <v>699</v>
      </c>
      <c r="AJ160">
        <v>14.9</v>
      </c>
      <c r="AL160" t="s">
        <v>160</v>
      </c>
      <c r="AM160">
        <v>5.9</v>
      </c>
      <c r="AO160" t="s">
        <v>160</v>
      </c>
      <c r="AP160">
        <v>69.16</v>
      </c>
      <c r="AQ160">
        <v>73.12</v>
      </c>
      <c r="AS160" t="s">
        <v>160</v>
      </c>
      <c r="AT160">
        <v>9.0500000000000007</v>
      </c>
      <c r="AU160">
        <v>8.92</v>
      </c>
      <c r="AW160" t="s">
        <v>160</v>
      </c>
      <c r="AX160">
        <v>49.89</v>
      </c>
    </row>
    <row r="161" spans="1:50" x14ac:dyDescent="0.35">
      <c r="A161" t="s">
        <v>161</v>
      </c>
      <c r="B161">
        <v>92.07</v>
      </c>
      <c r="D161" t="s">
        <v>700</v>
      </c>
      <c r="E161">
        <v>50.13</v>
      </c>
      <c r="G161" t="s">
        <v>161</v>
      </c>
      <c r="H161">
        <v>0.52800000000000002</v>
      </c>
      <c r="J161" t="s">
        <v>700</v>
      </c>
      <c r="K161">
        <v>5</v>
      </c>
      <c r="M161" t="s">
        <v>700</v>
      </c>
      <c r="N161">
        <v>51.43</v>
      </c>
      <c r="P161" t="s">
        <v>172</v>
      </c>
      <c r="Q161">
        <v>2.62</v>
      </c>
      <c r="S161" t="s">
        <v>161</v>
      </c>
      <c r="T161">
        <v>0.26700000000000002</v>
      </c>
      <c r="V161" t="s">
        <v>700</v>
      </c>
      <c r="W161">
        <v>24.44</v>
      </c>
      <c r="Y161" t="s">
        <v>700</v>
      </c>
      <c r="Z161">
        <v>2.4300000000000002</v>
      </c>
      <c r="AC161" s="4" t="s">
        <v>181</v>
      </c>
      <c r="AD161" s="5">
        <v>46440714</v>
      </c>
      <c r="AE161" s="5">
        <v>25126648</v>
      </c>
      <c r="AF161" s="5">
        <v>19025595</v>
      </c>
      <c r="AI161" t="s">
        <v>700</v>
      </c>
      <c r="AJ161">
        <v>18.809999999999999</v>
      </c>
      <c r="AL161" t="s">
        <v>161</v>
      </c>
      <c r="AM161">
        <v>5.25</v>
      </c>
      <c r="AO161" t="s">
        <v>161</v>
      </c>
      <c r="AP161">
        <v>64.319999999999993</v>
      </c>
      <c r="AQ161">
        <v>68.22</v>
      </c>
      <c r="AS161" t="s">
        <v>161</v>
      </c>
      <c r="AT161">
        <v>9.3699999999999992</v>
      </c>
      <c r="AU161">
        <v>9.02</v>
      </c>
      <c r="AW161" t="s">
        <v>161</v>
      </c>
      <c r="AX161">
        <v>43.84</v>
      </c>
    </row>
    <row r="162" spans="1:50" x14ac:dyDescent="0.35">
      <c r="A162" t="s">
        <v>162</v>
      </c>
      <c r="B162">
        <v>90.75</v>
      </c>
      <c r="D162" t="s">
        <v>701</v>
      </c>
      <c r="E162">
        <v>48.94</v>
      </c>
      <c r="G162" t="s">
        <v>162</v>
      </c>
      <c r="H162">
        <v>0.52900000000000003</v>
      </c>
      <c r="J162" t="s">
        <v>701</v>
      </c>
      <c r="K162">
        <v>5</v>
      </c>
      <c r="M162" t="s">
        <v>701</v>
      </c>
      <c r="N162">
        <v>49.77</v>
      </c>
      <c r="P162" t="s">
        <v>174</v>
      </c>
      <c r="Q162">
        <v>5.3</v>
      </c>
      <c r="S162" t="s">
        <v>162</v>
      </c>
      <c r="T162">
        <v>0.19400000000000001</v>
      </c>
      <c r="V162" t="s">
        <v>701</v>
      </c>
      <c r="W162">
        <v>22.83</v>
      </c>
      <c r="Y162" t="s">
        <v>701</v>
      </c>
      <c r="Z162">
        <v>2.27</v>
      </c>
      <c r="AC162" s="4" t="s">
        <v>183</v>
      </c>
      <c r="AD162" s="5">
        <v>133379140</v>
      </c>
      <c r="AE162" s="5">
        <v>51081560</v>
      </c>
      <c r="AF162" s="5">
        <v>10083774</v>
      </c>
      <c r="AI162" t="s">
        <v>701</v>
      </c>
      <c r="AJ162">
        <v>19.68</v>
      </c>
      <c r="AL162" t="s">
        <v>162</v>
      </c>
      <c r="AM162">
        <v>11.26</v>
      </c>
      <c r="AO162" t="s">
        <v>162</v>
      </c>
      <c r="AP162">
        <v>61.65</v>
      </c>
      <c r="AQ162">
        <v>65.44</v>
      </c>
      <c r="AS162" t="s">
        <v>162</v>
      </c>
      <c r="AT162">
        <v>7.59</v>
      </c>
      <c r="AU162">
        <v>7.16</v>
      </c>
      <c r="AW162" t="s">
        <v>162</v>
      </c>
      <c r="AX162">
        <v>29.63</v>
      </c>
    </row>
    <row r="163" spans="1:50" x14ac:dyDescent="0.35">
      <c r="A163" t="s">
        <v>163</v>
      </c>
      <c r="B163">
        <v>91.25</v>
      </c>
      <c r="D163" t="s">
        <v>702</v>
      </c>
      <c r="E163">
        <v>62.29</v>
      </c>
      <c r="G163" t="s">
        <v>163</v>
      </c>
      <c r="H163">
        <v>0.48399999999999999</v>
      </c>
      <c r="J163" t="s">
        <v>702</v>
      </c>
      <c r="K163">
        <v>15</v>
      </c>
      <c r="M163" t="s">
        <v>702</v>
      </c>
      <c r="N163">
        <v>54.8</v>
      </c>
      <c r="P163" t="s">
        <v>175</v>
      </c>
      <c r="Q163">
        <v>5.98</v>
      </c>
      <c r="S163" t="s">
        <v>163</v>
      </c>
      <c r="T163">
        <v>0.222</v>
      </c>
      <c r="V163" t="s">
        <v>163</v>
      </c>
      <c r="W163">
        <v>25.67</v>
      </c>
      <c r="Y163" t="s">
        <v>702</v>
      </c>
      <c r="Z163">
        <v>2.4500000000000002</v>
      </c>
      <c r="AC163" s="4" t="s">
        <v>187</v>
      </c>
      <c r="AD163" s="5">
        <v>68404298</v>
      </c>
      <c r="AE163" s="5">
        <v>35842964</v>
      </c>
      <c r="AF163" s="5">
        <v>14671730</v>
      </c>
      <c r="AI163" t="s">
        <v>702</v>
      </c>
      <c r="AJ163">
        <v>20.02</v>
      </c>
      <c r="AL163" t="s">
        <v>163</v>
      </c>
      <c r="AM163">
        <v>6.95</v>
      </c>
      <c r="AO163" t="s">
        <v>163</v>
      </c>
      <c r="AP163">
        <v>66.150000000000006</v>
      </c>
      <c r="AQ163">
        <v>70.14</v>
      </c>
      <c r="AS163" t="s">
        <v>163</v>
      </c>
      <c r="AT163">
        <v>7.7</v>
      </c>
      <c r="AU163">
        <v>7.21</v>
      </c>
      <c r="AW163" t="s">
        <v>163</v>
      </c>
      <c r="AX163">
        <v>32.14</v>
      </c>
    </row>
    <row r="164" spans="1:50" x14ac:dyDescent="0.35">
      <c r="A164" t="s">
        <v>164</v>
      </c>
      <c r="B164">
        <v>94.95</v>
      </c>
      <c r="D164" t="s">
        <v>703</v>
      </c>
      <c r="E164">
        <v>58.26</v>
      </c>
      <c r="G164" t="s">
        <v>164</v>
      </c>
      <c r="H164">
        <v>0.30599999999999999</v>
      </c>
      <c r="J164" t="s">
        <v>703</v>
      </c>
      <c r="K164">
        <v>8</v>
      </c>
      <c r="M164" t="s">
        <v>703</v>
      </c>
      <c r="N164">
        <v>42.5</v>
      </c>
      <c r="P164" t="s">
        <v>176</v>
      </c>
      <c r="Q164">
        <v>7.02</v>
      </c>
      <c r="S164" t="s">
        <v>164</v>
      </c>
      <c r="T164">
        <v>0.122</v>
      </c>
      <c r="V164" t="s">
        <v>164</v>
      </c>
      <c r="W164">
        <v>29.02</v>
      </c>
      <c r="Y164" t="s">
        <v>164</v>
      </c>
      <c r="Z164">
        <v>2.16</v>
      </c>
      <c r="AC164" s="4" t="s">
        <v>186</v>
      </c>
      <c r="AD164" s="5">
        <v>210921457</v>
      </c>
      <c r="AE164" s="5">
        <v>27614968</v>
      </c>
      <c r="AF164" s="5">
        <v>10146577</v>
      </c>
      <c r="AI164" t="s">
        <v>1181</v>
      </c>
      <c r="AJ164">
        <v>11.67</v>
      </c>
      <c r="AL164" t="s">
        <v>164</v>
      </c>
      <c r="AM164">
        <v>5.0199999999999996</v>
      </c>
      <c r="AO164" t="s">
        <v>164</v>
      </c>
      <c r="AP164">
        <v>72.16</v>
      </c>
      <c r="AQ164">
        <v>75.89</v>
      </c>
      <c r="AS164" t="s">
        <v>164</v>
      </c>
      <c r="AT164">
        <v>11.37</v>
      </c>
      <c r="AU164">
        <v>11.07</v>
      </c>
      <c r="AW164" t="s">
        <v>164</v>
      </c>
      <c r="AX164">
        <v>68.55</v>
      </c>
    </row>
    <row r="165" spans="1:50" x14ac:dyDescent="0.35">
      <c r="A165" t="s">
        <v>165</v>
      </c>
      <c r="B165">
        <v>96.96</v>
      </c>
      <c r="D165" t="s">
        <v>704</v>
      </c>
      <c r="E165">
        <v>76.97</v>
      </c>
      <c r="G165" t="s">
        <v>165</v>
      </c>
      <c r="H165">
        <v>0.107</v>
      </c>
      <c r="J165" t="s">
        <v>704</v>
      </c>
      <c r="K165">
        <v>36.67</v>
      </c>
      <c r="M165" t="s">
        <v>704</v>
      </c>
      <c r="N165">
        <v>43.1</v>
      </c>
      <c r="P165" t="s">
        <v>177</v>
      </c>
      <c r="Q165">
        <v>5.19</v>
      </c>
      <c r="S165" t="s">
        <v>165</v>
      </c>
      <c r="T165">
        <v>0.107</v>
      </c>
      <c r="V165" t="s">
        <v>704</v>
      </c>
      <c r="W165">
        <v>27.12</v>
      </c>
      <c r="Y165" t="s">
        <v>704</v>
      </c>
      <c r="Z165">
        <v>2.08</v>
      </c>
      <c r="AC165" s="4" t="s">
        <v>175</v>
      </c>
      <c r="AD165" s="5">
        <v>296854501</v>
      </c>
      <c r="AE165" s="5">
        <v>77698118</v>
      </c>
      <c r="AF165" s="5">
        <v>30774496</v>
      </c>
      <c r="AI165" t="s">
        <v>704</v>
      </c>
      <c r="AJ165">
        <v>12.16</v>
      </c>
      <c r="AL165" t="s">
        <v>165</v>
      </c>
      <c r="AM165">
        <v>7.95</v>
      </c>
      <c r="AO165" t="s">
        <v>165</v>
      </c>
      <c r="AP165">
        <v>70.88</v>
      </c>
      <c r="AQ165">
        <v>74.92</v>
      </c>
      <c r="AS165" t="s">
        <v>165</v>
      </c>
      <c r="AT165">
        <v>10.84</v>
      </c>
      <c r="AU165">
        <v>10.64</v>
      </c>
      <c r="AW165" t="s">
        <v>165</v>
      </c>
      <c r="AX165">
        <v>59.47</v>
      </c>
    </row>
    <row r="166" spans="1:50" x14ac:dyDescent="0.35">
      <c r="A166" t="s">
        <v>166</v>
      </c>
      <c r="B166">
        <v>95.24</v>
      </c>
      <c r="D166" t="s">
        <v>166</v>
      </c>
      <c r="E166">
        <v>76.31</v>
      </c>
      <c r="G166" t="s">
        <v>166</v>
      </c>
      <c r="H166">
        <v>0.25600000000000001</v>
      </c>
      <c r="J166" t="s">
        <v>166</v>
      </c>
      <c r="K166">
        <v>22.64</v>
      </c>
      <c r="M166" t="s">
        <v>166</v>
      </c>
      <c r="N166">
        <v>49.82</v>
      </c>
      <c r="P166" t="s">
        <v>178</v>
      </c>
      <c r="Q166">
        <v>5.76</v>
      </c>
      <c r="S166" t="s">
        <v>166</v>
      </c>
      <c r="T166">
        <v>0.127</v>
      </c>
      <c r="V166" t="s">
        <v>166</v>
      </c>
      <c r="W166">
        <v>38.33</v>
      </c>
      <c r="Y166" t="s">
        <v>166</v>
      </c>
      <c r="Z166">
        <v>1.75</v>
      </c>
      <c r="AC166" s="4" t="s">
        <v>184</v>
      </c>
      <c r="AD166" s="5">
        <v>88154857</v>
      </c>
      <c r="AE166" s="5">
        <v>23988964</v>
      </c>
      <c r="AF166" s="5">
        <v>8972963</v>
      </c>
      <c r="AI166" t="s">
        <v>166</v>
      </c>
      <c r="AJ166">
        <v>12.02</v>
      </c>
      <c r="AL166" t="s">
        <v>166</v>
      </c>
      <c r="AM166">
        <v>4.4400000000000004</v>
      </c>
      <c r="AO166" t="s">
        <v>166</v>
      </c>
      <c r="AP166">
        <v>71.88</v>
      </c>
      <c r="AQ166">
        <v>75.61</v>
      </c>
      <c r="AS166" t="s">
        <v>166</v>
      </c>
      <c r="AT166">
        <v>11.73</v>
      </c>
      <c r="AU166">
        <v>11.18</v>
      </c>
      <c r="AW166" t="s">
        <v>166</v>
      </c>
      <c r="AX166">
        <v>65.540000000000006</v>
      </c>
    </row>
    <row r="167" spans="1:50" x14ac:dyDescent="0.35">
      <c r="A167" t="s">
        <v>167</v>
      </c>
      <c r="B167">
        <v>93.6</v>
      </c>
      <c r="D167" t="s">
        <v>705</v>
      </c>
      <c r="E167">
        <v>65.08</v>
      </c>
      <c r="G167" t="s">
        <v>1085</v>
      </c>
      <c r="H167">
        <v>0.252</v>
      </c>
      <c r="J167" t="s">
        <v>1085</v>
      </c>
      <c r="K167">
        <v>22.64</v>
      </c>
      <c r="M167" t="s">
        <v>1085</v>
      </c>
      <c r="N167">
        <v>48.37</v>
      </c>
      <c r="P167" t="s">
        <v>179</v>
      </c>
      <c r="Q167">
        <v>8.65</v>
      </c>
      <c r="S167" t="s">
        <v>1085</v>
      </c>
      <c r="T167">
        <v>0.251</v>
      </c>
      <c r="V167" t="s">
        <v>1085</v>
      </c>
      <c r="W167">
        <v>25.58</v>
      </c>
      <c r="Y167" t="s">
        <v>1085</v>
      </c>
      <c r="Z167">
        <v>2.16</v>
      </c>
      <c r="AC167" s="4" t="s">
        <v>179</v>
      </c>
      <c r="AD167" s="5">
        <v>112410119</v>
      </c>
      <c r="AE167" s="5">
        <v>96715262</v>
      </c>
      <c r="AF167" s="5">
        <v>37422126</v>
      </c>
      <c r="AI167" t="s">
        <v>705</v>
      </c>
      <c r="AJ167">
        <v>15.96</v>
      </c>
      <c r="AL167" t="s">
        <v>1085</v>
      </c>
      <c r="AM167">
        <v>13.13</v>
      </c>
      <c r="AO167" t="s">
        <v>705</v>
      </c>
      <c r="AP167">
        <v>67.680000000000007</v>
      </c>
      <c r="AQ167">
        <v>71.63</v>
      </c>
      <c r="AS167" t="s">
        <v>705</v>
      </c>
      <c r="AT167">
        <v>9.31</v>
      </c>
      <c r="AU167">
        <v>8.74</v>
      </c>
      <c r="AW167" t="s">
        <v>705</v>
      </c>
      <c r="AX167">
        <v>37.97</v>
      </c>
    </row>
    <row r="168" spans="1:50" x14ac:dyDescent="0.35">
      <c r="A168" t="s">
        <v>168</v>
      </c>
      <c r="B168">
        <v>97.16</v>
      </c>
      <c r="D168" t="s">
        <v>168</v>
      </c>
      <c r="E168">
        <v>76.599999999999994</v>
      </c>
      <c r="G168" t="s">
        <v>168</v>
      </c>
      <c r="H168">
        <v>0.32800000000000001</v>
      </c>
      <c r="J168" t="s">
        <v>168</v>
      </c>
      <c r="K168">
        <v>22.64</v>
      </c>
      <c r="M168" t="s">
        <v>168</v>
      </c>
      <c r="N168">
        <v>49.05</v>
      </c>
      <c r="P168" t="s">
        <v>180</v>
      </c>
      <c r="Q168">
        <v>6.1</v>
      </c>
      <c r="S168" t="s">
        <v>168</v>
      </c>
      <c r="T168">
        <v>0.11799999999999999</v>
      </c>
      <c r="V168" t="s">
        <v>168</v>
      </c>
      <c r="W168">
        <v>36.53</v>
      </c>
      <c r="Y168" t="s">
        <v>1074</v>
      </c>
      <c r="Z168">
        <v>1.65</v>
      </c>
      <c r="AC168" s="4" t="s">
        <v>194</v>
      </c>
      <c r="AD168" s="5">
        <v>66573993</v>
      </c>
      <c r="AE168" s="5">
        <v>38146251</v>
      </c>
      <c r="AF168" s="5">
        <v>16566736</v>
      </c>
      <c r="AI168" t="s">
        <v>1074</v>
      </c>
      <c r="AJ168">
        <v>11.37</v>
      </c>
      <c r="AL168" t="s">
        <v>168</v>
      </c>
      <c r="AM168">
        <v>3.1</v>
      </c>
      <c r="AO168" t="s">
        <v>168</v>
      </c>
      <c r="AP168">
        <v>73.03</v>
      </c>
      <c r="AQ168">
        <v>76.69</v>
      </c>
      <c r="AS168" t="s">
        <v>168</v>
      </c>
      <c r="AT168">
        <v>12.09</v>
      </c>
      <c r="AU168">
        <v>11.54</v>
      </c>
      <c r="AW168" t="s">
        <v>168</v>
      </c>
      <c r="AX168">
        <v>70.55</v>
      </c>
    </row>
    <row r="169" spans="1:50" x14ac:dyDescent="0.35">
      <c r="A169" t="s">
        <v>169</v>
      </c>
      <c r="B169">
        <v>95.98</v>
      </c>
      <c r="D169" t="s">
        <v>169</v>
      </c>
      <c r="E169">
        <v>76.180000000000007</v>
      </c>
      <c r="G169" t="s">
        <v>169</v>
      </c>
      <c r="H169">
        <v>0.21</v>
      </c>
      <c r="J169" t="s">
        <v>169</v>
      </c>
      <c r="K169">
        <v>22.64</v>
      </c>
      <c r="M169" t="s">
        <v>169</v>
      </c>
      <c r="N169">
        <v>51.83</v>
      </c>
      <c r="P169" t="s">
        <v>181</v>
      </c>
      <c r="Q169">
        <v>6.43</v>
      </c>
      <c r="S169" t="s">
        <v>169</v>
      </c>
      <c r="T169">
        <v>0.112</v>
      </c>
      <c r="V169" t="s">
        <v>169</v>
      </c>
      <c r="W169">
        <v>34.69</v>
      </c>
      <c r="Y169" t="s">
        <v>1075</v>
      </c>
      <c r="Z169">
        <v>1.77</v>
      </c>
      <c r="AC169" s="4" t="s">
        <v>196</v>
      </c>
      <c r="AD169" s="5">
        <v>56072496</v>
      </c>
      <c r="AE169" s="5">
        <v>30026344</v>
      </c>
      <c r="AF169" s="6" t="s">
        <v>548</v>
      </c>
      <c r="AI169" t="s">
        <v>1075</v>
      </c>
      <c r="AJ169">
        <v>12.94</v>
      </c>
      <c r="AL169" t="s">
        <v>169</v>
      </c>
      <c r="AM169">
        <v>4.2</v>
      </c>
      <c r="AO169" t="s">
        <v>169</v>
      </c>
      <c r="AP169">
        <v>73.38</v>
      </c>
      <c r="AQ169">
        <v>77.010000000000005</v>
      </c>
      <c r="AS169" t="s">
        <v>169</v>
      </c>
      <c r="AT169">
        <v>12.24</v>
      </c>
      <c r="AU169">
        <v>11.72</v>
      </c>
      <c r="AW169" t="s">
        <v>169</v>
      </c>
      <c r="AX169">
        <v>72.510000000000005</v>
      </c>
    </row>
    <row r="170" spans="1:50" x14ac:dyDescent="0.35">
      <c r="A170" t="s">
        <v>170</v>
      </c>
      <c r="B170">
        <v>96.28</v>
      </c>
      <c r="D170" t="s">
        <v>170</v>
      </c>
      <c r="E170">
        <v>79.02</v>
      </c>
      <c r="G170" t="s">
        <v>170</v>
      </c>
      <c r="H170">
        <v>0.155</v>
      </c>
      <c r="J170" t="s">
        <v>170</v>
      </c>
      <c r="K170">
        <v>22.64</v>
      </c>
      <c r="M170" t="s">
        <v>170</v>
      </c>
      <c r="N170">
        <v>53.72</v>
      </c>
      <c r="P170" t="s">
        <v>182</v>
      </c>
      <c r="Q170">
        <v>7.28</v>
      </c>
      <c r="S170" t="s">
        <v>170</v>
      </c>
      <c r="T170">
        <v>0.13900000000000001</v>
      </c>
      <c r="V170" t="s">
        <v>170</v>
      </c>
      <c r="W170">
        <v>39.659999999999997</v>
      </c>
      <c r="Y170" t="s">
        <v>1076</v>
      </c>
      <c r="Z170">
        <v>1.54</v>
      </c>
      <c r="AC170" s="4" t="s">
        <v>192</v>
      </c>
      <c r="AD170" s="5">
        <v>31725202</v>
      </c>
      <c r="AE170" s="5">
        <v>17761219</v>
      </c>
      <c r="AF170" s="5">
        <v>13158907</v>
      </c>
      <c r="AI170" t="s">
        <v>1076</v>
      </c>
      <c r="AJ170">
        <v>10.67</v>
      </c>
      <c r="AL170" t="s">
        <v>170</v>
      </c>
      <c r="AM170">
        <v>4.68</v>
      </c>
      <c r="AO170" t="s">
        <v>170</v>
      </c>
      <c r="AP170">
        <v>73.06</v>
      </c>
      <c r="AQ170">
        <v>76.709999999999994</v>
      </c>
      <c r="AS170" t="s">
        <v>170</v>
      </c>
      <c r="AT170">
        <v>11.82</v>
      </c>
      <c r="AU170">
        <v>11.31</v>
      </c>
      <c r="AW170" t="s">
        <v>170</v>
      </c>
      <c r="AX170">
        <v>67.209999999999994</v>
      </c>
    </row>
    <row r="171" spans="1:50" x14ac:dyDescent="0.35">
      <c r="A171" t="s">
        <v>171</v>
      </c>
      <c r="B171">
        <v>95.39</v>
      </c>
      <c r="D171" t="s">
        <v>171</v>
      </c>
      <c r="E171">
        <v>75.77</v>
      </c>
      <c r="G171" t="s">
        <v>171</v>
      </c>
      <c r="H171">
        <v>0.16400000000000001</v>
      </c>
      <c r="J171" t="s">
        <v>171</v>
      </c>
      <c r="K171">
        <v>22.64</v>
      </c>
      <c r="M171" t="s">
        <v>171</v>
      </c>
      <c r="N171">
        <v>51.72</v>
      </c>
      <c r="P171" t="s">
        <v>183</v>
      </c>
      <c r="Q171">
        <v>7.9</v>
      </c>
      <c r="S171" t="s">
        <v>171</v>
      </c>
      <c r="T171">
        <v>0.127</v>
      </c>
      <c r="V171" t="s">
        <v>171</v>
      </c>
      <c r="W171">
        <v>35.090000000000003</v>
      </c>
      <c r="Y171" t="s">
        <v>1077</v>
      </c>
      <c r="Z171">
        <v>1.8</v>
      </c>
      <c r="AC171" s="4" t="s">
        <v>195</v>
      </c>
      <c r="AD171" s="5">
        <v>25748178</v>
      </c>
      <c r="AE171" s="5">
        <v>11966179</v>
      </c>
      <c r="AF171" s="5">
        <v>2282245</v>
      </c>
      <c r="AI171" t="s">
        <v>1077</v>
      </c>
      <c r="AJ171">
        <v>11.25</v>
      </c>
      <c r="AL171" t="s">
        <v>171</v>
      </c>
      <c r="AM171">
        <v>4.09</v>
      </c>
      <c r="AO171" t="s">
        <v>171</v>
      </c>
      <c r="AP171">
        <v>72.39</v>
      </c>
      <c r="AQ171">
        <v>76.09</v>
      </c>
      <c r="AS171" t="s">
        <v>171</v>
      </c>
      <c r="AT171">
        <v>11.64</v>
      </c>
      <c r="AU171">
        <v>10.82</v>
      </c>
      <c r="AW171" t="s">
        <v>171</v>
      </c>
      <c r="AX171">
        <v>59.71</v>
      </c>
    </row>
    <row r="172" spans="1:50" x14ac:dyDescent="0.35">
      <c r="A172" t="s">
        <v>172</v>
      </c>
      <c r="B172">
        <v>94.03</v>
      </c>
      <c r="D172" t="s">
        <v>172</v>
      </c>
      <c r="E172">
        <v>75.33</v>
      </c>
      <c r="G172" t="s">
        <v>172</v>
      </c>
      <c r="H172">
        <v>0.315</v>
      </c>
      <c r="J172" t="s">
        <v>172</v>
      </c>
      <c r="K172">
        <v>22.64</v>
      </c>
      <c r="M172" t="s">
        <v>172</v>
      </c>
      <c r="N172">
        <v>43.6</v>
      </c>
      <c r="P172" t="s">
        <v>184</v>
      </c>
      <c r="Q172">
        <v>5.55</v>
      </c>
      <c r="S172" t="s">
        <v>172</v>
      </c>
      <c r="T172">
        <v>0.158</v>
      </c>
      <c r="V172" t="s">
        <v>172</v>
      </c>
      <c r="W172">
        <v>36.08</v>
      </c>
      <c r="Y172" t="s">
        <v>1078</v>
      </c>
      <c r="Z172">
        <v>1.87</v>
      </c>
      <c r="AC172" s="4" t="s">
        <v>197</v>
      </c>
      <c r="AD172" s="5">
        <v>41041009</v>
      </c>
      <c r="AE172" s="5">
        <v>22940254</v>
      </c>
      <c r="AF172" s="6" t="s">
        <v>548</v>
      </c>
      <c r="AI172" t="s">
        <v>1078</v>
      </c>
      <c r="AJ172">
        <v>13.06</v>
      </c>
      <c r="AL172" t="s">
        <v>172</v>
      </c>
      <c r="AM172">
        <v>6.78</v>
      </c>
      <c r="AO172" t="s">
        <v>172</v>
      </c>
      <c r="AP172">
        <v>71.8</v>
      </c>
      <c r="AQ172">
        <v>75.55</v>
      </c>
      <c r="AS172" t="s">
        <v>172</v>
      </c>
      <c r="AT172">
        <v>11.32</v>
      </c>
      <c r="AU172">
        <v>10.42</v>
      </c>
      <c r="AW172" t="s">
        <v>172</v>
      </c>
      <c r="AX172">
        <v>55.67</v>
      </c>
    </row>
    <row r="173" spans="1:50" x14ac:dyDescent="0.35">
      <c r="A173" t="s">
        <v>173</v>
      </c>
      <c r="B173">
        <v>90.23</v>
      </c>
      <c r="D173" t="s">
        <v>173</v>
      </c>
      <c r="E173">
        <v>71.739999999999995</v>
      </c>
      <c r="G173" t="s">
        <v>173</v>
      </c>
      <c r="H173">
        <v>0.48199999999999998</v>
      </c>
      <c r="J173" t="s">
        <v>173</v>
      </c>
      <c r="K173">
        <v>22.69</v>
      </c>
      <c r="M173" t="s">
        <v>173</v>
      </c>
      <c r="N173">
        <v>43.4</v>
      </c>
      <c r="P173" t="s">
        <v>185</v>
      </c>
      <c r="Q173">
        <v>5.4</v>
      </c>
      <c r="S173" t="s">
        <v>173</v>
      </c>
      <c r="T173">
        <v>0.29499999999999998</v>
      </c>
      <c r="V173" t="s">
        <v>173</v>
      </c>
      <c r="W173">
        <v>29.62</v>
      </c>
      <c r="Y173" t="s">
        <v>173</v>
      </c>
      <c r="Z173">
        <v>2.11</v>
      </c>
      <c r="AC173" s="4" t="s">
        <v>193</v>
      </c>
      <c r="AD173" s="5">
        <v>43127036</v>
      </c>
      <c r="AE173" s="5">
        <v>11105413</v>
      </c>
      <c r="AF173" s="5">
        <v>6165895</v>
      </c>
      <c r="AI173" t="s">
        <v>173</v>
      </c>
      <c r="AJ173">
        <v>15.91</v>
      </c>
      <c r="AL173" t="s">
        <v>173</v>
      </c>
      <c r="AM173">
        <v>7.62</v>
      </c>
      <c r="AO173" t="s">
        <v>173</v>
      </c>
      <c r="AP173">
        <v>72.010000000000005</v>
      </c>
      <c r="AQ173">
        <v>76.19</v>
      </c>
      <c r="AS173" t="s">
        <v>173</v>
      </c>
      <c r="AT173">
        <v>9.1199999999999992</v>
      </c>
      <c r="AU173">
        <v>8.5399999999999991</v>
      </c>
      <c r="AW173" t="s">
        <v>173</v>
      </c>
      <c r="AX173">
        <v>35.26</v>
      </c>
    </row>
    <row r="174" spans="1:50" x14ac:dyDescent="0.35">
      <c r="A174" t="s">
        <v>174</v>
      </c>
      <c r="B174">
        <v>90.2</v>
      </c>
      <c r="D174" t="s">
        <v>706</v>
      </c>
      <c r="E174">
        <v>55.76</v>
      </c>
      <c r="G174" t="s">
        <v>174</v>
      </c>
      <c r="H174">
        <v>0.58199999999999996</v>
      </c>
      <c r="J174" t="s">
        <v>706</v>
      </c>
      <c r="K174">
        <v>9.09</v>
      </c>
      <c r="M174" t="s">
        <v>706</v>
      </c>
      <c r="N174">
        <v>42.29</v>
      </c>
      <c r="P174" t="s">
        <v>186</v>
      </c>
      <c r="Q174">
        <v>6.23</v>
      </c>
      <c r="S174" t="s">
        <v>174</v>
      </c>
      <c r="T174">
        <v>0.32</v>
      </c>
      <c r="V174" t="s">
        <v>706</v>
      </c>
      <c r="W174">
        <v>25.65</v>
      </c>
      <c r="Y174" t="s">
        <v>706</v>
      </c>
      <c r="Z174">
        <v>2.02</v>
      </c>
      <c r="AC174" s="4" t="s">
        <v>199</v>
      </c>
      <c r="AD174" s="5">
        <v>30940838</v>
      </c>
      <c r="AE174" s="5">
        <v>17195518</v>
      </c>
      <c r="AF174" s="5">
        <v>11909335</v>
      </c>
      <c r="AI174" t="s">
        <v>706</v>
      </c>
      <c r="AJ174">
        <v>17.059999999999999</v>
      </c>
      <c r="AL174" t="s">
        <v>174</v>
      </c>
      <c r="AM174">
        <v>7.27</v>
      </c>
      <c r="AO174" t="s">
        <v>174</v>
      </c>
      <c r="AP174">
        <v>69.97</v>
      </c>
      <c r="AQ174">
        <v>73.959999999999994</v>
      </c>
      <c r="AS174" t="s">
        <v>174</v>
      </c>
      <c r="AT174">
        <v>8.9700000000000006</v>
      </c>
      <c r="AU174">
        <v>8.0299999999999994</v>
      </c>
      <c r="AW174" t="s">
        <v>174</v>
      </c>
      <c r="AX174">
        <v>30.53</v>
      </c>
    </row>
    <row r="175" spans="1:50" x14ac:dyDescent="0.35">
      <c r="A175" t="s">
        <v>175</v>
      </c>
      <c r="B175">
        <v>88.3</v>
      </c>
      <c r="D175" t="s">
        <v>707</v>
      </c>
      <c r="E175">
        <v>62.28</v>
      </c>
      <c r="G175" t="s">
        <v>175</v>
      </c>
      <c r="H175">
        <v>0.55900000000000005</v>
      </c>
      <c r="J175" t="s">
        <v>707</v>
      </c>
      <c r="K175">
        <v>16</v>
      </c>
      <c r="M175" t="s">
        <v>707</v>
      </c>
      <c r="N175">
        <v>36.86</v>
      </c>
      <c r="P175" t="s">
        <v>187</v>
      </c>
      <c r="Q175">
        <v>5.07</v>
      </c>
      <c r="S175" t="s">
        <v>175</v>
      </c>
      <c r="T175">
        <v>0.40600000000000003</v>
      </c>
      <c r="V175" t="s">
        <v>707</v>
      </c>
      <c r="W175">
        <v>27.61</v>
      </c>
      <c r="Y175" t="s">
        <v>707</v>
      </c>
      <c r="Z175">
        <v>2.12</v>
      </c>
      <c r="AC175" s="4" t="s">
        <v>198</v>
      </c>
      <c r="AD175" s="5">
        <v>22673706</v>
      </c>
      <c r="AE175" s="5">
        <v>12884035</v>
      </c>
      <c r="AF175" s="5">
        <v>1372714</v>
      </c>
      <c r="AI175" t="s">
        <v>707</v>
      </c>
      <c r="AJ175">
        <v>17.11</v>
      </c>
      <c r="AL175" t="s">
        <v>175</v>
      </c>
      <c r="AM175">
        <v>7.01</v>
      </c>
      <c r="AO175" t="s">
        <v>175</v>
      </c>
      <c r="AP175">
        <v>69.89</v>
      </c>
      <c r="AQ175">
        <v>73.88</v>
      </c>
      <c r="AS175" t="s">
        <v>175</v>
      </c>
      <c r="AT175">
        <v>7.82</v>
      </c>
      <c r="AU175">
        <v>7.08</v>
      </c>
      <c r="AW175" t="s">
        <v>175</v>
      </c>
      <c r="AX175">
        <v>16.649999999999999</v>
      </c>
    </row>
    <row r="176" spans="1:50" x14ac:dyDescent="0.35">
      <c r="A176" t="s">
        <v>176</v>
      </c>
      <c r="B176">
        <v>85.17</v>
      </c>
      <c r="D176" t="s">
        <v>708</v>
      </c>
      <c r="E176">
        <v>60.3</v>
      </c>
      <c r="G176" t="s">
        <v>176</v>
      </c>
      <c r="H176">
        <v>0.56699999999999995</v>
      </c>
      <c r="J176" t="s">
        <v>708</v>
      </c>
      <c r="K176">
        <v>18</v>
      </c>
      <c r="M176" t="s">
        <v>708</v>
      </c>
      <c r="N176">
        <v>45.04</v>
      </c>
      <c r="P176" t="s">
        <v>188</v>
      </c>
      <c r="Q176">
        <v>5.93</v>
      </c>
      <c r="S176" t="s">
        <v>176</v>
      </c>
      <c r="T176">
        <v>0.438</v>
      </c>
      <c r="V176" t="s">
        <v>708</v>
      </c>
      <c r="W176">
        <v>21.65</v>
      </c>
      <c r="Y176" t="s">
        <v>708</v>
      </c>
      <c r="Z176">
        <v>2.31</v>
      </c>
      <c r="AC176" s="4" t="s">
        <v>200</v>
      </c>
      <c r="AD176" s="5">
        <v>14227983</v>
      </c>
      <c r="AE176" s="5">
        <v>15349248</v>
      </c>
      <c r="AF176" s="5">
        <v>5038018</v>
      </c>
      <c r="AI176" t="s">
        <v>708</v>
      </c>
      <c r="AJ176">
        <v>17.18</v>
      </c>
      <c r="AL176" t="s">
        <v>176</v>
      </c>
      <c r="AM176">
        <v>10.220000000000001</v>
      </c>
      <c r="AO176" t="s">
        <v>176</v>
      </c>
      <c r="AP176">
        <v>68.87</v>
      </c>
      <c r="AQ176">
        <v>72.81</v>
      </c>
      <c r="AS176" t="s">
        <v>176</v>
      </c>
      <c r="AT176">
        <v>7.53</v>
      </c>
      <c r="AU176">
        <v>6.75</v>
      </c>
      <c r="AW176" t="s">
        <v>176</v>
      </c>
      <c r="AX176">
        <v>14.52</v>
      </c>
    </row>
    <row r="177" spans="1:50" x14ac:dyDescent="0.35">
      <c r="A177" t="s">
        <v>177</v>
      </c>
      <c r="B177">
        <v>94.03</v>
      </c>
      <c r="D177" t="s">
        <v>709</v>
      </c>
      <c r="E177">
        <v>70.19</v>
      </c>
      <c r="G177" t="s">
        <v>177</v>
      </c>
      <c r="H177">
        <v>0.47199999999999998</v>
      </c>
      <c r="J177" t="s">
        <v>709</v>
      </c>
      <c r="K177">
        <v>16.36</v>
      </c>
      <c r="M177" t="s">
        <v>709</v>
      </c>
      <c r="N177">
        <v>45.35</v>
      </c>
      <c r="P177" t="s">
        <v>189</v>
      </c>
      <c r="Q177">
        <v>4.3600000000000003</v>
      </c>
      <c r="S177" t="s">
        <v>177</v>
      </c>
      <c r="T177">
        <v>0.32800000000000001</v>
      </c>
      <c r="V177" t="s">
        <v>709</v>
      </c>
      <c r="W177">
        <v>32.99</v>
      </c>
      <c r="Y177" t="s">
        <v>709</v>
      </c>
      <c r="Z177">
        <v>2.09</v>
      </c>
      <c r="AC177" s="4" t="s">
        <v>190</v>
      </c>
      <c r="AD177" s="5">
        <v>145359276</v>
      </c>
      <c r="AE177" s="5">
        <v>27174387</v>
      </c>
      <c r="AF177" s="5">
        <v>9003422</v>
      </c>
      <c r="AI177" t="s">
        <v>709</v>
      </c>
      <c r="AJ177">
        <v>15.77</v>
      </c>
      <c r="AL177" t="s">
        <v>177</v>
      </c>
      <c r="AM177">
        <v>6.4</v>
      </c>
      <c r="AO177" t="s">
        <v>177</v>
      </c>
      <c r="AP177">
        <v>72.5</v>
      </c>
      <c r="AQ177">
        <v>76.2</v>
      </c>
      <c r="AS177" t="s">
        <v>177</v>
      </c>
      <c r="AT177">
        <v>9.32</v>
      </c>
      <c r="AU177">
        <v>8.93</v>
      </c>
      <c r="AW177" t="s">
        <v>177</v>
      </c>
      <c r="AX177">
        <v>36.54</v>
      </c>
    </row>
    <row r="178" spans="1:50" x14ac:dyDescent="0.35">
      <c r="A178" t="s">
        <v>178</v>
      </c>
      <c r="B178">
        <v>83.37</v>
      </c>
      <c r="D178" t="s">
        <v>710</v>
      </c>
      <c r="E178">
        <v>72.08</v>
      </c>
      <c r="G178" t="s">
        <v>178</v>
      </c>
      <c r="H178">
        <v>0.55500000000000005</v>
      </c>
      <c r="J178" t="s">
        <v>710</v>
      </c>
      <c r="K178">
        <v>20</v>
      </c>
      <c r="M178" t="s">
        <v>710</v>
      </c>
      <c r="N178">
        <v>45.83</v>
      </c>
      <c r="P178" t="s">
        <v>190</v>
      </c>
      <c r="Q178">
        <v>7.48</v>
      </c>
      <c r="S178" t="s">
        <v>178</v>
      </c>
      <c r="T178">
        <v>0.41</v>
      </c>
      <c r="V178" t="s">
        <v>710</v>
      </c>
      <c r="W178">
        <v>31.36</v>
      </c>
      <c r="Y178" t="s">
        <v>710</v>
      </c>
      <c r="Z178">
        <v>2.4500000000000002</v>
      </c>
      <c r="AC178" s="4" t="s">
        <v>191</v>
      </c>
      <c r="AD178" s="5">
        <v>35624889</v>
      </c>
      <c r="AE178" s="5">
        <v>23127744</v>
      </c>
      <c r="AF178" s="5">
        <v>15319718</v>
      </c>
      <c r="AI178" t="s">
        <v>710</v>
      </c>
      <c r="AJ178">
        <v>16.79</v>
      </c>
      <c r="AL178" t="s">
        <v>178</v>
      </c>
      <c r="AM178">
        <v>9.77</v>
      </c>
      <c r="AO178" t="s">
        <v>178</v>
      </c>
      <c r="AP178">
        <v>70.12</v>
      </c>
      <c r="AQ178">
        <v>74.12</v>
      </c>
      <c r="AS178" t="s">
        <v>178</v>
      </c>
      <c r="AT178">
        <v>8.14</v>
      </c>
      <c r="AU178">
        <v>7.49</v>
      </c>
      <c r="AW178" t="s">
        <v>178</v>
      </c>
      <c r="AX178">
        <v>21.54</v>
      </c>
    </row>
    <row r="179" spans="1:50" x14ac:dyDescent="0.35">
      <c r="A179" t="s">
        <v>179</v>
      </c>
      <c r="B179">
        <v>87.01</v>
      </c>
      <c r="D179" t="s">
        <v>711</v>
      </c>
      <c r="E179">
        <v>61.52</v>
      </c>
      <c r="G179" t="s">
        <v>179</v>
      </c>
      <c r="H179">
        <v>0.56499999999999995</v>
      </c>
      <c r="J179" t="s">
        <v>711</v>
      </c>
      <c r="K179">
        <v>14</v>
      </c>
      <c r="M179" t="s">
        <v>711</v>
      </c>
      <c r="N179">
        <v>40.380000000000003</v>
      </c>
      <c r="P179" t="s">
        <v>191</v>
      </c>
      <c r="Q179">
        <v>6.04</v>
      </c>
      <c r="S179" t="s">
        <v>179</v>
      </c>
      <c r="T179">
        <v>0.36899999999999999</v>
      </c>
      <c r="V179" t="s">
        <v>711</v>
      </c>
      <c r="W179">
        <v>28.14</v>
      </c>
      <c r="Y179" t="s">
        <v>711</v>
      </c>
      <c r="Z179">
        <v>2.25</v>
      </c>
      <c r="AC179" s="4" t="s">
        <v>1119</v>
      </c>
      <c r="AD179" s="5">
        <v>187324934</v>
      </c>
      <c r="AE179" s="6" t="s">
        <v>548</v>
      </c>
      <c r="AF179" s="5">
        <v>19078454</v>
      </c>
      <c r="AI179" t="s">
        <v>711</v>
      </c>
      <c r="AJ179">
        <v>17.22</v>
      </c>
      <c r="AL179" t="s">
        <v>179</v>
      </c>
      <c r="AM179">
        <v>10.28</v>
      </c>
      <c r="AO179" t="s">
        <v>179</v>
      </c>
      <c r="AP179">
        <v>68.27</v>
      </c>
      <c r="AQ179">
        <v>72.209999999999994</v>
      </c>
      <c r="AS179" t="s">
        <v>179</v>
      </c>
      <c r="AT179">
        <v>8.1</v>
      </c>
      <c r="AU179">
        <v>7.83</v>
      </c>
      <c r="AW179" t="s">
        <v>179</v>
      </c>
      <c r="AX179">
        <v>21.9</v>
      </c>
    </row>
    <row r="180" spans="1:50" x14ac:dyDescent="0.35">
      <c r="A180" t="s">
        <v>180</v>
      </c>
      <c r="B180">
        <v>87.25</v>
      </c>
      <c r="D180" t="s">
        <v>712</v>
      </c>
      <c r="E180">
        <v>65.41</v>
      </c>
      <c r="G180" t="s">
        <v>180</v>
      </c>
      <c r="H180">
        <v>0.44500000000000001</v>
      </c>
      <c r="J180" t="s">
        <v>712</v>
      </c>
      <c r="K180">
        <v>10</v>
      </c>
      <c r="M180" t="s">
        <v>712</v>
      </c>
      <c r="N180">
        <v>49.62</v>
      </c>
      <c r="P180" t="s">
        <v>192</v>
      </c>
      <c r="Q180">
        <v>4.8600000000000003</v>
      </c>
      <c r="S180" t="s">
        <v>180</v>
      </c>
      <c r="T180">
        <v>0.23100000000000001</v>
      </c>
      <c r="V180" t="s">
        <v>712</v>
      </c>
      <c r="W180">
        <v>38.369999999999997</v>
      </c>
      <c r="Y180" t="s">
        <v>712</v>
      </c>
      <c r="Z180">
        <v>2.23</v>
      </c>
      <c r="AC180" s="4" t="s">
        <v>205</v>
      </c>
      <c r="AD180" s="5">
        <v>32081899</v>
      </c>
      <c r="AE180" s="5">
        <v>20885945</v>
      </c>
      <c r="AF180" s="5">
        <v>32238472</v>
      </c>
      <c r="AI180" t="s">
        <v>712</v>
      </c>
      <c r="AJ180">
        <v>15.62</v>
      </c>
      <c r="AL180" t="s">
        <v>180</v>
      </c>
      <c r="AM180">
        <v>7.42</v>
      </c>
      <c r="AO180" t="s">
        <v>180</v>
      </c>
      <c r="AP180">
        <v>70.61</v>
      </c>
      <c r="AQ180">
        <v>74.63</v>
      </c>
      <c r="AS180" t="s">
        <v>180</v>
      </c>
      <c r="AT180">
        <v>8.31</v>
      </c>
      <c r="AU180">
        <v>7.89</v>
      </c>
      <c r="AW180" t="s">
        <v>180</v>
      </c>
      <c r="AX180">
        <v>22.89</v>
      </c>
    </row>
    <row r="181" spans="1:50" x14ac:dyDescent="0.35">
      <c r="A181" t="s">
        <v>181</v>
      </c>
      <c r="B181">
        <v>87.31</v>
      </c>
      <c r="D181" t="s">
        <v>713</v>
      </c>
      <c r="E181">
        <v>73.47</v>
      </c>
      <c r="G181" t="s">
        <v>181</v>
      </c>
      <c r="H181">
        <v>0.36799999999999999</v>
      </c>
      <c r="J181" t="s">
        <v>713</v>
      </c>
      <c r="K181">
        <v>24</v>
      </c>
      <c r="M181" t="s">
        <v>713</v>
      </c>
      <c r="N181">
        <v>48.28</v>
      </c>
      <c r="P181" t="s">
        <v>193</v>
      </c>
      <c r="Q181">
        <v>5.23</v>
      </c>
      <c r="S181" t="s">
        <v>181</v>
      </c>
      <c r="T181">
        <v>0.21</v>
      </c>
      <c r="V181" t="s">
        <v>713</v>
      </c>
      <c r="W181">
        <v>31.04</v>
      </c>
      <c r="Y181" t="s">
        <v>713</v>
      </c>
      <c r="Z181">
        <v>2.2599999999999998</v>
      </c>
      <c r="AC181" s="4" t="s">
        <v>203</v>
      </c>
      <c r="AD181" s="5">
        <v>48635569</v>
      </c>
      <c r="AE181" s="5">
        <v>30291257</v>
      </c>
      <c r="AF181" s="5">
        <v>28551866</v>
      </c>
      <c r="AI181" t="s">
        <v>713</v>
      </c>
      <c r="AJ181">
        <v>15.51</v>
      </c>
      <c r="AL181" t="s">
        <v>181</v>
      </c>
      <c r="AM181">
        <v>12.12</v>
      </c>
      <c r="AO181" t="s">
        <v>181</v>
      </c>
      <c r="AP181">
        <v>72.52</v>
      </c>
      <c r="AQ181">
        <v>76.22</v>
      </c>
      <c r="AS181" t="s">
        <v>181</v>
      </c>
      <c r="AT181">
        <v>8.16</v>
      </c>
      <c r="AU181">
        <v>7.63</v>
      </c>
      <c r="AW181" t="s">
        <v>181</v>
      </c>
      <c r="AX181">
        <v>22.59</v>
      </c>
    </row>
    <row r="182" spans="1:50" x14ac:dyDescent="0.35">
      <c r="A182" t="s">
        <v>182</v>
      </c>
      <c r="B182">
        <v>84.28</v>
      </c>
      <c r="D182" t="s">
        <v>714</v>
      </c>
      <c r="E182">
        <v>74.33</v>
      </c>
      <c r="G182" t="s">
        <v>182</v>
      </c>
      <c r="H182">
        <v>0.39300000000000002</v>
      </c>
      <c r="J182" t="s">
        <v>714</v>
      </c>
      <c r="K182">
        <v>28</v>
      </c>
      <c r="M182" t="s">
        <v>714</v>
      </c>
      <c r="N182">
        <v>46.57</v>
      </c>
      <c r="P182" t="s">
        <v>194</v>
      </c>
      <c r="Q182">
        <v>3.64</v>
      </c>
      <c r="S182" t="s">
        <v>182</v>
      </c>
      <c r="T182">
        <v>0.22900000000000001</v>
      </c>
      <c r="V182" t="s">
        <v>714</v>
      </c>
      <c r="W182">
        <v>27.33</v>
      </c>
      <c r="Y182" t="s">
        <v>714</v>
      </c>
      <c r="Z182">
        <v>2.19</v>
      </c>
      <c r="AC182" s="4" t="s">
        <v>226</v>
      </c>
      <c r="AD182" s="5">
        <v>28508291</v>
      </c>
      <c r="AE182" s="5">
        <v>17242126</v>
      </c>
      <c r="AF182" s="5">
        <v>13187558</v>
      </c>
      <c r="AI182" t="s">
        <v>714</v>
      </c>
      <c r="AJ182">
        <v>16.829999999999998</v>
      </c>
      <c r="AL182" t="s">
        <v>182</v>
      </c>
      <c r="AM182">
        <v>11.2</v>
      </c>
      <c r="AO182" t="s">
        <v>182</v>
      </c>
      <c r="AP182">
        <v>70.790000000000006</v>
      </c>
      <c r="AQ182">
        <v>74.83</v>
      </c>
      <c r="AS182" t="s">
        <v>182</v>
      </c>
      <c r="AT182">
        <v>8.06</v>
      </c>
      <c r="AU182">
        <v>7.21</v>
      </c>
      <c r="AW182" t="s">
        <v>182</v>
      </c>
      <c r="AX182">
        <v>26.33</v>
      </c>
    </row>
    <row r="183" spans="1:50" x14ac:dyDescent="0.35">
      <c r="A183" t="s">
        <v>183</v>
      </c>
      <c r="B183">
        <v>87.06</v>
      </c>
      <c r="D183" t="s">
        <v>715</v>
      </c>
      <c r="E183">
        <v>57.91</v>
      </c>
      <c r="G183" t="s">
        <v>183</v>
      </c>
      <c r="H183">
        <v>0.45900000000000002</v>
      </c>
      <c r="J183" t="s">
        <v>715</v>
      </c>
      <c r="K183">
        <v>12</v>
      </c>
      <c r="M183" t="s">
        <v>715</v>
      </c>
      <c r="N183">
        <v>35.07</v>
      </c>
      <c r="P183" t="s">
        <v>195</v>
      </c>
      <c r="Q183">
        <v>6.85</v>
      </c>
      <c r="S183" t="s">
        <v>183</v>
      </c>
      <c r="T183">
        <v>0.314</v>
      </c>
      <c r="V183" t="s">
        <v>715</v>
      </c>
      <c r="W183">
        <v>27.97</v>
      </c>
      <c r="Y183" t="s">
        <v>715</v>
      </c>
      <c r="Z183">
        <v>2.17</v>
      </c>
      <c r="AC183" s="4" t="s">
        <v>217</v>
      </c>
      <c r="AD183" s="5">
        <v>31178849</v>
      </c>
      <c r="AE183" s="5">
        <v>18891636</v>
      </c>
      <c r="AF183" s="5">
        <v>28881967</v>
      </c>
      <c r="AI183" t="s">
        <v>715</v>
      </c>
      <c r="AJ183">
        <v>16.87</v>
      </c>
      <c r="AL183" t="s">
        <v>183</v>
      </c>
      <c r="AM183">
        <v>11.21</v>
      </c>
      <c r="AO183" t="s">
        <v>183</v>
      </c>
      <c r="AP183">
        <v>69.12</v>
      </c>
      <c r="AQ183">
        <v>73.08</v>
      </c>
      <c r="AS183" t="s">
        <v>183</v>
      </c>
      <c r="AT183">
        <v>7.8</v>
      </c>
      <c r="AU183">
        <v>7.2</v>
      </c>
      <c r="AW183" t="s">
        <v>183</v>
      </c>
      <c r="AX183">
        <v>18.489999999999998</v>
      </c>
    </row>
    <row r="184" spans="1:50" x14ac:dyDescent="0.35">
      <c r="A184" t="s">
        <v>184</v>
      </c>
      <c r="B184">
        <v>95.41</v>
      </c>
      <c r="D184" t="s">
        <v>716</v>
      </c>
      <c r="E184">
        <v>72.599999999999994</v>
      </c>
      <c r="G184" t="s">
        <v>184</v>
      </c>
      <c r="H184">
        <v>0.438</v>
      </c>
      <c r="J184" t="s">
        <v>716</v>
      </c>
      <c r="K184">
        <v>18</v>
      </c>
      <c r="M184" t="s">
        <v>716</v>
      </c>
      <c r="N184">
        <v>49.16</v>
      </c>
      <c r="P184" t="s">
        <v>196</v>
      </c>
      <c r="Q184">
        <v>2.27</v>
      </c>
      <c r="S184" t="s">
        <v>184</v>
      </c>
      <c r="T184">
        <v>0.313</v>
      </c>
      <c r="V184" t="s">
        <v>716</v>
      </c>
      <c r="W184">
        <v>35.770000000000003</v>
      </c>
      <c r="Y184" t="s">
        <v>716</v>
      </c>
      <c r="Z184">
        <v>2.06</v>
      </c>
      <c r="AC184" s="4" t="s">
        <v>210</v>
      </c>
      <c r="AD184" s="5">
        <v>33348870</v>
      </c>
      <c r="AE184" s="5">
        <v>23171119</v>
      </c>
      <c r="AF184" s="5">
        <v>8259559</v>
      </c>
      <c r="AI184" t="s">
        <v>716</v>
      </c>
      <c r="AJ184">
        <v>15.21</v>
      </c>
      <c r="AL184" t="s">
        <v>184</v>
      </c>
      <c r="AM184">
        <v>9.36</v>
      </c>
      <c r="AO184" t="s">
        <v>184</v>
      </c>
      <c r="AP184">
        <v>71.13</v>
      </c>
      <c r="AQ184">
        <v>75.349999999999994</v>
      </c>
      <c r="AS184" t="s">
        <v>184</v>
      </c>
      <c r="AT184">
        <v>8.9499999999999993</v>
      </c>
      <c r="AU184">
        <v>8.48</v>
      </c>
      <c r="AW184" t="s">
        <v>184</v>
      </c>
      <c r="AX184">
        <v>29.09</v>
      </c>
    </row>
    <row r="185" spans="1:50" x14ac:dyDescent="0.35">
      <c r="A185" t="s">
        <v>185</v>
      </c>
      <c r="B185">
        <v>88.81</v>
      </c>
      <c r="D185" t="s">
        <v>717</v>
      </c>
      <c r="E185">
        <v>71.84</v>
      </c>
      <c r="G185" t="s">
        <v>185</v>
      </c>
      <c r="H185">
        <v>0.4</v>
      </c>
      <c r="J185" t="s">
        <v>717</v>
      </c>
      <c r="K185">
        <v>34</v>
      </c>
      <c r="M185" t="s">
        <v>717</v>
      </c>
      <c r="N185">
        <v>44.69</v>
      </c>
      <c r="P185" t="s">
        <v>197</v>
      </c>
      <c r="Q185">
        <v>1.99</v>
      </c>
      <c r="S185" t="s">
        <v>185</v>
      </c>
      <c r="T185">
        <v>0.30099999999999999</v>
      </c>
      <c r="V185" t="s">
        <v>717</v>
      </c>
      <c r="W185">
        <v>21.38</v>
      </c>
      <c r="Y185" t="s">
        <v>717</v>
      </c>
      <c r="Z185">
        <v>2.11</v>
      </c>
      <c r="AC185" s="4" t="s">
        <v>230</v>
      </c>
      <c r="AD185" s="5">
        <v>147873830</v>
      </c>
      <c r="AE185" s="5">
        <v>95908607</v>
      </c>
      <c r="AF185" s="5">
        <v>12808974</v>
      </c>
      <c r="AI185" t="s">
        <v>717</v>
      </c>
      <c r="AJ185">
        <v>17.22</v>
      </c>
      <c r="AL185" t="s">
        <v>185</v>
      </c>
      <c r="AM185">
        <v>12.13</v>
      </c>
      <c r="AO185" t="s">
        <v>185</v>
      </c>
      <c r="AP185">
        <v>70.5</v>
      </c>
      <c r="AQ185">
        <v>74.52</v>
      </c>
      <c r="AS185" t="s">
        <v>185</v>
      </c>
      <c r="AT185">
        <v>7.5</v>
      </c>
      <c r="AU185">
        <v>6.36</v>
      </c>
      <c r="AW185" t="s">
        <v>185</v>
      </c>
      <c r="AX185">
        <v>23.61</v>
      </c>
    </row>
    <row r="186" spans="1:50" x14ac:dyDescent="0.35">
      <c r="A186" t="s">
        <v>186</v>
      </c>
      <c r="B186">
        <v>91.29</v>
      </c>
      <c r="D186" t="s">
        <v>718</v>
      </c>
      <c r="E186">
        <v>71.61</v>
      </c>
      <c r="G186" t="s">
        <v>186</v>
      </c>
      <c r="H186">
        <v>0.51100000000000001</v>
      </c>
      <c r="J186" t="s">
        <v>718</v>
      </c>
      <c r="K186">
        <v>22</v>
      </c>
      <c r="M186" t="s">
        <v>718</v>
      </c>
      <c r="N186">
        <v>42.72</v>
      </c>
      <c r="P186" t="s">
        <v>198</v>
      </c>
      <c r="Q186">
        <v>2.98</v>
      </c>
      <c r="S186" t="s">
        <v>186</v>
      </c>
      <c r="T186">
        <v>0.309</v>
      </c>
      <c r="V186" t="s">
        <v>718</v>
      </c>
      <c r="W186">
        <v>31.35</v>
      </c>
      <c r="Y186" t="s">
        <v>718</v>
      </c>
      <c r="Z186">
        <v>2.15</v>
      </c>
      <c r="AC186" s="4" t="s">
        <v>202</v>
      </c>
      <c r="AD186" s="5">
        <v>48986268</v>
      </c>
      <c r="AE186" s="5">
        <v>31332154</v>
      </c>
      <c r="AF186" s="5">
        <v>22732322</v>
      </c>
      <c r="AI186" t="s">
        <v>718</v>
      </c>
      <c r="AJ186">
        <v>16.75</v>
      </c>
      <c r="AL186" t="s">
        <v>186</v>
      </c>
      <c r="AM186">
        <v>9.52</v>
      </c>
      <c r="AO186" t="s">
        <v>186</v>
      </c>
      <c r="AP186">
        <v>71.16</v>
      </c>
      <c r="AQ186">
        <v>75.430000000000007</v>
      </c>
      <c r="AS186" t="s">
        <v>186</v>
      </c>
      <c r="AT186">
        <v>7.9</v>
      </c>
      <c r="AU186">
        <v>7.12</v>
      </c>
      <c r="AW186" t="s">
        <v>186</v>
      </c>
      <c r="AX186">
        <v>25.29</v>
      </c>
    </row>
    <row r="187" spans="1:50" x14ac:dyDescent="0.35">
      <c r="A187" t="s">
        <v>187</v>
      </c>
      <c r="B187">
        <v>87.08</v>
      </c>
      <c r="D187" t="s">
        <v>719</v>
      </c>
      <c r="E187">
        <v>77.150000000000006</v>
      </c>
      <c r="G187" t="s">
        <v>187</v>
      </c>
      <c r="H187">
        <v>0.54900000000000004</v>
      </c>
      <c r="J187" t="s">
        <v>719</v>
      </c>
      <c r="K187">
        <v>31.11</v>
      </c>
      <c r="M187" t="s">
        <v>719</v>
      </c>
      <c r="N187">
        <v>48.62</v>
      </c>
      <c r="P187" t="s">
        <v>199</v>
      </c>
      <c r="Q187">
        <v>5.14</v>
      </c>
      <c r="S187" t="s">
        <v>187</v>
      </c>
      <c r="T187">
        <v>0.34799999999999998</v>
      </c>
      <c r="V187" t="s">
        <v>719</v>
      </c>
      <c r="W187">
        <v>28.75</v>
      </c>
      <c r="Y187" t="s">
        <v>719</v>
      </c>
      <c r="Z187">
        <v>2.35</v>
      </c>
      <c r="AC187" s="4" t="s">
        <v>222</v>
      </c>
      <c r="AD187" s="5">
        <v>34014890</v>
      </c>
      <c r="AE187" s="5">
        <v>21178783</v>
      </c>
      <c r="AF187" s="5">
        <v>4200235</v>
      </c>
      <c r="AI187" t="s">
        <v>719</v>
      </c>
      <c r="AJ187">
        <v>17.100000000000001</v>
      </c>
      <c r="AL187" t="s">
        <v>187</v>
      </c>
      <c r="AM187">
        <v>8.4600000000000009</v>
      </c>
      <c r="AO187" t="s">
        <v>187</v>
      </c>
      <c r="AP187">
        <v>69.790000000000006</v>
      </c>
      <c r="AQ187">
        <v>73.78</v>
      </c>
      <c r="AS187" t="s">
        <v>187</v>
      </c>
      <c r="AT187">
        <v>8.8000000000000007</v>
      </c>
      <c r="AU187">
        <v>7.69</v>
      </c>
      <c r="AW187" t="s">
        <v>187</v>
      </c>
      <c r="AX187">
        <v>25.22</v>
      </c>
    </row>
    <row r="188" spans="1:50" x14ac:dyDescent="0.35">
      <c r="A188" t="s">
        <v>188</v>
      </c>
      <c r="B188">
        <v>91.07</v>
      </c>
      <c r="D188" t="s">
        <v>720</v>
      </c>
      <c r="E188">
        <v>70.650000000000006</v>
      </c>
      <c r="G188" t="s">
        <v>188</v>
      </c>
      <c r="H188">
        <v>0.498</v>
      </c>
      <c r="J188" t="s">
        <v>720</v>
      </c>
      <c r="K188">
        <v>24</v>
      </c>
      <c r="M188" t="s">
        <v>720</v>
      </c>
      <c r="N188">
        <v>37.119999999999997</v>
      </c>
      <c r="P188" t="s">
        <v>200</v>
      </c>
      <c r="Q188">
        <v>5.55</v>
      </c>
      <c r="S188" t="s">
        <v>188</v>
      </c>
      <c r="T188">
        <v>0.31900000000000001</v>
      </c>
      <c r="V188" t="s">
        <v>720</v>
      </c>
      <c r="W188">
        <v>28.3</v>
      </c>
      <c r="Y188" t="s">
        <v>720</v>
      </c>
      <c r="Z188">
        <v>2.0499999999999998</v>
      </c>
      <c r="AC188" s="4" t="s">
        <v>216</v>
      </c>
      <c r="AD188" s="5">
        <v>159757243</v>
      </c>
      <c r="AE188" s="5">
        <v>24905221</v>
      </c>
      <c r="AF188" s="5">
        <v>17536515</v>
      </c>
      <c r="AI188" t="s">
        <v>720</v>
      </c>
      <c r="AJ188">
        <v>15.78</v>
      </c>
      <c r="AL188" t="s">
        <v>188</v>
      </c>
      <c r="AM188">
        <v>7.87</v>
      </c>
      <c r="AO188" t="s">
        <v>188</v>
      </c>
      <c r="AP188">
        <v>70.930000000000007</v>
      </c>
      <c r="AQ188">
        <v>74.97</v>
      </c>
      <c r="AS188" t="s">
        <v>188</v>
      </c>
      <c r="AT188">
        <v>8.48</v>
      </c>
      <c r="AU188">
        <v>7.48</v>
      </c>
      <c r="AW188" t="s">
        <v>188</v>
      </c>
      <c r="AX188">
        <v>30.18</v>
      </c>
    </row>
    <row r="189" spans="1:50" x14ac:dyDescent="0.35">
      <c r="A189" t="s">
        <v>189</v>
      </c>
      <c r="B189">
        <v>89.53</v>
      </c>
      <c r="D189" t="s">
        <v>721</v>
      </c>
      <c r="E189">
        <v>65.16</v>
      </c>
      <c r="G189" t="s">
        <v>189</v>
      </c>
      <c r="H189">
        <v>0.443</v>
      </c>
      <c r="J189" t="s">
        <v>721</v>
      </c>
      <c r="K189">
        <v>22</v>
      </c>
      <c r="M189" t="s">
        <v>721</v>
      </c>
      <c r="N189">
        <v>39.46</v>
      </c>
      <c r="P189" t="s">
        <v>202</v>
      </c>
      <c r="Q189">
        <v>12.29</v>
      </c>
      <c r="S189" t="s">
        <v>189</v>
      </c>
      <c r="T189">
        <v>0.27900000000000003</v>
      </c>
      <c r="V189" t="s">
        <v>721</v>
      </c>
      <c r="W189">
        <v>23.88</v>
      </c>
      <c r="Y189" t="s">
        <v>721</v>
      </c>
      <c r="Z189">
        <v>1.97</v>
      </c>
      <c r="AC189" s="4" t="s">
        <v>221</v>
      </c>
      <c r="AD189" s="5">
        <v>34759789</v>
      </c>
      <c r="AE189" s="5">
        <v>22204249</v>
      </c>
      <c r="AF189" s="5">
        <v>17805941</v>
      </c>
      <c r="AI189" t="s">
        <v>721</v>
      </c>
      <c r="AJ189">
        <v>14.12</v>
      </c>
      <c r="AL189" t="s">
        <v>189</v>
      </c>
      <c r="AM189">
        <v>4.93</v>
      </c>
      <c r="AO189" t="s">
        <v>189</v>
      </c>
      <c r="AP189">
        <v>72.53</v>
      </c>
      <c r="AQ189">
        <v>76.23</v>
      </c>
      <c r="AS189" t="s">
        <v>189</v>
      </c>
      <c r="AT189">
        <v>9.8000000000000007</v>
      </c>
      <c r="AU189">
        <v>9.17</v>
      </c>
      <c r="AW189" t="s">
        <v>189</v>
      </c>
      <c r="AX189">
        <v>47.03</v>
      </c>
    </row>
    <row r="190" spans="1:50" x14ac:dyDescent="0.35">
      <c r="A190" t="s">
        <v>190</v>
      </c>
      <c r="B190">
        <v>80.37</v>
      </c>
      <c r="D190" t="s">
        <v>722</v>
      </c>
      <c r="E190">
        <v>66.97</v>
      </c>
      <c r="G190" t="s">
        <v>190</v>
      </c>
      <c r="H190">
        <v>0.56399999999999995</v>
      </c>
      <c r="J190" t="s">
        <v>722</v>
      </c>
      <c r="K190">
        <v>12</v>
      </c>
      <c r="M190" t="s">
        <v>722</v>
      </c>
      <c r="N190">
        <v>46.28</v>
      </c>
      <c r="P190" t="s">
        <v>203</v>
      </c>
      <c r="Q190">
        <v>10.84</v>
      </c>
      <c r="S190" t="s">
        <v>190</v>
      </c>
      <c r="T190">
        <v>0.40300000000000002</v>
      </c>
      <c r="V190" t="s">
        <v>722</v>
      </c>
      <c r="W190">
        <v>34.17</v>
      </c>
      <c r="Y190" t="s">
        <v>722</v>
      </c>
      <c r="Z190">
        <v>2.2400000000000002</v>
      </c>
      <c r="AC190" s="4" t="s">
        <v>214</v>
      </c>
      <c r="AD190" s="5">
        <v>33249163</v>
      </c>
      <c r="AE190" s="6" t="s">
        <v>548</v>
      </c>
      <c r="AF190" s="5">
        <v>12914174</v>
      </c>
      <c r="AI190" t="s">
        <v>722</v>
      </c>
      <c r="AJ190">
        <v>16.47</v>
      </c>
      <c r="AL190" t="s">
        <v>190</v>
      </c>
      <c r="AM190">
        <v>10.52</v>
      </c>
      <c r="AO190" t="s">
        <v>190</v>
      </c>
      <c r="AP190">
        <v>71.069999999999993</v>
      </c>
      <c r="AQ190">
        <v>75.23</v>
      </c>
      <c r="AS190" t="s">
        <v>190</v>
      </c>
      <c r="AT190">
        <v>8.75</v>
      </c>
      <c r="AU190">
        <v>7.86</v>
      </c>
      <c r="AW190" t="s">
        <v>190</v>
      </c>
      <c r="AX190">
        <v>20.59</v>
      </c>
    </row>
    <row r="191" spans="1:50" x14ac:dyDescent="0.35">
      <c r="A191" t="s">
        <v>191</v>
      </c>
      <c r="B191">
        <v>90.04</v>
      </c>
      <c r="D191" t="s">
        <v>723</v>
      </c>
      <c r="E191">
        <v>76.53</v>
      </c>
      <c r="G191" t="s">
        <v>191</v>
      </c>
      <c r="H191">
        <v>0.41599999999999998</v>
      </c>
      <c r="J191" t="s">
        <v>723</v>
      </c>
      <c r="K191">
        <v>25</v>
      </c>
      <c r="M191" t="s">
        <v>723</v>
      </c>
      <c r="N191">
        <v>46.04</v>
      </c>
      <c r="P191" t="s">
        <v>204</v>
      </c>
      <c r="Q191">
        <v>10.08</v>
      </c>
      <c r="S191" t="s">
        <v>191</v>
      </c>
      <c r="T191">
        <v>0.33</v>
      </c>
      <c r="V191" t="s">
        <v>723</v>
      </c>
      <c r="W191">
        <v>36.15</v>
      </c>
      <c r="Y191" t="s">
        <v>723</v>
      </c>
      <c r="Z191">
        <v>2.2200000000000002</v>
      </c>
      <c r="AC191" s="4" t="s">
        <v>206</v>
      </c>
      <c r="AD191" s="5">
        <v>44654483</v>
      </c>
      <c r="AE191" s="5">
        <v>27752760</v>
      </c>
      <c r="AF191" s="5">
        <v>21599503</v>
      </c>
      <c r="AI191" t="s">
        <v>723</v>
      </c>
      <c r="AJ191">
        <v>16.489999999999998</v>
      </c>
      <c r="AL191" t="s">
        <v>191</v>
      </c>
      <c r="AM191">
        <v>8.98</v>
      </c>
      <c r="AO191" t="s">
        <v>191</v>
      </c>
      <c r="AP191">
        <v>70.22</v>
      </c>
      <c r="AQ191">
        <v>74.22</v>
      </c>
      <c r="AS191" t="s">
        <v>191</v>
      </c>
      <c r="AT191">
        <v>8.4</v>
      </c>
      <c r="AU191">
        <v>7.77</v>
      </c>
      <c r="AW191" t="s">
        <v>191</v>
      </c>
      <c r="AX191">
        <v>20.83</v>
      </c>
    </row>
    <row r="192" spans="1:50" x14ac:dyDescent="0.35">
      <c r="A192" t="s">
        <v>192</v>
      </c>
      <c r="B192">
        <v>91.11</v>
      </c>
      <c r="D192" t="s">
        <v>724</v>
      </c>
      <c r="E192">
        <v>71.13</v>
      </c>
      <c r="G192" t="s">
        <v>192</v>
      </c>
      <c r="H192">
        <v>0.34300000000000003</v>
      </c>
      <c r="J192" t="s">
        <v>724</v>
      </c>
      <c r="K192">
        <v>20</v>
      </c>
      <c r="M192" t="s">
        <v>724</v>
      </c>
      <c r="N192">
        <v>41.95</v>
      </c>
      <c r="P192" t="s">
        <v>205</v>
      </c>
      <c r="Q192">
        <v>12.14</v>
      </c>
      <c r="S192" t="s">
        <v>192</v>
      </c>
      <c r="T192">
        <v>0.21</v>
      </c>
      <c r="V192" t="s">
        <v>724</v>
      </c>
      <c r="W192">
        <v>30.19</v>
      </c>
      <c r="Y192" t="s">
        <v>724</v>
      </c>
      <c r="Z192">
        <v>1.87</v>
      </c>
      <c r="AC192" s="4" t="s">
        <v>225</v>
      </c>
      <c r="AD192" s="5">
        <v>72871357</v>
      </c>
      <c r="AE192" s="5">
        <v>20507039</v>
      </c>
      <c r="AF192" s="5">
        <v>8475061</v>
      </c>
      <c r="AI192" t="s">
        <v>724</v>
      </c>
      <c r="AJ192">
        <v>13.3</v>
      </c>
      <c r="AL192" t="s">
        <v>192</v>
      </c>
      <c r="AM192">
        <v>6.67</v>
      </c>
      <c r="AO192" t="s">
        <v>192</v>
      </c>
      <c r="AP192">
        <v>72.69</v>
      </c>
      <c r="AQ192">
        <v>76.37</v>
      </c>
      <c r="AS192" t="s">
        <v>192</v>
      </c>
      <c r="AT192">
        <v>11.04</v>
      </c>
      <c r="AU192">
        <v>10.24</v>
      </c>
      <c r="AW192" t="s">
        <v>192</v>
      </c>
      <c r="AX192">
        <v>48.51</v>
      </c>
    </row>
    <row r="193" spans="1:50" x14ac:dyDescent="0.35">
      <c r="A193" t="s">
        <v>193</v>
      </c>
      <c r="B193">
        <v>92.35</v>
      </c>
      <c r="D193" t="s">
        <v>725</v>
      </c>
      <c r="E193">
        <v>69.12</v>
      </c>
      <c r="G193" t="s">
        <v>193</v>
      </c>
      <c r="H193">
        <v>0.221</v>
      </c>
      <c r="J193" t="s">
        <v>725</v>
      </c>
      <c r="K193">
        <v>20</v>
      </c>
      <c r="M193" t="s">
        <v>725</v>
      </c>
      <c r="N193">
        <v>41.98</v>
      </c>
      <c r="P193" t="s">
        <v>206</v>
      </c>
      <c r="Q193">
        <v>12</v>
      </c>
      <c r="S193" t="s">
        <v>193</v>
      </c>
      <c r="T193">
        <v>0.23400000000000001</v>
      </c>
      <c r="V193" t="s">
        <v>725</v>
      </c>
      <c r="W193">
        <v>28.7</v>
      </c>
      <c r="Y193" t="s">
        <v>725</v>
      </c>
      <c r="Z193">
        <v>2.16</v>
      </c>
      <c r="AC193" s="4" t="s">
        <v>211</v>
      </c>
      <c r="AD193" s="5">
        <v>44215631</v>
      </c>
      <c r="AE193" s="6" t="s">
        <v>548</v>
      </c>
      <c r="AF193" s="5">
        <v>9458058</v>
      </c>
      <c r="AI193" t="s">
        <v>725</v>
      </c>
      <c r="AJ193">
        <v>15.6</v>
      </c>
      <c r="AL193" t="s">
        <v>193</v>
      </c>
      <c r="AM193">
        <v>7.5</v>
      </c>
      <c r="AO193" t="s">
        <v>193</v>
      </c>
      <c r="AP193">
        <v>71.08</v>
      </c>
      <c r="AQ193">
        <v>75.25</v>
      </c>
      <c r="AS193" t="s">
        <v>193</v>
      </c>
      <c r="AT193">
        <v>10.7</v>
      </c>
      <c r="AU193">
        <v>10.09</v>
      </c>
      <c r="AW193" t="s">
        <v>193</v>
      </c>
      <c r="AX193">
        <v>50.13</v>
      </c>
    </row>
    <row r="194" spans="1:50" x14ac:dyDescent="0.35">
      <c r="A194" t="s">
        <v>194</v>
      </c>
      <c r="B194">
        <v>94.71</v>
      </c>
      <c r="D194" t="s">
        <v>726</v>
      </c>
      <c r="E194">
        <v>73.010000000000005</v>
      </c>
      <c r="G194" t="s">
        <v>194</v>
      </c>
      <c r="H194">
        <v>0.27500000000000002</v>
      </c>
      <c r="J194" t="s">
        <v>726</v>
      </c>
      <c r="K194">
        <v>18</v>
      </c>
      <c r="M194" t="s">
        <v>726</v>
      </c>
      <c r="N194">
        <v>45.93</v>
      </c>
      <c r="P194" t="s">
        <v>207</v>
      </c>
      <c r="Q194">
        <v>14.71</v>
      </c>
      <c r="S194" t="s">
        <v>194</v>
      </c>
      <c r="T194">
        <v>0.184</v>
      </c>
      <c r="V194" t="s">
        <v>726</v>
      </c>
      <c r="W194">
        <v>35.68</v>
      </c>
      <c r="Y194" t="s">
        <v>726</v>
      </c>
      <c r="Z194">
        <v>1.83</v>
      </c>
      <c r="AC194" s="4" t="s">
        <v>220</v>
      </c>
      <c r="AD194" s="5">
        <v>25748107</v>
      </c>
      <c r="AE194" s="5">
        <v>18086453</v>
      </c>
      <c r="AF194" s="5">
        <v>7669689</v>
      </c>
      <c r="AI194" t="s">
        <v>726</v>
      </c>
      <c r="AJ194">
        <v>12.96</v>
      </c>
      <c r="AL194" t="s">
        <v>194</v>
      </c>
      <c r="AM194">
        <v>3.96</v>
      </c>
      <c r="AO194" t="s">
        <v>194</v>
      </c>
      <c r="AP194">
        <v>73.3</v>
      </c>
      <c r="AQ194">
        <v>76.930000000000007</v>
      </c>
      <c r="AS194" t="s">
        <v>194</v>
      </c>
      <c r="AT194">
        <v>11.42</v>
      </c>
      <c r="AU194">
        <v>10.71</v>
      </c>
      <c r="AW194" t="s">
        <v>194</v>
      </c>
      <c r="AX194">
        <v>57.03</v>
      </c>
    </row>
    <row r="195" spans="1:50" x14ac:dyDescent="0.35">
      <c r="A195" t="s">
        <v>195</v>
      </c>
      <c r="B195">
        <v>95.55</v>
      </c>
      <c r="D195" t="s">
        <v>727</v>
      </c>
      <c r="E195">
        <v>77.03</v>
      </c>
      <c r="G195" t="s">
        <v>195</v>
      </c>
      <c r="H195">
        <v>0.40899999999999997</v>
      </c>
      <c r="J195" t="s">
        <v>727</v>
      </c>
      <c r="K195">
        <v>25.71</v>
      </c>
      <c r="M195" t="s">
        <v>727</v>
      </c>
      <c r="N195">
        <v>50.79</v>
      </c>
      <c r="P195" t="s">
        <v>208</v>
      </c>
      <c r="Q195">
        <v>12.89</v>
      </c>
      <c r="S195" t="s">
        <v>195</v>
      </c>
      <c r="T195">
        <v>0.16900000000000001</v>
      </c>
      <c r="V195" t="s">
        <v>727</v>
      </c>
      <c r="W195">
        <v>32.28</v>
      </c>
      <c r="Y195" t="s">
        <v>727</v>
      </c>
      <c r="Z195">
        <v>2.0299999999999998</v>
      </c>
      <c r="AC195" s="4" t="s">
        <v>209</v>
      </c>
      <c r="AD195" s="5">
        <v>33098218</v>
      </c>
      <c r="AE195" s="5">
        <v>23647836</v>
      </c>
      <c r="AF195" s="5">
        <v>20658125</v>
      </c>
      <c r="AI195" t="s">
        <v>727</v>
      </c>
      <c r="AJ195">
        <v>14.63</v>
      </c>
      <c r="AL195" t="s">
        <v>195</v>
      </c>
      <c r="AM195">
        <v>9.16</v>
      </c>
      <c r="AO195" t="s">
        <v>195</v>
      </c>
      <c r="AP195">
        <v>71.06</v>
      </c>
      <c r="AQ195">
        <v>75.2</v>
      </c>
      <c r="AS195" t="s">
        <v>195</v>
      </c>
      <c r="AT195">
        <v>10.67</v>
      </c>
      <c r="AU195">
        <v>10.119999999999999</v>
      </c>
      <c r="AW195" t="s">
        <v>195</v>
      </c>
      <c r="AX195">
        <v>53.58</v>
      </c>
    </row>
    <row r="196" spans="1:50" x14ac:dyDescent="0.35">
      <c r="A196" t="s">
        <v>196</v>
      </c>
      <c r="B196">
        <v>93.52</v>
      </c>
      <c r="D196" t="s">
        <v>728</v>
      </c>
      <c r="E196">
        <v>67.739999999999995</v>
      </c>
      <c r="G196" t="s">
        <v>196</v>
      </c>
      <c r="H196">
        <v>0.253</v>
      </c>
      <c r="J196" t="s">
        <v>728</v>
      </c>
      <c r="K196">
        <v>18</v>
      </c>
      <c r="M196" t="s">
        <v>728</v>
      </c>
      <c r="N196">
        <v>43.58</v>
      </c>
      <c r="P196" t="s">
        <v>209</v>
      </c>
      <c r="Q196">
        <v>11.23</v>
      </c>
      <c r="S196" t="s">
        <v>196</v>
      </c>
      <c r="T196">
        <v>0.155</v>
      </c>
      <c r="V196" t="s">
        <v>728</v>
      </c>
      <c r="W196">
        <v>29.77</v>
      </c>
      <c r="Y196" t="s">
        <v>728</v>
      </c>
      <c r="Z196">
        <v>1.85</v>
      </c>
      <c r="AC196" s="4" t="s">
        <v>219</v>
      </c>
      <c r="AD196" s="5">
        <v>38673659</v>
      </c>
      <c r="AE196" s="5">
        <v>27146087</v>
      </c>
      <c r="AF196" s="5">
        <v>9617469</v>
      </c>
      <c r="AI196" t="s">
        <v>728</v>
      </c>
      <c r="AJ196">
        <v>12.53</v>
      </c>
      <c r="AL196" t="s">
        <v>196</v>
      </c>
      <c r="AM196">
        <v>4.0999999999999996</v>
      </c>
      <c r="AO196" t="s">
        <v>196</v>
      </c>
      <c r="AP196">
        <v>74.099999999999994</v>
      </c>
      <c r="AQ196">
        <v>77.45</v>
      </c>
      <c r="AS196" t="s">
        <v>196</v>
      </c>
      <c r="AT196">
        <v>12.15</v>
      </c>
      <c r="AU196">
        <v>11.66</v>
      </c>
      <c r="AW196" t="s">
        <v>196</v>
      </c>
      <c r="AX196">
        <v>72.400000000000006</v>
      </c>
    </row>
    <row r="197" spans="1:50" x14ac:dyDescent="0.35">
      <c r="A197" t="s">
        <v>197</v>
      </c>
      <c r="B197">
        <v>93.44</v>
      </c>
      <c r="D197" t="s">
        <v>729</v>
      </c>
      <c r="E197">
        <v>76.819999999999993</v>
      </c>
      <c r="G197" t="s">
        <v>197</v>
      </c>
      <c r="H197">
        <v>0.152</v>
      </c>
      <c r="J197" t="s">
        <v>729</v>
      </c>
      <c r="K197">
        <v>28</v>
      </c>
      <c r="M197" t="s">
        <v>729</v>
      </c>
      <c r="N197">
        <v>42.4</v>
      </c>
      <c r="P197" t="s">
        <v>210</v>
      </c>
      <c r="Q197">
        <v>12.73</v>
      </c>
      <c r="S197" t="s">
        <v>197</v>
      </c>
      <c r="T197">
        <v>0.13900000000000001</v>
      </c>
      <c r="V197" t="s">
        <v>729</v>
      </c>
      <c r="W197">
        <v>32.21</v>
      </c>
      <c r="Y197" t="s">
        <v>729</v>
      </c>
      <c r="Z197">
        <v>1.99</v>
      </c>
      <c r="AC197" s="4" t="s">
        <v>227</v>
      </c>
      <c r="AD197" s="5">
        <v>68303631</v>
      </c>
      <c r="AE197" s="5">
        <v>20226963</v>
      </c>
      <c r="AF197" s="5">
        <v>15533042</v>
      </c>
      <c r="AI197" t="s">
        <v>729</v>
      </c>
      <c r="AJ197">
        <v>13</v>
      </c>
      <c r="AL197" t="s">
        <v>197</v>
      </c>
      <c r="AM197">
        <v>2.38</v>
      </c>
      <c r="AO197" t="s">
        <v>197</v>
      </c>
      <c r="AP197">
        <v>73.489999999999995</v>
      </c>
      <c r="AQ197">
        <v>77.11</v>
      </c>
      <c r="AS197" t="s">
        <v>197</v>
      </c>
      <c r="AT197">
        <v>11.89</v>
      </c>
      <c r="AU197">
        <v>11.28</v>
      </c>
      <c r="AW197" t="s">
        <v>197</v>
      </c>
      <c r="AX197">
        <v>66.540000000000006</v>
      </c>
    </row>
    <row r="198" spans="1:50" x14ac:dyDescent="0.35">
      <c r="A198" t="s">
        <v>198</v>
      </c>
      <c r="B198">
        <v>92</v>
      </c>
      <c r="D198" t="s">
        <v>730</v>
      </c>
      <c r="E198">
        <v>75.62</v>
      </c>
      <c r="G198" t="s">
        <v>198</v>
      </c>
      <c r="H198">
        <v>0.27600000000000002</v>
      </c>
      <c r="J198" t="s">
        <v>730</v>
      </c>
      <c r="K198">
        <v>26.67</v>
      </c>
      <c r="M198" t="s">
        <v>730</v>
      </c>
      <c r="N198">
        <v>50.99</v>
      </c>
      <c r="P198" t="s">
        <v>211</v>
      </c>
      <c r="Q198">
        <v>14.46</v>
      </c>
      <c r="S198" t="s">
        <v>198</v>
      </c>
      <c r="T198">
        <v>0.13200000000000001</v>
      </c>
      <c r="V198" t="s">
        <v>730</v>
      </c>
      <c r="W198">
        <v>30.19</v>
      </c>
      <c r="Y198" t="s">
        <v>730</v>
      </c>
      <c r="Z198">
        <v>2.0499999999999998</v>
      </c>
      <c r="AC198" s="4" t="s">
        <v>228</v>
      </c>
      <c r="AD198" s="5">
        <v>139846075</v>
      </c>
      <c r="AE198" s="5">
        <v>26634226</v>
      </c>
      <c r="AF198" s="5">
        <v>13696781</v>
      </c>
      <c r="AI198" t="s">
        <v>730</v>
      </c>
      <c r="AJ198">
        <v>14.06</v>
      </c>
      <c r="AL198" t="s">
        <v>198</v>
      </c>
      <c r="AM198">
        <v>4.66</v>
      </c>
      <c r="AO198" t="s">
        <v>198</v>
      </c>
      <c r="AP198">
        <v>73.05</v>
      </c>
      <c r="AQ198">
        <v>76.7</v>
      </c>
      <c r="AS198" t="s">
        <v>198</v>
      </c>
      <c r="AT198">
        <v>11.65</v>
      </c>
      <c r="AU198">
        <v>10.98</v>
      </c>
      <c r="AW198" t="s">
        <v>198</v>
      </c>
      <c r="AX198">
        <v>58.92</v>
      </c>
    </row>
    <row r="199" spans="1:50" x14ac:dyDescent="0.35">
      <c r="A199" t="s">
        <v>199</v>
      </c>
      <c r="B199">
        <v>92.13</v>
      </c>
      <c r="D199" t="s">
        <v>731</v>
      </c>
      <c r="E199">
        <v>59.81</v>
      </c>
      <c r="G199" t="s">
        <v>199</v>
      </c>
      <c r="H199">
        <v>0.39</v>
      </c>
      <c r="J199" t="s">
        <v>731</v>
      </c>
      <c r="K199">
        <v>6.67</v>
      </c>
      <c r="M199" t="s">
        <v>731</v>
      </c>
      <c r="N199">
        <v>47.06</v>
      </c>
      <c r="P199" t="s">
        <v>212</v>
      </c>
      <c r="Q199">
        <v>10.31</v>
      </c>
      <c r="S199" t="s">
        <v>199</v>
      </c>
      <c r="T199">
        <v>0.20100000000000001</v>
      </c>
      <c r="V199" t="s">
        <v>731</v>
      </c>
      <c r="W199">
        <v>33.729999999999997</v>
      </c>
      <c r="Y199" t="s">
        <v>731</v>
      </c>
      <c r="Z199">
        <v>2.19</v>
      </c>
      <c r="AC199" s="4" t="s">
        <v>204</v>
      </c>
      <c r="AD199" s="5">
        <v>28747325</v>
      </c>
      <c r="AE199" s="5">
        <v>19710143</v>
      </c>
      <c r="AF199" s="5">
        <v>19460038</v>
      </c>
      <c r="AI199" t="s">
        <v>731</v>
      </c>
      <c r="AJ199">
        <v>15.08</v>
      </c>
      <c r="AL199" t="s">
        <v>199</v>
      </c>
      <c r="AM199">
        <v>11.53</v>
      </c>
      <c r="AO199" t="s">
        <v>199</v>
      </c>
      <c r="AP199">
        <v>70.95</v>
      </c>
      <c r="AQ199">
        <v>74.989999999999995</v>
      </c>
      <c r="AS199" t="s">
        <v>199</v>
      </c>
      <c r="AT199">
        <v>9.66</v>
      </c>
      <c r="AU199">
        <v>9.31</v>
      </c>
      <c r="AW199" t="s">
        <v>199</v>
      </c>
      <c r="AX199">
        <v>39.07</v>
      </c>
    </row>
    <row r="200" spans="1:50" x14ac:dyDescent="0.35">
      <c r="A200" t="s">
        <v>200</v>
      </c>
      <c r="B200">
        <v>87.85</v>
      </c>
      <c r="D200" t="s">
        <v>732</v>
      </c>
      <c r="E200">
        <v>55.58</v>
      </c>
      <c r="G200" t="s">
        <v>200</v>
      </c>
      <c r="H200">
        <v>0.28799999999999998</v>
      </c>
      <c r="J200" t="s">
        <v>732</v>
      </c>
      <c r="K200">
        <v>6.67</v>
      </c>
      <c r="M200" t="s">
        <v>732</v>
      </c>
      <c r="N200">
        <v>46.82</v>
      </c>
      <c r="P200" t="s">
        <v>213</v>
      </c>
      <c r="Q200">
        <v>10.8</v>
      </c>
      <c r="S200" t="s">
        <v>200</v>
      </c>
      <c r="T200">
        <v>0.24399999999999999</v>
      </c>
      <c r="V200" t="s">
        <v>732</v>
      </c>
      <c r="W200">
        <v>28.76</v>
      </c>
      <c r="Y200" t="s">
        <v>732</v>
      </c>
      <c r="Z200">
        <v>2.23</v>
      </c>
      <c r="AC200" s="4" t="s">
        <v>207</v>
      </c>
      <c r="AD200" s="5">
        <v>34898818</v>
      </c>
      <c r="AE200" s="5">
        <v>20573771</v>
      </c>
      <c r="AF200" s="5">
        <v>22694579</v>
      </c>
      <c r="AI200" t="s">
        <v>732</v>
      </c>
      <c r="AJ200">
        <v>16.73</v>
      </c>
      <c r="AL200" t="s">
        <v>200</v>
      </c>
      <c r="AM200">
        <v>6.14</v>
      </c>
      <c r="AO200" t="s">
        <v>200</v>
      </c>
      <c r="AP200">
        <v>69.849999999999994</v>
      </c>
      <c r="AQ200">
        <v>73.84</v>
      </c>
      <c r="AS200" t="s">
        <v>200</v>
      </c>
      <c r="AT200">
        <v>9.23</v>
      </c>
      <c r="AU200">
        <v>8.52</v>
      </c>
      <c r="AW200" t="s">
        <v>200</v>
      </c>
      <c r="AX200">
        <v>32.619999999999997</v>
      </c>
    </row>
    <row r="201" spans="1:50" x14ac:dyDescent="0.35">
      <c r="A201" t="s">
        <v>201</v>
      </c>
      <c r="B201">
        <v>92.87</v>
      </c>
      <c r="D201" t="s">
        <v>201</v>
      </c>
      <c r="E201">
        <v>74.180000000000007</v>
      </c>
      <c r="G201" t="s">
        <v>201</v>
      </c>
      <c r="H201">
        <v>0.33600000000000002</v>
      </c>
      <c r="J201" t="s">
        <v>201</v>
      </c>
      <c r="K201">
        <v>20.170000000000002</v>
      </c>
      <c r="M201" t="s">
        <v>201</v>
      </c>
      <c r="N201">
        <v>51</v>
      </c>
      <c r="P201" t="s">
        <v>214</v>
      </c>
      <c r="Q201">
        <v>10.63</v>
      </c>
      <c r="S201" t="s">
        <v>201</v>
      </c>
      <c r="T201">
        <v>0.26</v>
      </c>
      <c r="V201" t="s">
        <v>201</v>
      </c>
      <c r="W201">
        <v>35.21</v>
      </c>
      <c r="Y201" t="s">
        <v>201</v>
      </c>
      <c r="Z201">
        <v>2.09</v>
      </c>
      <c r="AC201" s="4" t="s">
        <v>218</v>
      </c>
      <c r="AD201" s="5">
        <v>29183490</v>
      </c>
      <c r="AE201" s="5">
        <v>15674838</v>
      </c>
      <c r="AF201" s="5">
        <v>8882683</v>
      </c>
      <c r="AI201" t="s">
        <v>201</v>
      </c>
      <c r="AJ201">
        <v>14.81</v>
      </c>
      <c r="AL201" t="s">
        <v>201</v>
      </c>
      <c r="AM201">
        <v>10.77</v>
      </c>
      <c r="AO201" t="s">
        <v>201</v>
      </c>
      <c r="AP201">
        <v>72.95</v>
      </c>
      <c r="AQ201">
        <v>76.62</v>
      </c>
      <c r="AS201" t="s">
        <v>201</v>
      </c>
      <c r="AT201">
        <v>8.42</v>
      </c>
      <c r="AU201">
        <v>7.62</v>
      </c>
      <c r="AW201" t="s">
        <v>201</v>
      </c>
      <c r="AX201">
        <v>29.2</v>
      </c>
    </row>
    <row r="202" spans="1:50" x14ac:dyDescent="0.35">
      <c r="A202" t="s">
        <v>202</v>
      </c>
      <c r="B202">
        <v>87.34</v>
      </c>
      <c r="D202" t="s">
        <v>733</v>
      </c>
      <c r="E202">
        <v>70.38</v>
      </c>
      <c r="G202" t="s">
        <v>202</v>
      </c>
      <c r="H202">
        <v>0.433</v>
      </c>
      <c r="J202" t="s">
        <v>733</v>
      </c>
      <c r="K202">
        <v>26</v>
      </c>
      <c r="M202" t="s">
        <v>733</v>
      </c>
      <c r="N202">
        <v>40.97</v>
      </c>
      <c r="P202" t="s">
        <v>215</v>
      </c>
      <c r="Q202">
        <v>10.8</v>
      </c>
      <c r="S202" t="s">
        <v>202</v>
      </c>
      <c r="T202">
        <v>0.255</v>
      </c>
      <c r="V202" t="s">
        <v>733</v>
      </c>
      <c r="W202">
        <v>26.42</v>
      </c>
      <c r="Y202" t="s">
        <v>733</v>
      </c>
      <c r="Z202">
        <v>2.1800000000000002</v>
      </c>
      <c r="AC202" s="4" t="s">
        <v>223</v>
      </c>
      <c r="AD202" s="5">
        <v>33644068</v>
      </c>
      <c r="AE202" s="5">
        <v>21157135</v>
      </c>
      <c r="AF202" s="5">
        <v>8382172</v>
      </c>
      <c r="AI202" t="s">
        <v>733</v>
      </c>
      <c r="AJ202">
        <v>15.3</v>
      </c>
      <c r="AL202" t="s">
        <v>202</v>
      </c>
      <c r="AM202">
        <v>10.99</v>
      </c>
      <c r="AO202" t="s">
        <v>202</v>
      </c>
      <c r="AP202">
        <v>72.48</v>
      </c>
      <c r="AQ202">
        <v>76.2</v>
      </c>
      <c r="AS202" t="s">
        <v>202</v>
      </c>
      <c r="AT202">
        <v>7.87</v>
      </c>
      <c r="AU202">
        <v>6.97</v>
      </c>
      <c r="AW202" t="s">
        <v>202</v>
      </c>
      <c r="AX202">
        <v>23.22</v>
      </c>
    </row>
    <row r="203" spans="1:50" x14ac:dyDescent="0.35">
      <c r="A203" t="s">
        <v>203</v>
      </c>
      <c r="B203">
        <v>89.14</v>
      </c>
      <c r="D203" t="s">
        <v>734</v>
      </c>
      <c r="E203">
        <v>73.16</v>
      </c>
      <c r="G203" t="s">
        <v>203</v>
      </c>
      <c r="H203">
        <v>0.193</v>
      </c>
      <c r="J203" t="s">
        <v>734</v>
      </c>
      <c r="K203">
        <v>22</v>
      </c>
      <c r="M203" t="s">
        <v>734</v>
      </c>
      <c r="N203">
        <v>51.06</v>
      </c>
      <c r="P203" t="s">
        <v>216</v>
      </c>
      <c r="Q203">
        <v>13.23</v>
      </c>
      <c r="S203" t="s">
        <v>203</v>
      </c>
      <c r="T203">
        <v>0.185</v>
      </c>
      <c r="V203" t="s">
        <v>734</v>
      </c>
      <c r="W203">
        <v>31.7</v>
      </c>
      <c r="Y203" t="s">
        <v>734</v>
      </c>
      <c r="Z203">
        <v>2.17</v>
      </c>
      <c r="AC203" s="4" t="s">
        <v>215</v>
      </c>
      <c r="AD203" s="5">
        <v>36264790</v>
      </c>
      <c r="AE203" s="5">
        <v>22318616</v>
      </c>
      <c r="AF203" s="5">
        <v>13002528</v>
      </c>
      <c r="AI203" t="s">
        <v>734</v>
      </c>
      <c r="AJ203">
        <v>16.510000000000002</v>
      </c>
      <c r="AL203" t="s">
        <v>203</v>
      </c>
      <c r="AM203">
        <v>12.53</v>
      </c>
      <c r="AO203" t="s">
        <v>203</v>
      </c>
      <c r="AP203">
        <v>72.2</v>
      </c>
      <c r="AQ203">
        <v>75.94</v>
      </c>
      <c r="AS203" t="s">
        <v>203</v>
      </c>
      <c r="AT203">
        <v>8.19</v>
      </c>
      <c r="AU203">
        <v>7.54</v>
      </c>
      <c r="AW203" t="s">
        <v>203</v>
      </c>
      <c r="AX203">
        <v>30.38</v>
      </c>
    </row>
    <row r="204" spans="1:50" x14ac:dyDescent="0.35">
      <c r="A204" t="s">
        <v>204</v>
      </c>
      <c r="B204">
        <v>93.51</v>
      </c>
      <c r="D204" t="s">
        <v>735</v>
      </c>
      <c r="E204">
        <v>71.94</v>
      </c>
      <c r="G204" t="s">
        <v>204</v>
      </c>
      <c r="H204">
        <v>0.311</v>
      </c>
      <c r="J204" t="s">
        <v>735</v>
      </c>
      <c r="K204">
        <v>22.22</v>
      </c>
      <c r="M204" t="s">
        <v>735</v>
      </c>
      <c r="N204">
        <v>54.23</v>
      </c>
      <c r="P204" t="s">
        <v>217</v>
      </c>
      <c r="Q204">
        <v>11.27</v>
      </c>
      <c r="S204" t="s">
        <v>204</v>
      </c>
      <c r="T204">
        <v>0.32600000000000001</v>
      </c>
      <c r="V204" t="s">
        <v>735</v>
      </c>
      <c r="W204">
        <v>31.05</v>
      </c>
      <c r="Y204" t="s">
        <v>735</v>
      </c>
      <c r="Z204">
        <v>2.2200000000000002</v>
      </c>
      <c r="AC204" s="4" t="s">
        <v>212</v>
      </c>
      <c r="AD204" s="5">
        <v>30439415</v>
      </c>
      <c r="AE204" s="6" t="s">
        <v>548</v>
      </c>
      <c r="AF204" s="5">
        <v>7859189</v>
      </c>
      <c r="AI204" t="s">
        <v>735</v>
      </c>
      <c r="AJ204">
        <v>17.760000000000002</v>
      </c>
      <c r="AL204" t="s">
        <v>204</v>
      </c>
      <c r="AM204">
        <v>14.99</v>
      </c>
      <c r="AO204" t="s">
        <v>204</v>
      </c>
      <c r="AP204">
        <v>71.569999999999993</v>
      </c>
      <c r="AQ204">
        <v>75.36</v>
      </c>
      <c r="AS204" t="s">
        <v>204</v>
      </c>
      <c r="AT204">
        <v>7.58</v>
      </c>
      <c r="AU204">
        <v>7.11</v>
      </c>
      <c r="AW204" t="s">
        <v>204</v>
      </c>
      <c r="AX204">
        <v>21.43</v>
      </c>
    </row>
    <row r="205" spans="1:50" x14ac:dyDescent="0.35">
      <c r="A205" t="s">
        <v>205</v>
      </c>
      <c r="B205">
        <v>95.09</v>
      </c>
      <c r="D205" t="s">
        <v>736</v>
      </c>
      <c r="E205">
        <v>74.3</v>
      </c>
      <c r="G205" t="s">
        <v>205</v>
      </c>
      <c r="H205">
        <v>0.23599999999999999</v>
      </c>
      <c r="J205" t="s">
        <v>736</v>
      </c>
      <c r="K205">
        <v>26</v>
      </c>
      <c r="M205" t="s">
        <v>736</v>
      </c>
      <c r="N205">
        <v>48.49</v>
      </c>
      <c r="P205" t="s">
        <v>218</v>
      </c>
      <c r="Q205">
        <v>10.15</v>
      </c>
      <c r="S205" t="s">
        <v>205</v>
      </c>
      <c r="T205">
        <v>0.41799999999999998</v>
      </c>
      <c r="V205" t="s">
        <v>736</v>
      </c>
      <c r="W205">
        <v>29.19</v>
      </c>
      <c r="Y205" t="s">
        <v>736</v>
      </c>
      <c r="Z205">
        <v>2.25</v>
      </c>
      <c r="AC205" s="4" t="s">
        <v>229</v>
      </c>
      <c r="AD205" s="5">
        <v>86734267</v>
      </c>
      <c r="AE205" s="5">
        <v>53939991</v>
      </c>
      <c r="AF205" s="5">
        <v>7750005</v>
      </c>
      <c r="AI205" t="s">
        <v>736</v>
      </c>
      <c r="AJ205">
        <v>15.62</v>
      </c>
      <c r="AL205" t="s">
        <v>205</v>
      </c>
      <c r="AM205">
        <v>14.9</v>
      </c>
      <c r="AO205" t="s">
        <v>205</v>
      </c>
      <c r="AP205">
        <v>72.709999999999994</v>
      </c>
      <c r="AQ205">
        <v>76.41</v>
      </c>
      <c r="AS205" t="s">
        <v>205</v>
      </c>
      <c r="AT205">
        <v>7.16</v>
      </c>
      <c r="AU205">
        <v>6.61</v>
      </c>
      <c r="AW205" t="s">
        <v>205</v>
      </c>
      <c r="AX205">
        <v>16.63</v>
      </c>
    </row>
    <row r="206" spans="1:50" x14ac:dyDescent="0.35">
      <c r="A206" t="s">
        <v>206</v>
      </c>
      <c r="B206">
        <v>93.37</v>
      </c>
      <c r="D206" t="s">
        <v>737</v>
      </c>
      <c r="E206">
        <v>67.78</v>
      </c>
      <c r="G206" t="s">
        <v>206</v>
      </c>
      <c r="H206">
        <v>0.34399999999999997</v>
      </c>
      <c r="J206" t="s">
        <v>737</v>
      </c>
      <c r="K206">
        <v>22</v>
      </c>
      <c r="M206" t="s">
        <v>737</v>
      </c>
      <c r="N206">
        <v>56.04</v>
      </c>
      <c r="P206" t="s">
        <v>219</v>
      </c>
      <c r="Q206">
        <v>7.78</v>
      </c>
      <c r="S206" t="s">
        <v>206</v>
      </c>
      <c r="T206">
        <v>0.16800000000000001</v>
      </c>
      <c r="V206" t="s">
        <v>737</v>
      </c>
      <c r="W206">
        <v>26.1</v>
      </c>
      <c r="Y206" t="s">
        <v>737</v>
      </c>
      <c r="Z206">
        <v>2.21</v>
      </c>
      <c r="AC206" s="4" t="s">
        <v>224</v>
      </c>
      <c r="AD206" s="5">
        <v>27377537</v>
      </c>
      <c r="AE206" s="5">
        <v>17404100</v>
      </c>
      <c r="AF206" s="5">
        <v>18323140</v>
      </c>
      <c r="AI206" t="s">
        <v>737</v>
      </c>
      <c r="AJ206">
        <v>13.93</v>
      </c>
      <c r="AL206" t="s">
        <v>206</v>
      </c>
      <c r="AM206">
        <v>16.34</v>
      </c>
      <c r="AO206" t="s">
        <v>206</v>
      </c>
      <c r="AP206">
        <v>72.05</v>
      </c>
      <c r="AQ206">
        <v>75.8</v>
      </c>
      <c r="AS206" t="s">
        <v>206</v>
      </c>
      <c r="AT206">
        <v>8.23</v>
      </c>
      <c r="AU206">
        <v>7.43</v>
      </c>
      <c r="AW206" t="s">
        <v>206</v>
      </c>
      <c r="AX206">
        <v>24.42</v>
      </c>
    </row>
    <row r="207" spans="1:50" x14ac:dyDescent="0.35">
      <c r="A207" t="s">
        <v>207</v>
      </c>
      <c r="B207">
        <v>95.34</v>
      </c>
      <c r="D207" t="s">
        <v>738</v>
      </c>
      <c r="E207">
        <v>70.77</v>
      </c>
      <c r="G207" t="s">
        <v>207</v>
      </c>
      <c r="H207">
        <v>0.193</v>
      </c>
      <c r="J207" t="s">
        <v>738</v>
      </c>
      <c r="K207">
        <v>17.78</v>
      </c>
      <c r="M207" t="s">
        <v>738</v>
      </c>
      <c r="N207">
        <v>59.14</v>
      </c>
      <c r="P207" t="s">
        <v>220</v>
      </c>
      <c r="Q207">
        <v>8.36</v>
      </c>
      <c r="S207" t="s">
        <v>207</v>
      </c>
      <c r="T207">
        <v>0.19900000000000001</v>
      </c>
      <c r="V207" t="s">
        <v>738</v>
      </c>
      <c r="W207">
        <v>35.6</v>
      </c>
      <c r="Y207" t="s">
        <v>738</v>
      </c>
      <c r="Z207">
        <v>2.11</v>
      </c>
      <c r="AC207" s="4" t="s">
        <v>213</v>
      </c>
      <c r="AD207" s="5">
        <v>36552886</v>
      </c>
      <c r="AE207" s="5">
        <v>25070678</v>
      </c>
      <c r="AF207" s="5">
        <v>14009137</v>
      </c>
      <c r="AI207" t="s">
        <v>738</v>
      </c>
      <c r="AJ207">
        <v>12.72</v>
      </c>
      <c r="AL207" t="s">
        <v>207</v>
      </c>
      <c r="AM207">
        <v>11.33</v>
      </c>
      <c r="AO207" t="s">
        <v>207</v>
      </c>
      <c r="AP207">
        <v>73.47</v>
      </c>
      <c r="AQ207">
        <v>77.11</v>
      </c>
      <c r="AS207" t="s">
        <v>207</v>
      </c>
      <c r="AT207">
        <v>9.02</v>
      </c>
      <c r="AU207">
        <v>8.01</v>
      </c>
      <c r="AW207" t="s">
        <v>207</v>
      </c>
      <c r="AX207">
        <v>32.97</v>
      </c>
    </row>
    <row r="208" spans="1:50" x14ac:dyDescent="0.35">
      <c r="A208" t="s">
        <v>208</v>
      </c>
      <c r="B208">
        <v>92.95</v>
      </c>
      <c r="D208" t="s">
        <v>739</v>
      </c>
      <c r="E208">
        <v>48.92</v>
      </c>
      <c r="G208" t="s">
        <v>208</v>
      </c>
      <c r="H208">
        <v>0.42699999999999999</v>
      </c>
      <c r="J208" t="s">
        <v>739</v>
      </c>
      <c r="K208">
        <v>4.4400000000000004</v>
      </c>
      <c r="M208" t="s">
        <v>739</v>
      </c>
      <c r="N208">
        <v>44.66</v>
      </c>
      <c r="P208" t="s">
        <v>221</v>
      </c>
      <c r="Q208">
        <v>10.02</v>
      </c>
      <c r="S208" t="s">
        <v>208</v>
      </c>
      <c r="T208">
        <v>0.46899999999999997</v>
      </c>
      <c r="V208" t="s">
        <v>739</v>
      </c>
      <c r="W208">
        <v>24.3</v>
      </c>
      <c r="Y208" t="s">
        <v>739</v>
      </c>
      <c r="Z208">
        <v>2.27</v>
      </c>
      <c r="AC208" s="4" t="s">
        <v>208</v>
      </c>
      <c r="AD208" s="5">
        <v>29515367</v>
      </c>
      <c r="AE208" s="5">
        <v>35431080</v>
      </c>
      <c r="AF208" s="5">
        <v>33019053</v>
      </c>
      <c r="AI208" t="s">
        <v>739</v>
      </c>
      <c r="AJ208">
        <v>18.12</v>
      </c>
      <c r="AL208" t="s">
        <v>208</v>
      </c>
      <c r="AM208">
        <v>15.58</v>
      </c>
      <c r="AO208" t="s">
        <v>208</v>
      </c>
      <c r="AP208">
        <v>70.209999999999994</v>
      </c>
      <c r="AQ208">
        <v>74.19</v>
      </c>
      <c r="AS208" t="s">
        <v>208</v>
      </c>
      <c r="AT208">
        <v>7.14</v>
      </c>
      <c r="AU208">
        <v>6.71</v>
      </c>
      <c r="AW208" t="s">
        <v>208</v>
      </c>
      <c r="AX208">
        <v>17.41</v>
      </c>
    </row>
    <row r="209" spans="1:50" x14ac:dyDescent="0.35">
      <c r="A209" t="s">
        <v>209</v>
      </c>
      <c r="B209">
        <v>92.49</v>
      </c>
      <c r="D209" t="s">
        <v>740</v>
      </c>
      <c r="E209">
        <v>70.52</v>
      </c>
      <c r="G209" t="s">
        <v>209</v>
      </c>
      <c r="H209">
        <v>0.25900000000000001</v>
      </c>
      <c r="J209" t="s">
        <v>740</v>
      </c>
      <c r="K209">
        <v>14</v>
      </c>
      <c r="M209" t="s">
        <v>740</v>
      </c>
      <c r="N209">
        <v>55.53</v>
      </c>
      <c r="P209" t="s">
        <v>222</v>
      </c>
      <c r="Q209">
        <v>7.77</v>
      </c>
      <c r="S209" t="s">
        <v>209</v>
      </c>
      <c r="T209">
        <v>0.26300000000000001</v>
      </c>
      <c r="V209" t="s">
        <v>740</v>
      </c>
      <c r="W209">
        <v>37.549999999999997</v>
      </c>
      <c r="Y209" t="s">
        <v>740</v>
      </c>
      <c r="Z209">
        <v>2.11</v>
      </c>
      <c r="AC209" s="4" t="s">
        <v>231</v>
      </c>
      <c r="AD209" s="5">
        <v>21718328</v>
      </c>
      <c r="AE209" s="6" t="s">
        <v>548</v>
      </c>
      <c r="AF209" s="5">
        <v>4269676</v>
      </c>
      <c r="AI209" t="s">
        <v>740</v>
      </c>
      <c r="AJ209">
        <v>16.88</v>
      </c>
      <c r="AL209" t="s">
        <v>209</v>
      </c>
      <c r="AM209">
        <v>10.96</v>
      </c>
      <c r="AO209" t="s">
        <v>209</v>
      </c>
      <c r="AP209">
        <v>72.45</v>
      </c>
      <c r="AQ209">
        <v>76.150000000000006</v>
      </c>
      <c r="AS209" t="s">
        <v>209</v>
      </c>
      <c r="AT209">
        <v>8.35</v>
      </c>
      <c r="AU209">
        <v>7.38</v>
      </c>
      <c r="AW209" t="s">
        <v>209</v>
      </c>
      <c r="AX209">
        <v>25.39</v>
      </c>
    </row>
    <row r="210" spans="1:50" x14ac:dyDescent="0.35">
      <c r="A210" t="s">
        <v>210</v>
      </c>
      <c r="B210">
        <v>94.7</v>
      </c>
      <c r="D210" t="s">
        <v>741</v>
      </c>
      <c r="E210">
        <v>82.98</v>
      </c>
      <c r="G210" t="s">
        <v>210</v>
      </c>
      <c r="H210">
        <v>0.30599999999999999</v>
      </c>
      <c r="J210" t="s">
        <v>741</v>
      </c>
      <c r="K210">
        <v>31.11</v>
      </c>
      <c r="M210" t="s">
        <v>741</v>
      </c>
      <c r="N210">
        <v>49.22</v>
      </c>
      <c r="P210" t="s">
        <v>223</v>
      </c>
      <c r="Q210">
        <v>8.2799999999999994</v>
      </c>
      <c r="S210" t="s">
        <v>210</v>
      </c>
      <c r="T210">
        <v>0.23499999999999999</v>
      </c>
      <c r="V210" t="s">
        <v>741</v>
      </c>
      <c r="W210">
        <v>41.66</v>
      </c>
      <c r="Y210" t="s">
        <v>741</v>
      </c>
      <c r="Z210">
        <v>2.15</v>
      </c>
      <c r="AC210" s="4" t="s">
        <v>235</v>
      </c>
      <c r="AD210" s="5">
        <v>17381344</v>
      </c>
      <c r="AE210" s="5">
        <v>10314644</v>
      </c>
      <c r="AF210" s="5">
        <v>2881172</v>
      </c>
      <c r="AI210" t="s">
        <v>741</v>
      </c>
      <c r="AJ210">
        <v>12.78</v>
      </c>
      <c r="AL210" t="s">
        <v>210</v>
      </c>
      <c r="AM210">
        <v>9.81</v>
      </c>
      <c r="AO210" t="s">
        <v>210</v>
      </c>
      <c r="AP210">
        <v>74.39</v>
      </c>
      <c r="AQ210">
        <v>78.14</v>
      </c>
      <c r="AS210" t="s">
        <v>210</v>
      </c>
      <c r="AT210">
        <v>8.74</v>
      </c>
      <c r="AU210">
        <v>7.52</v>
      </c>
      <c r="AW210" t="s">
        <v>210</v>
      </c>
      <c r="AX210">
        <v>28.5</v>
      </c>
    </row>
    <row r="211" spans="1:50" x14ac:dyDescent="0.35">
      <c r="A211" t="s">
        <v>211</v>
      </c>
      <c r="B211">
        <v>95.79</v>
      </c>
      <c r="D211" t="s">
        <v>742</v>
      </c>
      <c r="E211">
        <v>73.040000000000006</v>
      </c>
      <c r="G211" t="s">
        <v>211</v>
      </c>
      <c r="H211">
        <v>0.19</v>
      </c>
      <c r="J211" t="s">
        <v>742</v>
      </c>
      <c r="K211">
        <v>18</v>
      </c>
      <c r="M211" t="s">
        <v>742</v>
      </c>
      <c r="N211">
        <v>50.09</v>
      </c>
      <c r="P211" t="s">
        <v>224</v>
      </c>
      <c r="Q211">
        <v>10.26</v>
      </c>
      <c r="S211" t="s">
        <v>211</v>
      </c>
      <c r="T211">
        <v>0.16400000000000001</v>
      </c>
      <c r="V211" t="s">
        <v>742</v>
      </c>
      <c r="W211">
        <v>37.19</v>
      </c>
      <c r="Y211" t="s">
        <v>742</v>
      </c>
      <c r="Z211">
        <v>1.95</v>
      </c>
      <c r="AC211" s="4" t="s">
        <v>233</v>
      </c>
      <c r="AD211" s="5">
        <v>17101693</v>
      </c>
      <c r="AE211" s="6" t="s">
        <v>548</v>
      </c>
      <c r="AF211" s="5">
        <v>8216445</v>
      </c>
      <c r="AI211" t="s">
        <v>742</v>
      </c>
      <c r="AJ211">
        <v>13.09</v>
      </c>
      <c r="AL211" t="s">
        <v>211</v>
      </c>
      <c r="AM211">
        <v>12.28</v>
      </c>
      <c r="AO211" t="s">
        <v>211</v>
      </c>
      <c r="AP211">
        <v>75.22</v>
      </c>
      <c r="AQ211">
        <v>78.989999999999995</v>
      </c>
      <c r="AS211" t="s">
        <v>211</v>
      </c>
      <c r="AT211">
        <v>9.89</v>
      </c>
      <c r="AU211">
        <v>8.68</v>
      </c>
      <c r="AW211" t="s">
        <v>211</v>
      </c>
      <c r="AX211">
        <v>41.7</v>
      </c>
    </row>
    <row r="212" spans="1:50" x14ac:dyDescent="0.35">
      <c r="A212" t="s">
        <v>212</v>
      </c>
      <c r="B212">
        <v>97.37</v>
      </c>
      <c r="D212" t="s">
        <v>743</v>
      </c>
      <c r="E212">
        <v>79.28</v>
      </c>
      <c r="G212" t="s">
        <v>212</v>
      </c>
      <c r="H212">
        <v>0.14499999999999999</v>
      </c>
      <c r="J212" t="s">
        <v>743</v>
      </c>
      <c r="K212">
        <v>22.22</v>
      </c>
      <c r="M212" t="s">
        <v>743</v>
      </c>
      <c r="N212">
        <v>52.4</v>
      </c>
      <c r="P212" t="s">
        <v>225</v>
      </c>
      <c r="Q212">
        <v>11.9</v>
      </c>
      <c r="S212" t="s">
        <v>212</v>
      </c>
      <c r="T212">
        <v>0.13400000000000001</v>
      </c>
      <c r="V212" t="s">
        <v>743</v>
      </c>
      <c r="W212">
        <v>41.93</v>
      </c>
      <c r="Y212" t="s">
        <v>743</v>
      </c>
      <c r="Z212">
        <v>1.98</v>
      </c>
      <c r="AC212" s="4" t="s">
        <v>234</v>
      </c>
      <c r="AD212" s="6" t="s">
        <v>548</v>
      </c>
      <c r="AE212" s="6" t="s">
        <v>548</v>
      </c>
      <c r="AF212" s="5">
        <v>7300000</v>
      </c>
      <c r="AI212" t="s">
        <v>743</v>
      </c>
      <c r="AJ212">
        <v>12.07</v>
      </c>
      <c r="AL212" t="s">
        <v>212</v>
      </c>
      <c r="AM212">
        <v>7.58</v>
      </c>
      <c r="AO212" t="s">
        <v>212</v>
      </c>
      <c r="AP212">
        <v>76.14</v>
      </c>
      <c r="AQ212">
        <v>79.88</v>
      </c>
      <c r="AS212" t="s">
        <v>212</v>
      </c>
      <c r="AT212">
        <v>10.11</v>
      </c>
      <c r="AU212">
        <v>9.4700000000000006</v>
      </c>
      <c r="AW212" t="s">
        <v>212</v>
      </c>
      <c r="AX212">
        <v>51.32</v>
      </c>
    </row>
    <row r="213" spans="1:50" x14ac:dyDescent="0.35">
      <c r="A213" t="s">
        <v>213</v>
      </c>
      <c r="B213">
        <v>92.11</v>
      </c>
      <c r="D213" t="s">
        <v>744</v>
      </c>
      <c r="E213">
        <v>72.64</v>
      </c>
      <c r="G213" t="s">
        <v>213</v>
      </c>
      <c r="H213">
        <v>0.19800000000000001</v>
      </c>
      <c r="J213" t="s">
        <v>744</v>
      </c>
      <c r="K213">
        <v>16</v>
      </c>
      <c r="M213" t="s">
        <v>744</v>
      </c>
      <c r="N213">
        <v>49.49</v>
      </c>
      <c r="P213" t="s">
        <v>226</v>
      </c>
      <c r="Q213">
        <v>9.3800000000000008</v>
      </c>
      <c r="S213" t="s">
        <v>213</v>
      </c>
      <c r="T213">
        <v>0.223</v>
      </c>
      <c r="V213" t="s">
        <v>744</v>
      </c>
      <c r="W213">
        <v>38.96</v>
      </c>
      <c r="Y213" t="s">
        <v>744</v>
      </c>
      <c r="Z213">
        <v>1.9</v>
      </c>
      <c r="AC213" s="4" t="s">
        <v>232</v>
      </c>
      <c r="AD213" s="5">
        <v>38009251</v>
      </c>
      <c r="AE213" s="6" t="s">
        <v>548</v>
      </c>
      <c r="AF213" s="5">
        <v>3598341</v>
      </c>
      <c r="AI213" t="s">
        <v>744</v>
      </c>
      <c r="AJ213">
        <v>12.77</v>
      </c>
      <c r="AL213" t="s">
        <v>213</v>
      </c>
      <c r="AM213">
        <v>10.94</v>
      </c>
      <c r="AO213" t="s">
        <v>213</v>
      </c>
      <c r="AP213">
        <v>74.72</v>
      </c>
      <c r="AQ213">
        <v>78.48</v>
      </c>
      <c r="AS213" t="s">
        <v>213</v>
      </c>
      <c r="AT213">
        <v>8.1199999999999992</v>
      </c>
      <c r="AU213">
        <v>7.32</v>
      </c>
      <c r="AW213" t="s">
        <v>213</v>
      </c>
      <c r="AX213">
        <v>26.48</v>
      </c>
    </row>
    <row r="214" spans="1:50" x14ac:dyDescent="0.35">
      <c r="A214" t="s">
        <v>214</v>
      </c>
      <c r="B214">
        <v>97.29</v>
      </c>
      <c r="D214" t="s">
        <v>745</v>
      </c>
      <c r="E214">
        <v>71.650000000000006</v>
      </c>
      <c r="G214" t="s">
        <v>214</v>
      </c>
      <c r="H214">
        <v>0.27900000000000003</v>
      </c>
      <c r="J214" t="s">
        <v>745</v>
      </c>
      <c r="K214">
        <v>15.56</v>
      </c>
      <c r="M214" t="s">
        <v>745</v>
      </c>
      <c r="N214">
        <v>54.76</v>
      </c>
      <c r="P214" t="s">
        <v>227</v>
      </c>
      <c r="Q214">
        <v>6.73</v>
      </c>
      <c r="S214" t="s">
        <v>214</v>
      </c>
      <c r="T214">
        <v>0.19700000000000001</v>
      </c>
      <c r="V214" t="s">
        <v>745</v>
      </c>
      <c r="W214">
        <v>38.909999999999997</v>
      </c>
      <c r="Y214" t="s">
        <v>745</v>
      </c>
      <c r="Z214">
        <v>1.93</v>
      </c>
      <c r="AC214" s="4" t="s">
        <v>236</v>
      </c>
      <c r="AD214" s="5">
        <v>19355218</v>
      </c>
      <c r="AE214" s="5">
        <v>10152867</v>
      </c>
      <c r="AF214" s="5">
        <v>4655568</v>
      </c>
      <c r="AI214" t="s">
        <v>745</v>
      </c>
      <c r="AJ214">
        <v>13.56</v>
      </c>
      <c r="AL214" t="s">
        <v>214</v>
      </c>
      <c r="AM214">
        <v>9.7899999999999991</v>
      </c>
      <c r="AO214" t="s">
        <v>214</v>
      </c>
      <c r="AP214">
        <v>75.94</v>
      </c>
      <c r="AQ214">
        <v>79.72</v>
      </c>
      <c r="AS214" t="s">
        <v>214</v>
      </c>
      <c r="AT214">
        <v>9.4600000000000009</v>
      </c>
      <c r="AU214">
        <v>8.6</v>
      </c>
      <c r="AW214" t="s">
        <v>214</v>
      </c>
      <c r="AX214">
        <v>36.340000000000003</v>
      </c>
    </row>
    <row r="215" spans="1:50" x14ac:dyDescent="0.35">
      <c r="A215" t="s">
        <v>215</v>
      </c>
      <c r="B215">
        <v>92.49</v>
      </c>
      <c r="D215" t="s">
        <v>746</v>
      </c>
      <c r="E215">
        <v>67.91</v>
      </c>
      <c r="G215" t="s">
        <v>215</v>
      </c>
      <c r="H215">
        <v>0.45700000000000002</v>
      </c>
      <c r="J215" t="s">
        <v>746</v>
      </c>
      <c r="K215">
        <v>13.33</v>
      </c>
      <c r="M215" t="s">
        <v>746</v>
      </c>
      <c r="N215">
        <v>49.37</v>
      </c>
      <c r="P215" t="s">
        <v>228</v>
      </c>
      <c r="Q215">
        <v>9.4700000000000006</v>
      </c>
      <c r="S215" t="s">
        <v>215</v>
      </c>
      <c r="T215">
        <v>0.22900000000000001</v>
      </c>
      <c r="V215" t="s">
        <v>746</v>
      </c>
      <c r="W215">
        <v>37.32</v>
      </c>
      <c r="Y215" t="s">
        <v>746</v>
      </c>
      <c r="Z215">
        <v>2.0499999999999998</v>
      </c>
      <c r="AC215" s="4" t="s">
        <v>1120</v>
      </c>
      <c r="AD215" s="5">
        <v>16505000</v>
      </c>
      <c r="AE215" s="6" t="s">
        <v>548</v>
      </c>
      <c r="AF215" s="6" t="s">
        <v>548</v>
      </c>
      <c r="AI215" t="s">
        <v>746</v>
      </c>
      <c r="AJ215">
        <v>13.94</v>
      </c>
      <c r="AL215" t="s">
        <v>215</v>
      </c>
      <c r="AM215">
        <v>12.87</v>
      </c>
      <c r="AO215" t="s">
        <v>215</v>
      </c>
      <c r="AP215">
        <v>74.14</v>
      </c>
      <c r="AQ215">
        <v>77.89</v>
      </c>
      <c r="AS215" t="s">
        <v>215</v>
      </c>
      <c r="AT215">
        <v>8.4499999999999993</v>
      </c>
      <c r="AU215">
        <v>7.38</v>
      </c>
      <c r="AW215" t="s">
        <v>215</v>
      </c>
      <c r="AX215">
        <v>29.24</v>
      </c>
    </row>
    <row r="216" spans="1:50" x14ac:dyDescent="0.35">
      <c r="A216" t="s">
        <v>216</v>
      </c>
      <c r="B216">
        <v>86.23</v>
      </c>
      <c r="D216" t="s">
        <v>747</v>
      </c>
      <c r="E216">
        <v>58.82</v>
      </c>
      <c r="G216" t="s">
        <v>216</v>
      </c>
      <c r="H216">
        <v>0.4</v>
      </c>
      <c r="J216" t="s">
        <v>747</v>
      </c>
      <c r="K216">
        <v>12</v>
      </c>
      <c r="M216" t="s">
        <v>747</v>
      </c>
      <c r="N216">
        <v>51</v>
      </c>
      <c r="P216" t="s">
        <v>229</v>
      </c>
      <c r="Q216">
        <v>12.25</v>
      </c>
      <c r="S216" t="s">
        <v>216</v>
      </c>
      <c r="T216">
        <v>0.38600000000000001</v>
      </c>
      <c r="V216" t="s">
        <v>747</v>
      </c>
      <c r="W216">
        <v>26.02</v>
      </c>
      <c r="Y216" t="s">
        <v>747</v>
      </c>
      <c r="Z216">
        <v>2.21</v>
      </c>
      <c r="AC216" s="4" t="s">
        <v>238</v>
      </c>
      <c r="AD216" s="5">
        <v>38066090</v>
      </c>
      <c r="AE216" s="5">
        <v>20612516</v>
      </c>
      <c r="AF216" s="5">
        <v>7686138</v>
      </c>
      <c r="AI216" t="s">
        <v>747</v>
      </c>
      <c r="AJ216">
        <v>15.68</v>
      </c>
      <c r="AL216" t="s">
        <v>216</v>
      </c>
      <c r="AM216">
        <v>11.72</v>
      </c>
      <c r="AO216" t="s">
        <v>216</v>
      </c>
      <c r="AP216">
        <v>73.3</v>
      </c>
      <c r="AQ216">
        <v>76.95</v>
      </c>
      <c r="AS216" t="s">
        <v>216</v>
      </c>
      <c r="AT216">
        <v>7.88</v>
      </c>
      <c r="AU216">
        <v>6.77</v>
      </c>
      <c r="AW216" t="s">
        <v>216</v>
      </c>
      <c r="AX216">
        <v>17.170000000000002</v>
      </c>
    </row>
    <row r="217" spans="1:50" x14ac:dyDescent="0.35">
      <c r="A217" t="s">
        <v>217</v>
      </c>
      <c r="B217">
        <v>85.68</v>
      </c>
      <c r="D217" t="s">
        <v>748</v>
      </c>
      <c r="E217">
        <v>60.86</v>
      </c>
      <c r="G217" t="s">
        <v>217</v>
      </c>
      <c r="H217">
        <v>0.40699999999999997</v>
      </c>
      <c r="J217" t="s">
        <v>748</v>
      </c>
      <c r="K217">
        <v>6.67</v>
      </c>
      <c r="M217" t="s">
        <v>748</v>
      </c>
      <c r="N217">
        <v>52.17</v>
      </c>
      <c r="P217" t="s">
        <v>230</v>
      </c>
      <c r="Q217">
        <v>9.3699999999999992</v>
      </c>
      <c r="S217" t="s">
        <v>217</v>
      </c>
      <c r="T217">
        <v>0.33</v>
      </c>
      <c r="V217" t="s">
        <v>748</v>
      </c>
      <c r="W217">
        <v>35.090000000000003</v>
      </c>
      <c r="Y217" t="s">
        <v>748</v>
      </c>
      <c r="Z217">
        <v>2.0299999999999998</v>
      </c>
      <c r="AC217" s="4" t="s">
        <v>239</v>
      </c>
      <c r="AD217" s="5">
        <v>30471864</v>
      </c>
      <c r="AE217" s="5">
        <v>18827853</v>
      </c>
      <c r="AF217" s="5">
        <v>15942872</v>
      </c>
      <c r="AI217" t="s">
        <v>748</v>
      </c>
      <c r="AJ217">
        <v>18.059999999999999</v>
      </c>
      <c r="AL217" t="s">
        <v>217</v>
      </c>
      <c r="AM217">
        <v>11.49</v>
      </c>
      <c r="AO217" t="s">
        <v>217</v>
      </c>
      <c r="AP217">
        <v>72.95</v>
      </c>
      <c r="AQ217">
        <v>76.64</v>
      </c>
      <c r="AS217" t="s">
        <v>217</v>
      </c>
      <c r="AT217">
        <v>7.44</v>
      </c>
      <c r="AU217">
        <v>6.82</v>
      </c>
      <c r="AW217" t="s">
        <v>217</v>
      </c>
      <c r="AX217">
        <v>25.12</v>
      </c>
    </row>
    <row r="218" spans="1:50" x14ac:dyDescent="0.35">
      <c r="A218" t="s">
        <v>218</v>
      </c>
      <c r="B218">
        <v>87.68</v>
      </c>
      <c r="D218" t="s">
        <v>749</v>
      </c>
      <c r="E218">
        <v>66.98</v>
      </c>
      <c r="G218" t="s">
        <v>218</v>
      </c>
      <c r="H218">
        <v>0.26500000000000001</v>
      </c>
      <c r="J218" t="s">
        <v>749</v>
      </c>
      <c r="K218">
        <v>13.33</v>
      </c>
      <c r="M218" t="s">
        <v>749</v>
      </c>
      <c r="N218">
        <v>46.62</v>
      </c>
      <c r="P218" t="s">
        <v>231</v>
      </c>
      <c r="Q218">
        <v>10.34</v>
      </c>
      <c r="S218" t="s">
        <v>218</v>
      </c>
      <c r="T218">
        <v>0.32100000000000001</v>
      </c>
      <c r="V218" t="s">
        <v>749</v>
      </c>
      <c r="W218">
        <v>32.49</v>
      </c>
      <c r="Y218" t="s">
        <v>749</v>
      </c>
      <c r="Z218">
        <v>2.04</v>
      </c>
      <c r="AC218" s="4" t="s">
        <v>237</v>
      </c>
      <c r="AD218" s="5">
        <v>25141254</v>
      </c>
      <c r="AE218" s="5">
        <v>13507607</v>
      </c>
      <c r="AF218" s="5">
        <v>11673975</v>
      </c>
      <c r="AI218" t="s">
        <v>749</v>
      </c>
      <c r="AJ218">
        <v>17.510000000000002</v>
      </c>
      <c r="AL218" t="s">
        <v>218</v>
      </c>
      <c r="AM218">
        <v>14.17</v>
      </c>
      <c r="AO218" t="s">
        <v>218</v>
      </c>
      <c r="AP218">
        <v>73.02</v>
      </c>
      <c r="AQ218">
        <v>76.69</v>
      </c>
      <c r="AS218" t="s">
        <v>218</v>
      </c>
      <c r="AT218">
        <v>8.19</v>
      </c>
      <c r="AU218">
        <v>7.24</v>
      </c>
      <c r="AW218" t="s">
        <v>218</v>
      </c>
      <c r="AX218">
        <v>21.33</v>
      </c>
    </row>
    <row r="219" spans="1:50" x14ac:dyDescent="0.35">
      <c r="A219" t="s">
        <v>219</v>
      </c>
      <c r="B219">
        <v>92.49</v>
      </c>
      <c r="D219" t="s">
        <v>750</v>
      </c>
      <c r="E219">
        <v>67.73</v>
      </c>
      <c r="G219" t="s">
        <v>219</v>
      </c>
      <c r="H219">
        <v>0.23300000000000001</v>
      </c>
      <c r="J219" t="s">
        <v>750</v>
      </c>
      <c r="K219">
        <v>16</v>
      </c>
      <c r="M219" t="s">
        <v>750</v>
      </c>
      <c r="N219">
        <v>53.32</v>
      </c>
      <c r="P219" t="s">
        <v>232</v>
      </c>
      <c r="Q219">
        <v>7.92</v>
      </c>
      <c r="S219" t="s">
        <v>219</v>
      </c>
      <c r="T219">
        <v>0.29199999999999998</v>
      </c>
      <c r="V219" t="s">
        <v>750</v>
      </c>
      <c r="W219">
        <v>31.67</v>
      </c>
      <c r="Y219" t="s">
        <v>750</v>
      </c>
      <c r="Z219">
        <v>1.91</v>
      </c>
      <c r="AC219" s="4" t="s">
        <v>240</v>
      </c>
      <c r="AD219" s="5">
        <v>40073616</v>
      </c>
      <c r="AE219" s="5">
        <v>20625892</v>
      </c>
      <c r="AF219" s="5">
        <v>7546097</v>
      </c>
      <c r="AI219" t="s">
        <v>750</v>
      </c>
      <c r="AJ219">
        <v>14.45</v>
      </c>
      <c r="AL219" t="s">
        <v>219</v>
      </c>
      <c r="AM219">
        <v>9.31</v>
      </c>
      <c r="AO219" t="s">
        <v>219</v>
      </c>
      <c r="AP219">
        <v>74.55</v>
      </c>
      <c r="AQ219">
        <v>78.31</v>
      </c>
      <c r="AS219" t="s">
        <v>219</v>
      </c>
      <c r="AT219">
        <v>8.32</v>
      </c>
      <c r="AU219">
        <v>7.5</v>
      </c>
      <c r="AW219" t="s">
        <v>219</v>
      </c>
      <c r="AX219">
        <v>28.1</v>
      </c>
    </row>
    <row r="220" spans="1:50" x14ac:dyDescent="0.35">
      <c r="A220" t="s">
        <v>220</v>
      </c>
      <c r="B220">
        <v>93.83</v>
      </c>
      <c r="D220" t="s">
        <v>751</v>
      </c>
      <c r="E220">
        <v>66.319999999999993</v>
      </c>
      <c r="G220" t="s">
        <v>220</v>
      </c>
      <c r="H220">
        <v>0.22600000000000001</v>
      </c>
      <c r="J220" t="s">
        <v>751</v>
      </c>
      <c r="K220">
        <v>8.89</v>
      </c>
      <c r="M220" t="s">
        <v>751</v>
      </c>
      <c r="N220">
        <v>49.49</v>
      </c>
      <c r="P220" t="s">
        <v>233</v>
      </c>
      <c r="Q220">
        <v>5.83</v>
      </c>
      <c r="S220" t="s">
        <v>220</v>
      </c>
      <c r="T220">
        <v>0.184</v>
      </c>
      <c r="V220" t="s">
        <v>751</v>
      </c>
      <c r="W220">
        <v>41.87</v>
      </c>
      <c r="Y220" t="s">
        <v>751</v>
      </c>
      <c r="Z220">
        <v>2.0699999999999998</v>
      </c>
      <c r="AC220" s="4" t="s">
        <v>241</v>
      </c>
      <c r="AD220" s="5">
        <v>29911734</v>
      </c>
      <c r="AE220" s="5">
        <v>13135948</v>
      </c>
      <c r="AF220" s="5">
        <v>4280784</v>
      </c>
      <c r="AI220" t="s">
        <v>751</v>
      </c>
      <c r="AJ220">
        <v>14.92</v>
      </c>
      <c r="AL220" t="s">
        <v>220</v>
      </c>
      <c r="AM220">
        <v>7.24</v>
      </c>
      <c r="AO220" t="s">
        <v>220</v>
      </c>
      <c r="AP220">
        <v>75.02</v>
      </c>
      <c r="AQ220">
        <v>78.78</v>
      </c>
      <c r="AS220" t="s">
        <v>220</v>
      </c>
      <c r="AT220">
        <v>9.64</v>
      </c>
      <c r="AU220">
        <v>8.8699999999999992</v>
      </c>
      <c r="AW220" t="s">
        <v>220</v>
      </c>
      <c r="AX220">
        <v>40.76</v>
      </c>
    </row>
    <row r="221" spans="1:50" x14ac:dyDescent="0.35">
      <c r="A221" t="s">
        <v>221</v>
      </c>
      <c r="B221">
        <v>91.53</v>
      </c>
      <c r="D221" t="s">
        <v>752</v>
      </c>
      <c r="E221">
        <v>58.78</v>
      </c>
      <c r="G221" t="s">
        <v>221</v>
      </c>
      <c r="H221">
        <v>0.42499999999999999</v>
      </c>
      <c r="J221" t="s">
        <v>752</v>
      </c>
      <c r="K221">
        <v>14</v>
      </c>
      <c r="M221" t="s">
        <v>752</v>
      </c>
      <c r="N221">
        <v>46.39</v>
      </c>
      <c r="P221" t="s">
        <v>234</v>
      </c>
      <c r="Q221">
        <v>6.81</v>
      </c>
      <c r="S221" t="s">
        <v>221</v>
      </c>
      <c r="T221">
        <v>0.26400000000000001</v>
      </c>
      <c r="V221" t="s">
        <v>752</v>
      </c>
      <c r="W221">
        <v>24.05</v>
      </c>
      <c r="Y221" t="s">
        <v>752</v>
      </c>
      <c r="Z221">
        <v>2.06</v>
      </c>
      <c r="AC221" s="4" t="s">
        <v>1121</v>
      </c>
      <c r="AD221" s="5">
        <v>334104496</v>
      </c>
      <c r="AE221" s="5">
        <v>44341696</v>
      </c>
      <c r="AF221" s="5">
        <v>11293446</v>
      </c>
      <c r="AI221" t="s">
        <v>752</v>
      </c>
      <c r="AJ221">
        <v>13.65</v>
      </c>
      <c r="AL221" t="s">
        <v>221</v>
      </c>
      <c r="AM221">
        <v>6.61</v>
      </c>
      <c r="AO221" t="s">
        <v>221</v>
      </c>
      <c r="AP221">
        <v>74.239999999999995</v>
      </c>
      <c r="AQ221">
        <v>77.989999999999995</v>
      </c>
      <c r="AS221" t="s">
        <v>221</v>
      </c>
      <c r="AT221">
        <v>8.68</v>
      </c>
      <c r="AU221">
        <v>7.86</v>
      </c>
      <c r="AW221" t="s">
        <v>221</v>
      </c>
      <c r="AX221">
        <v>29.43</v>
      </c>
    </row>
    <row r="222" spans="1:50" x14ac:dyDescent="0.35">
      <c r="A222" t="s">
        <v>222</v>
      </c>
      <c r="B222">
        <v>91.17</v>
      </c>
      <c r="D222" t="s">
        <v>753</v>
      </c>
      <c r="E222">
        <v>68.56</v>
      </c>
      <c r="G222" t="s">
        <v>222</v>
      </c>
      <c r="H222">
        <v>0.24399999999999999</v>
      </c>
      <c r="J222" t="s">
        <v>753</v>
      </c>
      <c r="K222">
        <v>14</v>
      </c>
      <c r="M222" t="s">
        <v>753</v>
      </c>
      <c r="N222">
        <v>59.92</v>
      </c>
      <c r="P222" t="s">
        <v>235</v>
      </c>
      <c r="Q222">
        <v>7.76</v>
      </c>
      <c r="S222" t="s">
        <v>222</v>
      </c>
      <c r="T222">
        <v>0.26100000000000001</v>
      </c>
      <c r="V222" t="s">
        <v>753</v>
      </c>
      <c r="W222">
        <v>38.32</v>
      </c>
      <c r="Y222" t="s">
        <v>753</v>
      </c>
      <c r="Z222">
        <v>2.09</v>
      </c>
      <c r="AC222" s="4" t="s">
        <v>268</v>
      </c>
      <c r="AD222" s="5">
        <v>163262288</v>
      </c>
      <c r="AE222" s="5">
        <v>61501369</v>
      </c>
      <c r="AF222" s="5">
        <v>24595572</v>
      </c>
      <c r="AI222" t="s">
        <v>753</v>
      </c>
      <c r="AJ222">
        <v>14.39</v>
      </c>
      <c r="AL222" t="s">
        <v>222</v>
      </c>
      <c r="AM222">
        <v>12.01</v>
      </c>
      <c r="AO222" t="s">
        <v>222</v>
      </c>
      <c r="AP222">
        <v>73.77</v>
      </c>
      <c r="AQ222">
        <v>77.48</v>
      </c>
      <c r="AS222" t="s">
        <v>222</v>
      </c>
      <c r="AT222">
        <v>8.7899999999999991</v>
      </c>
      <c r="AU222">
        <v>7.78</v>
      </c>
      <c r="AW222" t="s">
        <v>222</v>
      </c>
      <c r="AX222">
        <v>30.61</v>
      </c>
    </row>
    <row r="223" spans="1:50" x14ac:dyDescent="0.35">
      <c r="A223" t="s">
        <v>223</v>
      </c>
      <c r="B223">
        <v>96.64</v>
      </c>
      <c r="D223" t="s">
        <v>754</v>
      </c>
      <c r="E223">
        <v>77.86</v>
      </c>
      <c r="G223" t="s">
        <v>223</v>
      </c>
      <c r="H223">
        <v>0.41599999999999998</v>
      </c>
      <c r="J223" t="s">
        <v>754</v>
      </c>
      <c r="K223">
        <v>20</v>
      </c>
      <c r="M223" t="s">
        <v>754</v>
      </c>
      <c r="N223">
        <v>52.26</v>
      </c>
      <c r="P223" t="s">
        <v>236</v>
      </c>
      <c r="Q223">
        <v>7.16</v>
      </c>
      <c r="S223" t="s">
        <v>223</v>
      </c>
      <c r="T223">
        <v>0.249</v>
      </c>
      <c r="V223" t="s">
        <v>754</v>
      </c>
      <c r="W223">
        <v>47.36</v>
      </c>
      <c r="Y223" t="s">
        <v>754</v>
      </c>
      <c r="Z223">
        <v>2.0099999999999998</v>
      </c>
      <c r="AC223" s="4" t="s">
        <v>252</v>
      </c>
      <c r="AD223" s="5">
        <v>43584790</v>
      </c>
      <c r="AE223" s="5">
        <v>59057001</v>
      </c>
      <c r="AF223" s="5">
        <v>53482389</v>
      </c>
      <c r="AI223" t="s">
        <v>754</v>
      </c>
      <c r="AJ223">
        <v>15.18</v>
      </c>
      <c r="AL223" t="s">
        <v>223</v>
      </c>
      <c r="AM223">
        <v>7.17</v>
      </c>
      <c r="AO223" t="s">
        <v>223</v>
      </c>
      <c r="AP223">
        <v>74.12</v>
      </c>
      <c r="AQ223">
        <v>77.86</v>
      </c>
      <c r="AS223" t="s">
        <v>223</v>
      </c>
      <c r="AT223">
        <v>8.49</v>
      </c>
      <c r="AU223">
        <v>7.83</v>
      </c>
      <c r="AW223" t="s">
        <v>223</v>
      </c>
      <c r="AX223">
        <v>30.14</v>
      </c>
    </row>
    <row r="224" spans="1:50" x14ac:dyDescent="0.35">
      <c r="A224" t="s">
        <v>224</v>
      </c>
      <c r="B224">
        <v>96.19</v>
      </c>
      <c r="D224" t="s">
        <v>755</v>
      </c>
      <c r="E224">
        <v>84.38</v>
      </c>
      <c r="G224" t="s">
        <v>224</v>
      </c>
      <c r="H224">
        <v>0.192</v>
      </c>
      <c r="J224" t="s">
        <v>755</v>
      </c>
      <c r="K224">
        <v>31.11</v>
      </c>
      <c r="M224" t="s">
        <v>755</v>
      </c>
      <c r="N224">
        <v>50.16</v>
      </c>
      <c r="P224" t="s">
        <v>237</v>
      </c>
      <c r="Q224">
        <v>13.44</v>
      </c>
      <c r="S224" t="s">
        <v>224</v>
      </c>
      <c r="T224">
        <v>0.35899999999999999</v>
      </c>
      <c r="V224" t="s">
        <v>755</v>
      </c>
      <c r="W224">
        <v>41.76</v>
      </c>
      <c r="Y224" t="s">
        <v>755</v>
      </c>
      <c r="Z224">
        <v>2.09</v>
      </c>
      <c r="AC224" s="4" t="s">
        <v>247</v>
      </c>
      <c r="AD224" s="5">
        <v>33430584</v>
      </c>
      <c r="AE224" s="5">
        <v>24535634</v>
      </c>
      <c r="AF224" s="5">
        <v>31533748</v>
      </c>
      <c r="AI224" t="s">
        <v>755</v>
      </c>
      <c r="AJ224">
        <v>15.57</v>
      </c>
      <c r="AL224" t="s">
        <v>224</v>
      </c>
      <c r="AM224">
        <v>9.26</v>
      </c>
      <c r="AO224" t="s">
        <v>224</v>
      </c>
      <c r="AP224">
        <v>73.95</v>
      </c>
      <c r="AQ224">
        <v>77.69</v>
      </c>
      <c r="AS224" t="s">
        <v>224</v>
      </c>
      <c r="AT224">
        <v>7.57</v>
      </c>
      <c r="AU224">
        <v>7.46</v>
      </c>
      <c r="AW224" t="s">
        <v>224</v>
      </c>
      <c r="AX224">
        <v>22.73</v>
      </c>
    </row>
    <row r="225" spans="1:50" x14ac:dyDescent="0.35">
      <c r="A225" t="s">
        <v>225</v>
      </c>
      <c r="B225">
        <v>94.29</v>
      </c>
      <c r="D225" t="s">
        <v>756</v>
      </c>
      <c r="E225">
        <v>77.58</v>
      </c>
      <c r="G225" t="s">
        <v>225</v>
      </c>
      <c r="H225">
        <v>0.22900000000000001</v>
      </c>
      <c r="J225" t="s">
        <v>756</v>
      </c>
      <c r="K225">
        <v>24.44</v>
      </c>
      <c r="M225" t="s">
        <v>756</v>
      </c>
      <c r="N225">
        <v>52.99</v>
      </c>
      <c r="P225" t="s">
        <v>238</v>
      </c>
      <c r="Q225">
        <v>9.75</v>
      </c>
      <c r="S225" t="s">
        <v>225</v>
      </c>
      <c r="T225">
        <v>0.21099999999999999</v>
      </c>
      <c r="V225" t="s">
        <v>756</v>
      </c>
      <c r="W225">
        <v>34.54</v>
      </c>
      <c r="Y225" t="s">
        <v>756</v>
      </c>
      <c r="Z225">
        <v>2.0299999999999998</v>
      </c>
      <c r="AC225" s="4" t="s">
        <v>264</v>
      </c>
      <c r="AD225" s="5">
        <v>30697643</v>
      </c>
      <c r="AE225" s="5">
        <v>42575793</v>
      </c>
      <c r="AF225" s="5">
        <v>7381367</v>
      </c>
      <c r="AI225" t="s">
        <v>756</v>
      </c>
      <c r="AJ225">
        <v>15.68</v>
      </c>
      <c r="AL225" t="s">
        <v>225</v>
      </c>
      <c r="AM225">
        <v>9.39</v>
      </c>
      <c r="AO225" t="s">
        <v>225</v>
      </c>
      <c r="AP225">
        <v>72.84</v>
      </c>
      <c r="AQ225">
        <v>76.510000000000005</v>
      </c>
      <c r="AS225" t="s">
        <v>225</v>
      </c>
      <c r="AT225">
        <v>8.14</v>
      </c>
      <c r="AU225">
        <v>7.34</v>
      </c>
      <c r="AW225" t="s">
        <v>225</v>
      </c>
      <c r="AX225">
        <v>24.8</v>
      </c>
    </row>
    <row r="226" spans="1:50" x14ac:dyDescent="0.35">
      <c r="A226" t="s">
        <v>226</v>
      </c>
      <c r="B226">
        <v>92.48</v>
      </c>
      <c r="D226" t="s">
        <v>757</v>
      </c>
      <c r="E226">
        <v>65.63</v>
      </c>
      <c r="G226" t="s">
        <v>226</v>
      </c>
      <c r="H226">
        <v>0.39700000000000002</v>
      </c>
      <c r="J226" t="s">
        <v>757</v>
      </c>
      <c r="K226">
        <v>17.78</v>
      </c>
      <c r="M226" t="s">
        <v>757</v>
      </c>
      <c r="N226">
        <v>59.02</v>
      </c>
      <c r="P226" t="s">
        <v>239</v>
      </c>
      <c r="Q226">
        <v>14.67</v>
      </c>
      <c r="S226" t="s">
        <v>226</v>
      </c>
      <c r="T226">
        <v>0.35699999999999998</v>
      </c>
      <c r="V226" t="s">
        <v>757</v>
      </c>
      <c r="W226">
        <v>28.36</v>
      </c>
      <c r="Y226" t="s">
        <v>757</v>
      </c>
      <c r="Z226">
        <v>2.15</v>
      </c>
      <c r="AC226" s="4" t="s">
        <v>253</v>
      </c>
      <c r="AD226" s="5">
        <v>117992493</v>
      </c>
      <c r="AE226" s="5">
        <v>71309657</v>
      </c>
      <c r="AF226" s="5">
        <v>53533827</v>
      </c>
      <c r="AI226" t="s">
        <v>757</v>
      </c>
      <c r="AJ226">
        <v>13.56</v>
      </c>
      <c r="AL226" t="s">
        <v>226</v>
      </c>
      <c r="AM226">
        <v>8.92</v>
      </c>
      <c r="AO226" t="s">
        <v>226</v>
      </c>
      <c r="AP226">
        <v>73.12</v>
      </c>
      <c r="AQ226">
        <v>76.77</v>
      </c>
      <c r="AS226" t="s">
        <v>226</v>
      </c>
      <c r="AT226">
        <v>7.56</v>
      </c>
      <c r="AU226">
        <v>6.77</v>
      </c>
      <c r="AW226" t="s">
        <v>226</v>
      </c>
      <c r="AX226">
        <v>18.940000000000001</v>
      </c>
    </row>
    <row r="227" spans="1:50" x14ac:dyDescent="0.35">
      <c r="A227" t="s">
        <v>227</v>
      </c>
      <c r="B227">
        <v>92.83</v>
      </c>
      <c r="D227" t="s">
        <v>758</v>
      </c>
      <c r="E227">
        <v>69.78</v>
      </c>
      <c r="G227" t="s">
        <v>227</v>
      </c>
      <c r="H227">
        <v>0.35099999999999998</v>
      </c>
      <c r="J227" t="s">
        <v>758</v>
      </c>
      <c r="K227">
        <v>25</v>
      </c>
      <c r="M227" t="s">
        <v>758</v>
      </c>
      <c r="N227">
        <v>54.99</v>
      </c>
      <c r="P227" t="s">
        <v>240</v>
      </c>
      <c r="Q227">
        <v>6.64</v>
      </c>
      <c r="S227" t="s">
        <v>227</v>
      </c>
      <c r="T227">
        <v>0.27700000000000002</v>
      </c>
      <c r="V227" t="s">
        <v>758</v>
      </c>
      <c r="W227">
        <v>25.82</v>
      </c>
      <c r="Y227" t="s">
        <v>758</v>
      </c>
      <c r="Z227">
        <v>2.25</v>
      </c>
      <c r="AC227" s="4" t="s">
        <v>267</v>
      </c>
      <c r="AD227" s="5">
        <v>34259467</v>
      </c>
      <c r="AE227" s="5">
        <v>21489447</v>
      </c>
      <c r="AF227" s="5">
        <v>9814678</v>
      </c>
      <c r="AI227" t="s">
        <v>758</v>
      </c>
      <c r="AJ227">
        <v>18.079999999999998</v>
      </c>
      <c r="AL227" t="s">
        <v>227</v>
      </c>
      <c r="AM227">
        <v>9.67</v>
      </c>
      <c r="AO227" t="s">
        <v>227</v>
      </c>
      <c r="AP227">
        <v>72.11</v>
      </c>
      <c r="AQ227">
        <v>75.84</v>
      </c>
      <c r="AS227" t="s">
        <v>227</v>
      </c>
      <c r="AT227">
        <v>7.83</v>
      </c>
      <c r="AU227">
        <v>7.15</v>
      </c>
      <c r="AW227" t="s">
        <v>227</v>
      </c>
      <c r="AX227">
        <v>22.31</v>
      </c>
    </row>
    <row r="228" spans="1:50" x14ac:dyDescent="0.35">
      <c r="A228" t="s">
        <v>228</v>
      </c>
      <c r="B228">
        <v>87.14</v>
      </c>
      <c r="D228" t="s">
        <v>759</v>
      </c>
      <c r="E228">
        <v>81.48</v>
      </c>
      <c r="G228" t="s">
        <v>228</v>
      </c>
      <c r="H228">
        <v>0.378</v>
      </c>
      <c r="J228" t="s">
        <v>759</v>
      </c>
      <c r="K228">
        <v>32</v>
      </c>
      <c r="M228" t="s">
        <v>759</v>
      </c>
      <c r="N228">
        <v>44.82</v>
      </c>
      <c r="P228" t="s">
        <v>241</v>
      </c>
      <c r="Q228">
        <v>8.74</v>
      </c>
      <c r="S228" t="s">
        <v>228</v>
      </c>
      <c r="T228">
        <v>0.34499999999999997</v>
      </c>
      <c r="V228" t="s">
        <v>759</v>
      </c>
      <c r="W228">
        <v>34.770000000000003</v>
      </c>
      <c r="Y228" t="s">
        <v>759</v>
      </c>
      <c r="Z228">
        <v>2.23</v>
      </c>
      <c r="AC228" s="4" t="s">
        <v>251</v>
      </c>
      <c r="AD228" s="5">
        <v>175647132</v>
      </c>
      <c r="AE228" s="5">
        <v>116529353</v>
      </c>
      <c r="AF228" s="5">
        <v>46743643</v>
      </c>
      <c r="AI228" t="s">
        <v>759</v>
      </c>
      <c r="AJ228">
        <v>18.61</v>
      </c>
      <c r="AL228" t="s">
        <v>228</v>
      </c>
      <c r="AM228">
        <v>15.03</v>
      </c>
      <c r="AO228" t="s">
        <v>228</v>
      </c>
      <c r="AP228">
        <v>72.09</v>
      </c>
      <c r="AQ228">
        <v>75.819999999999993</v>
      </c>
      <c r="AS228" t="s">
        <v>228</v>
      </c>
      <c r="AT228">
        <v>7.02</v>
      </c>
      <c r="AU228">
        <v>6.2</v>
      </c>
      <c r="AW228" t="s">
        <v>228</v>
      </c>
      <c r="AX228">
        <v>16.28</v>
      </c>
    </row>
    <row r="229" spans="1:50" x14ac:dyDescent="0.35">
      <c r="A229" t="s">
        <v>229</v>
      </c>
      <c r="B229">
        <v>88.64</v>
      </c>
      <c r="D229" t="s">
        <v>760</v>
      </c>
      <c r="E229">
        <v>73.430000000000007</v>
      </c>
      <c r="G229" t="s">
        <v>229</v>
      </c>
      <c r="H229">
        <v>0.184</v>
      </c>
      <c r="J229" t="s">
        <v>760</v>
      </c>
      <c r="K229">
        <v>24</v>
      </c>
      <c r="M229" t="s">
        <v>760</v>
      </c>
      <c r="N229">
        <v>56.96</v>
      </c>
      <c r="P229" t="s">
        <v>243</v>
      </c>
      <c r="Q229">
        <v>11.36</v>
      </c>
      <c r="S229" t="s">
        <v>229</v>
      </c>
      <c r="T229">
        <v>0.189</v>
      </c>
      <c r="V229" t="s">
        <v>760</v>
      </c>
      <c r="W229">
        <v>30.01</v>
      </c>
      <c r="Y229" t="s">
        <v>760</v>
      </c>
      <c r="Z229">
        <v>2.21</v>
      </c>
      <c r="AC229" s="4" t="s">
        <v>259</v>
      </c>
      <c r="AD229" s="5">
        <v>35462615</v>
      </c>
      <c r="AE229" s="5">
        <v>25104894</v>
      </c>
      <c r="AF229" s="5">
        <v>7079346</v>
      </c>
      <c r="AI229" t="s">
        <v>760</v>
      </c>
      <c r="AJ229">
        <v>18.38</v>
      </c>
      <c r="AL229" t="s">
        <v>229</v>
      </c>
      <c r="AM229">
        <v>7.3</v>
      </c>
      <c r="AO229" t="s">
        <v>229</v>
      </c>
      <c r="AP229">
        <v>70.05</v>
      </c>
      <c r="AQ229">
        <v>74.05</v>
      </c>
      <c r="AS229" t="s">
        <v>229</v>
      </c>
      <c r="AT229">
        <v>7.82</v>
      </c>
      <c r="AU229">
        <v>6.88</v>
      </c>
      <c r="AW229" t="s">
        <v>229</v>
      </c>
      <c r="AX229">
        <v>22.54</v>
      </c>
    </row>
    <row r="230" spans="1:50" x14ac:dyDescent="0.35">
      <c r="A230" t="s">
        <v>230</v>
      </c>
      <c r="B230">
        <v>87.13</v>
      </c>
      <c r="D230" t="s">
        <v>761</v>
      </c>
      <c r="E230">
        <v>62.14</v>
      </c>
      <c r="G230" t="s">
        <v>230</v>
      </c>
      <c r="H230">
        <v>0.435</v>
      </c>
      <c r="J230" t="s">
        <v>761</v>
      </c>
      <c r="K230">
        <v>16</v>
      </c>
      <c r="M230" t="s">
        <v>761</v>
      </c>
      <c r="N230">
        <v>44.99</v>
      </c>
      <c r="P230" t="s">
        <v>244</v>
      </c>
      <c r="Q230">
        <v>9.19</v>
      </c>
      <c r="S230" t="s">
        <v>230</v>
      </c>
      <c r="T230">
        <v>0.33600000000000002</v>
      </c>
      <c r="V230" t="s">
        <v>761</v>
      </c>
      <c r="W230">
        <v>25.17</v>
      </c>
      <c r="Y230" t="s">
        <v>761</v>
      </c>
      <c r="Z230">
        <v>2.12</v>
      </c>
      <c r="AC230" s="4" t="s">
        <v>248</v>
      </c>
      <c r="AD230" s="5">
        <v>41826612</v>
      </c>
      <c r="AE230" s="5">
        <v>27044447</v>
      </c>
      <c r="AF230" s="5">
        <v>15977887</v>
      </c>
      <c r="AI230" t="s">
        <v>761</v>
      </c>
      <c r="AJ230">
        <v>19.61</v>
      </c>
      <c r="AL230" t="s">
        <v>230</v>
      </c>
      <c r="AM230">
        <v>15.78</v>
      </c>
      <c r="AO230" t="s">
        <v>230</v>
      </c>
      <c r="AP230">
        <v>68.03</v>
      </c>
      <c r="AQ230">
        <v>71.98</v>
      </c>
      <c r="AS230" t="s">
        <v>230</v>
      </c>
      <c r="AT230">
        <v>6.92</v>
      </c>
      <c r="AU230">
        <v>5.9</v>
      </c>
      <c r="AW230" t="s">
        <v>230</v>
      </c>
      <c r="AX230">
        <v>18.23</v>
      </c>
    </row>
    <row r="231" spans="1:50" x14ac:dyDescent="0.35">
      <c r="A231" t="s">
        <v>231</v>
      </c>
      <c r="B231">
        <v>96.43</v>
      </c>
      <c r="D231" t="s">
        <v>762</v>
      </c>
      <c r="E231">
        <v>79.510000000000005</v>
      </c>
      <c r="G231" t="s">
        <v>231</v>
      </c>
      <c r="H231">
        <v>0.121</v>
      </c>
      <c r="J231" t="s">
        <v>762</v>
      </c>
      <c r="K231">
        <v>24</v>
      </c>
      <c r="M231" t="s">
        <v>762</v>
      </c>
      <c r="N231">
        <v>59.55</v>
      </c>
      <c r="P231" t="s">
        <v>245</v>
      </c>
      <c r="Q231">
        <v>11.83</v>
      </c>
      <c r="S231" t="s">
        <v>231</v>
      </c>
      <c r="T231">
        <v>0.108</v>
      </c>
      <c r="V231" t="s">
        <v>762</v>
      </c>
      <c r="W231">
        <v>42.42</v>
      </c>
      <c r="Y231" t="s">
        <v>762</v>
      </c>
      <c r="Z231">
        <v>1.79</v>
      </c>
      <c r="AC231" s="4" t="s">
        <v>266</v>
      </c>
      <c r="AD231" s="5">
        <v>36979986</v>
      </c>
      <c r="AE231" s="5">
        <v>28196463</v>
      </c>
      <c r="AF231" s="5">
        <v>9808280</v>
      </c>
      <c r="AI231" t="s">
        <v>762</v>
      </c>
      <c r="AJ231">
        <v>12.66</v>
      </c>
      <c r="AL231" t="s">
        <v>231</v>
      </c>
      <c r="AM231">
        <v>6.11</v>
      </c>
      <c r="AO231" t="s">
        <v>231</v>
      </c>
      <c r="AP231">
        <v>75.37</v>
      </c>
      <c r="AQ231">
        <v>79.14</v>
      </c>
      <c r="AS231" t="s">
        <v>231</v>
      </c>
      <c r="AT231">
        <v>11.43</v>
      </c>
      <c r="AU231">
        <v>11.06</v>
      </c>
      <c r="AW231" t="s">
        <v>231</v>
      </c>
      <c r="AX231">
        <v>62.91</v>
      </c>
    </row>
    <row r="232" spans="1:50" x14ac:dyDescent="0.35">
      <c r="A232" t="s">
        <v>232</v>
      </c>
      <c r="B232">
        <v>97.15</v>
      </c>
      <c r="D232" t="s">
        <v>763</v>
      </c>
      <c r="E232">
        <v>81.92</v>
      </c>
      <c r="G232" t="s">
        <v>232</v>
      </c>
      <c r="H232">
        <v>0.159</v>
      </c>
      <c r="J232" t="s">
        <v>763</v>
      </c>
      <c r="K232">
        <v>24.44</v>
      </c>
      <c r="M232" t="s">
        <v>763</v>
      </c>
      <c r="N232">
        <v>46.57</v>
      </c>
      <c r="P232" t="s">
        <v>246</v>
      </c>
      <c r="Q232">
        <v>7.68</v>
      </c>
      <c r="S232" t="s">
        <v>232</v>
      </c>
      <c r="T232">
        <v>0.17699999999999999</v>
      </c>
      <c r="V232" t="s">
        <v>763</v>
      </c>
      <c r="W232">
        <v>45.55</v>
      </c>
      <c r="Y232" t="s">
        <v>763</v>
      </c>
      <c r="Z232">
        <v>1.79</v>
      </c>
      <c r="AC232" s="4" t="s">
        <v>250</v>
      </c>
      <c r="AD232" s="5">
        <v>63751852</v>
      </c>
      <c r="AE232" s="5">
        <v>42112116</v>
      </c>
      <c r="AF232" s="5">
        <v>12252122</v>
      </c>
      <c r="AI232" t="s">
        <v>763</v>
      </c>
      <c r="AJ232">
        <v>12.51</v>
      </c>
      <c r="AL232" t="s">
        <v>232</v>
      </c>
      <c r="AM232">
        <v>8.44</v>
      </c>
      <c r="AO232" t="s">
        <v>232</v>
      </c>
      <c r="AP232">
        <v>75.77</v>
      </c>
      <c r="AQ232">
        <v>79.55</v>
      </c>
      <c r="AS232" t="s">
        <v>232</v>
      </c>
      <c r="AT232">
        <v>11.45</v>
      </c>
      <c r="AU232">
        <v>10.81</v>
      </c>
      <c r="AW232" t="s">
        <v>232</v>
      </c>
      <c r="AX232">
        <v>60.13</v>
      </c>
    </row>
    <row r="233" spans="1:50" x14ac:dyDescent="0.35">
      <c r="A233" t="s">
        <v>233</v>
      </c>
      <c r="B233">
        <v>95.45</v>
      </c>
      <c r="D233" t="s">
        <v>764</v>
      </c>
      <c r="E233">
        <v>79.48</v>
      </c>
      <c r="G233" t="s">
        <v>233</v>
      </c>
      <c r="H233">
        <v>0.14299999999999999</v>
      </c>
      <c r="J233" t="s">
        <v>764</v>
      </c>
      <c r="K233">
        <v>24</v>
      </c>
      <c r="M233" t="s">
        <v>764</v>
      </c>
      <c r="N233">
        <v>54.89</v>
      </c>
      <c r="P233" t="s">
        <v>247</v>
      </c>
      <c r="Q233">
        <v>10.91</v>
      </c>
      <c r="S233" t="s">
        <v>233</v>
      </c>
      <c r="T233">
        <v>0.14499999999999999</v>
      </c>
      <c r="V233" t="s">
        <v>764</v>
      </c>
      <c r="W233">
        <v>41.65</v>
      </c>
      <c r="Y233" t="s">
        <v>764</v>
      </c>
      <c r="Z233">
        <v>2.06</v>
      </c>
      <c r="AC233" s="4" t="s">
        <v>261</v>
      </c>
      <c r="AD233" s="5">
        <v>24745285</v>
      </c>
      <c r="AE233" s="5">
        <v>39258445</v>
      </c>
      <c r="AF233" s="5">
        <v>11116947</v>
      </c>
      <c r="AI233" t="s">
        <v>764</v>
      </c>
      <c r="AJ233">
        <v>12.57</v>
      </c>
      <c r="AL233" t="s">
        <v>233</v>
      </c>
      <c r="AM233">
        <v>4.66</v>
      </c>
      <c r="AO233" t="s">
        <v>233</v>
      </c>
      <c r="AP233">
        <v>76.069999999999993</v>
      </c>
      <c r="AQ233">
        <v>79.849999999999994</v>
      </c>
      <c r="AS233" t="s">
        <v>233</v>
      </c>
      <c r="AT233">
        <v>11.67</v>
      </c>
      <c r="AU233">
        <v>10.94</v>
      </c>
      <c r="AW233" t="s">
        <v>233</v>
      </c>
      <c r="AX233">
        <v>60.57</v>
      </c>
    </row>
    <row r="234" spans="1:50" x14ac:dyDescent="0.35">
      <c r="A234" t="s">
        <v>234</v>
      </c>
      <c r="B234">
        <v>95.96</v>
      </c>
      <c r="D234" t="s">
        <v>765</v>
      </c>
      <c r="E234">
        <v>73.86</v>
      </c>
      <c r="G234" t="s">
        <v>234</v>
      </c>
      <c r="H234">
        <v>0.16800000000000001</v>
      </c>
      <c r="J234" t="s">
        <v>765</v>
      </c>
      <c r="K234">
        <v>18</v>
      </c>
      <c r="M234" t="s">
        <v>765</v>
      </c>
      <c r="N234">
        <v>48.76</v>
      </c>
      <c r="P234" t="s">
        <v>248</v>
      </c>
      <c r="Q234">
        <v>8.3699999999999992</v>
      </c>
      <c r="S234" t="s">
        <v>234</v>
      </c>
      <c r="T234">
        <v>0.15</v>
      </c>
      <c r="V234" t="s">
        <v>765</v>
      </c>
      <c r="W234">
        <v>37.93</v>
      </c>
      <c r="Y234" t="s">
        <v>765</v>
      </c>
      <c r="Z234">
        <v>1.79</v>
      </c>
      <c r="AC234" s="4" t="s">
        <v>262</v>
      </c>
      <c r="AD234" s="5">
        <v>27440729</v>
      </c>
      <c r="AE234" s="5">
        <v>20548436</v>
      </c>
      <c r="AF234" s="5">
        <v>9032097</v>
      </c>
      <c r="AI234" t="s">
        <v>765</v>
      </c>
      <c r="AJ234">
        <v>12.27</v>
      </c>
      <c r="AL234" t="s">
        <v>234</v>
      </c>
      <c r="AM234">
        <v>4.2300000000000004</v>
      </c>
      <c r="AO234" t="s">
        <v>234</v>
      </c>
      <c r="AP234">
        <v>76.040000000000006</v>
      </c>
      <c r="AQ234">
        <v>79.83</v>
      </c>
      <c r="AS234" t="s">
        <v>234</v>
      </c>
      <c r="AT234">
        <v>11.54</v>
      </c>
      <c r="AU234">
        <v>10.47</v>
      </c>
      <c r="AW234" t="s">
        <v>234</v>
      </c>
      <c r="AX234">
        <v>56.72</v>
      </c>
    </row>
    <row r="235" spans="1:50" x14ac:dyDescent="0.35">
      <c r="A235" t="s">
        <v>235</v>
      </c>
      <c r="B235">
        <v>95.65</v>
      </c>
      <c r="D235" t="s">
        <v>766</v>
      </c>
      <c r="E235">
        <v>65.31</v>
      </c>
      <c r="G235" t="s">
        <v>235</v>
      </c>
      <c r="H235">
        <v>0.17599999999999999</v>
      </c>
      <c r="J235" t="s">
        <v>766</v>
      </c>
      <c r="K235">
        <v>14.71</v>
      </c>
      <c r="M235" t="s">
        <v>766</v>
      </c>
      <c r="N235">
        <v>53.17</v>
      </c>
      <c r="P235" t="s">
        <v>249</v>
      </c>
      <c r="Q235">
        <v>8.4700000000000006</v>
      </c>
      <c r="S235" t="s">
        <v>235</v>
      </c>
      <c r="T235">
        <v>0.15</v>
      </c>
      <c r="V235" t="s">
        <v>766</v>
      </c>
      <c r="W235">
        <v>28.56</v>
      </c>
      <c r="Y235" t="s">
        <v>766</v>
      </c>
      <c r="Z235">
        <v>2.25</v>
      </c>
      <c r="AC235" s="4" t="s">
        <v>249</v>
      </c>
      <c r="AD235" s="5">
        <v>62103700</v>
      </c>
      <c r="AE235" s="5">
        <v>38855367</v>
      </c>
      <c r="AF235" s="5">
        <v>27848747</v>
      </c>
      <c r="AI235" t="s">
        <v>766</v>
      </c>
      <c r="AJ235">
        <v>16.98</v>
      </c>
      <c r="AL235" t="s">
        <v>235</v>
      </c>
      <c r="AM235">
        <v>6.81</v>
      </c>
      <c r="AO235" t="s">
        <v>235</v>
      </c>
      <c r="AP235">
        <v>72.86</v>
      </c>
      <c r="AQ235">
        <v>76.53</v>
      </c>
      <c r="AS235" t="s">
        <v>235</v>
      </c>
      <c r="AT235">
        <v>9.4600000000000009</v>
      </c>
      <c r="AU235">
        <v>9.2100000000000009</v>
      </c>
      <c r="AW235" t="s">
        <v>235</v>
      </c>
      <c r="AX235">
        <v>39.6</v>
      </c>
    </row>
    <row r="236" spans="1:50" x14ac:dyDescent="0.35">
      <c r="A236" t="s">
        <v>236</v>
      </c>
      <c r="B236">
        <v>93.64</v>
      </c>
      <c r="D236" t="s">
        <v>767</v>
      </c>
      <c r="E236">
        <v>65.31</v>
      </c>
      <c r="G236" t="s">
        <v>236</v>
      </c>
      <c r="H236">
        <v>0.29399999999999998</v>
      </c>
      <c r="J236" t="s">
        <v>767</v>
      </c>
      <c r="K236">
        <v>13.33</v>
      </c>
      <c r="M236" t="s">
        <v>767</v>
      </c>
      <c r="N236">
        <v>49.8</v>
      </c>
      <c r="P236" t="s">
        <v>250</v>
      </c>
      <c r="Q236">
        <v>8.77</v>
      </c>
      <c r="S236" t="s">
        <v>236</v>
      </c>
      <c r="T236">
        <v>9.6000000000000002E-2</v>
      </c>
      <c r="V236" t="s">
        <v>767</v>
      </c>
      <c r="W236">
        <v>30.73</v>
      </c>
      <c r="Y236" t="s">
        <v>767</v>
      </c>
      <c r="Z236">
        <v>2.2200000000000002</v>
      </c>
      <c r="AC236" s="4" t="s">
        <v>258</v>
      </c>
      <c r="AD236" s="5">
        <v>31742072</v>
      </c>
      <c r="AE236" s="5">
        <v>21172222</v>
      </c>
      <c r="AF236" s="5">
        <v>11186690</v>
      </c>
      <c r="AI236" t="s">
        <v>767</v>
      </c>
      <c r="AJ236">
        <v>13.78</v>
      </c>
      <c r="AL236" t="s">
        <v>236</v>
      </c>
      <c r="AM236">
        <v>7.68</v>
      </c>
      <c r="AO236" t="s">
        <v>236</v>
      </c>
      <c r="AP236">
        <v>72.900000000000006</v>
      </c>
      <c r="AQ236">
        <v>76.569999999999993</v>
      </c>
      <c r="AS236" t="s">
        <v>236</v>
      </c>
      <c r="AT236">
        <v>9.5299999999999994</v>
      </c>
      <c r="AU236">
        <v>8.83</v>
      </c>
      <c r="AW236" t="s">
        <v>236</v>
      </c>
      <c r="AX236">
        <v>48.97</v>
      </c>
    </row>
    <row r="237" spans="1:50" x14ac:dyDescent="0.35">
      <c r="A237" t="s">
        <v>768</v>
      </c>
      <c r="B237">
        <v>94.93</v>
      </c>
      <c r="D237" t="s">
        <v>768</v>
      </c>
      <c r="E237">
        <v>78.459999999999994</v>
      </c>
      <c r="G237" t="s">
        <v>768</v>
      </c>
      <c r="H237">
        <v>0.14199999999999999</v>
      </c>
      <c r="J237" t="s">
        <v>768</v>
      </c>
      <c r="K237">
        <v>21.82</v>
      </c>
      <c r="M237" t="s">
        <v>768</v>
      </c>
      <c r="N237">
        <v>53.4</v>
      </c>
      <c r="P237" t="s">
        <v>251</v>
      </c>
      <c r="Q237">
        <v>10.38</v>
      </c>
      <c r="S237" t="s">
        <v>768</v>
      </c>
      <c r="T237">
        <v>0.13</v>
      </c>
      <c r="V237" t="s">
        <v>768</v>
      </c>
      <c r="W237">
        <v>41.3</v>
      </c>
      <c r="Y237" t="s">
        <v>768</v>
      </c>
      <c r="Z237">
        <v>1.89</v>
      </c>
      <c r="AC237" s="4" t="s">
        <v>260</v>
      </c>
      <c r="AD237" s="5">
        <v>35131977</v>
      </c>
      <c r="AE237" s="5">
        <v>45067063</v>
      </c>
      <c r="AF237" s="5">
        <v>13186466</v>
      </c>
      <c r="AI237" t="s">
        <v>768</v>
      </c>
      <c r="AJ237">
        <v>12.62</v>
      </c>
      <c r="AL237" t="s">
        <v>1166</v>
      </c>
      <c r="AM237">
        <v>11.04</v>
      </c>
      <c r="AO237" t="s">
        <v>1166</v>
      </c>
      <c r="AP237">
        <v>73.400000000000006</v>
      </c>
      <c r="AQ237">
        <v>77.03</v>
      </c>
      <c r="AS237" t="s">
        <v>1166</v>
      </c>
      <c r="AT237">
        <v>10.16</v>
      </c>
      <c r="AU237">
        <v>9.51</v>
      </c>
      <c r="AW237" t="s">
        <v>1166</v>
      </c>
      <c r="AX237">
        <v>47.62</v>
      </c>
    </row>
    <row r="238" spans="1:50" x14ac:dyDescent="0.35">
      <c r="A238" t="s">
        <v>237</v>
      </c>
      <c r="B238">
        <v>95.27</v>
      </c>
      <c r="D238" t="s">
        <v>769</v>
      </c>
      <c r="E238">
        <v>71.680000000000007</v>
      </c>
      <c r="G238" t="s">
        <v>237</v>
      </c>
      <c r="H238">
        <v>0.129</v>
      </c>
      <c r="J238" t="s">
        <v>769</v>
      </c>
      <c r="K238">
        <v>20</v>
      </c>
      <c r="M238" t="s">
        <v>769</v>
      </c>
      <c r="N238">
        <v>55.75</v>
      </c>
      <c r="P238" t="s">
        <v>252</v>
      </c>
      <c r="Q238">
        <v>9.07</v>
      </c>
      <c r="S238" t="s">
        <v>237</v>
      </c>
      <c r="T238">
        <v>9.6000000000000002E-2</v>
      </c>
      <c r="V238" t="s">
        <v>769</v>
      </c>
      <c r="W238">
        <v>34.49</v>
      </c>
      <c r="Y238" t="s">
        <v>769</v>
      </c>
      <c r="Z238">
        <v>2.02</v>
      </c>
      <c r="AC238" s="4" t="s">
        <v>263</v>
      </c>
      <c r="AD238" s="5">
        <v>31189999</v>
      </c>
      <c r="AE238" s="5">
        <v>23597909</v>
      </c>
      <c r="AF238" s="5">
        <v>11260594</v>
      </c>
      <c r="AI238" t="s">
        <v>769</v>
      </c>
      <c r="AJ238">
        <v>11.82</v>
      </c>
      <c r="AL238" t="s">
        <v>237</v>
      </c>
      <c r="AM238">
        <v>15.64</v>
      </c>
      <c r="AO238" t="s">
        <v>237</v>
      </c>
      <c r="AP238">
        <v>73.569999999999993</v>
      </c>
      <c r="AQ238">
        <v>77.209999999999994</v>
      </c>
      <c r="AS238" t="s">
        <v>237</v>
      </c>
      <c r="AT238">
        <v>9.4600000000000009</v>
      </c>
      <c r="AU238">
        <v>8.9</v>
      </c>
      <c r="AW238" t="s">
        <v>237</v>
      </c>
      <c r="AX238">
        <v>41.58</v>
      </c>
    </row>
    <row r="239" spans="1:50" x14ac:dyDescent="0.35">
      <c r="A239" t="s">
        <v>238</v>
      </c>
      <c r="B239">
        <v>95.54</v>
      </c>
      <c r="D239" t="s">
        <v>770</v>
      </c>
      <c r="E239">
        <v>70.349999999999994</v>
      </c>
      <c r="G239" t="s">
        <v>238</v>
      </c>
      <c r="H239">
        <v>0.151</v>
      </c>
      <c r="J239" t="s">
        <v>770</v>
      </c>
      <c r="K239">
        <v>13.33</v>
      </c>
      <c r="M239" t="s">
        <v>770</v>
      </c>
      <c r="N239">
        <v>52.23</v>
      </c>
      <c r="P239" t="s">
        <v>253</v>
      </c>
      <c r="Q239">
        <v>12.72</v>
      </c>
      <c r="S239" t="s">
        <v>238</v>
      </c>
      <c r="T239">
        <v>9.5000000000000001E-2</v>
      </c>
      <c r="V239" t="s">
        <v>770</v>
      </c>
      <c r="W239">
        <v>38.090000000000003</v>
      </c>
      <c r="Y239" t="s">
        <v>770</v>
      </c>
      <c r="Z239">
        <v>1.9</v>
      </c>
      <c r="AC239" s="4" t="s">
        <v>243</v>
      </c>
      <c r="AD239" s="5">
        <v>23930800</v>
      </c>
      <c r="AE239" s="5">
        <v>33142493</v>
      </c>
      <c r="AF239" s="5">
        <v>38254546</v>
      </c>
      <c r="AI239" t="s">
        <v>770</v>
      </c>
      <c r="AJ239">
        <v>13.96</v>
      </c>
      <c r="AL239" t="s">
        <v>238</v>
      </c>
      <c r="AM239">
        <v>11.96</v>
      </c>
      <c r="AO239" t="s">
        <v>238</v>
      </c>
      <c r="AP239">
        <v>72.13</v>
      </c>
      <c r="AQ239">
        <v>75.900000000000006</v>
      </c>
      <c r="AS239" t="s">
        <v>238</v>
      </c>
      <c r="AT239">
        <v>10.119999999999999</v>
      </c>
      <c r="AU239">
        <v>9.58</v>
      </c>
      <c r="AW239" t="s">
        <v>238</v>
      </c>
      <c r="AX239">
        <v>48.71</v>
      </c>
    </row>
    <row r="240" spans="1:50" x14ac:dyDescent="0.35">
      <c r="A240" t="s">
        <v>239</v>
      </c>
      <c r="B240">
        <v>85.93</v>
      </c>
      <c r="D240" t="s">
        <v>771</v>
      </c>
      <c r="E240">
        <v>77.3</v>
      </c>
      <c r="G240" t="s">
        <v>239</v>
      </c>
      <c r="H240">
        <v>0.183</v>
      </c>
      <c r="J240" t="s">
        <v>771</v>
      </c>
      <c r="K240">
        <v>24.44</v>
      </c>
      <c r="M240" t="s">
        <v>771</v>
      </c>
      <c r="N240">
        <v>46.92</v>
      </c>
      <c r="P240" t="s">
        <v>254</v>
      </c>
      <c r="Q240">
        <v>13.33</v>
      </c>
      <c r="S240" t="s">
        <v>239</v>
      </c>
      <c r="T240">
        <v>0.23799999999999999</v>
      </c>
      <c r="V240" t="s">
        <v>771</v>
      </c>
      <c r="W240">
        <v>39.299999999999997</v>
      </c>
      <c r="Y240" t="s">
        <v>771</v>
      </c>
      <c r="Z240">
        <v>1.96</v>
      </c>
      <c r="AC240" s="4" t="s">
        <v>270</v>
      </c>
      <c r="AD240" s="5">
        <v>120456953</v>
      </c>
      <c r="AE240" s="5">
        <v>75359081</v>
      </c>
      <c r="AF240" s="5">
        <v>12731416</v>
      </c>
      <c r="AI240" t="s">
        <v>771</v>
      </c>
      <c r="AJ240">
        <v>13.94</v>
      </c>
      <c r="AL240" t="s">
        <v>239</v>
      </c>
      <c r="AM240">
        <v>15.6</v>
      </c>
      <c r="AO240" t="s">
        <v>239</v>
      </c>
      <c r="AP240">
        <v>72.489999999999995</v>
      </c>
      <c r="AQ240">
        <v>76.19</v>
      </c>
      <c r="AS240" t="s">
        <v>239</v>
      </c>
      <c r="AT240">
        <v>7.93</v>
      </c>
      <c r="AU240">
        <v>6.9</v>
      </c>
      <c r="AW240" t="s">
        <v>239</v>
      </c>
      <c r="AX240">
        <v>22.1</v>
      </c>
    </row>
    <row r="241" spans="1:50" x14ac:dyDescent="0.35">
      <c r="A241" t="s">
        <v>240</v>
      </c>
      <c r="B241">
        <v>96.4</v>
      </c>
      <c r="D241" t="s">
        <v>772</v>
      </c>
      <c r="E241">
        <v>79.94</v>
      </c>
      <c r="G241" t="s">
        <v>240</v>
      </c>
      <c r="H241">
        <v>0.11600000000000001</v>
      </c>
      <c r="J241" t="s">
        <v>772</v>
      </c>
      <c r="K241">
        <v>26</v>
      </c>
      <c r="M241" t="s">
        <v>772</v>
      </c>
      <c r="N241">
        <v>57.25</v>
      </c>
      <c r="P241" t="s">
        <v>255</v>
      </c>
      <c r="Q241">
        <v>10.43</v>
      </c>
      <c r="S241" t="s">
        <v>240</v>
      </c>
      <c r="T241">
        <v>0.10299999999999999</v>
      </c>
      <c r="V241" t="s">
        <v>772</v>
      </c>
      <c r="W241">
        <v>38.5</v>
      </c>
      <c r="Y241" t="s">
        <v>772</v>
      </c>
      <c r="Z241">
        <v>1.87</v>
      </c>
      <c r="AC241" s="4" t="s">
        <v>256</v>
      </c>
      <c r="AD241" s="5">
        <v>80811602</v>
      </c>
      <c r="AE241" s="5">
        <v>50999871</v>
      </c>
      <c r="AF241" s="5">
        <v>13998206</v>
      </c>
      <c r="AI241" t="s">
        <v>772</v>
      </c>
      <c r="AJ241">
        <v>12.59</v>
      </c>
      <c r="AL241" t="s">
        <v>240</v>
      </c>
      <c r="AM241">
        <v>7.52</v>
      </c>
      <c r="AO241" t="s">
        <v>240</v>
      </c>
      <c r="AP241">
        <v>73.349999999999994</v>
      </c>
      <c r="AQ241">
        <v>76.989999999999995</v>
      </c>
      <c r="AS241" t="s">
        <v>240</v>
      </c>
      <c r="AT241">
        <v>11.37</v>
      </c>
      <c r="AU241">
        <v>10.72</v>
      </c>
      <c r="AW241" t="s">
        <v>240</v>
      </c>
      <c r="AX241">
        <v>60.28</v>
      </c>
    </row>
    <row r="242" spans="1:50" x14ac:dyDescent="0.35">
      <c r="A242" t="s">
        <v>241</v>
      </c>
      <c r="B242">
        <v>98.47</v>
      </c>
      <c r="D242" t="s">
        <v>773</v>
      </c>
      <c r="E242">
        <v>75.7</v>
      </c>
      <c r="G242" t="s">
        <v>241</v>
      </c>
      <c r="H242">
        <v>0.151</v>
      </c>
      <c r="J242" t="s">
        <v>773</v>
      </c>
      <c r="K242">
        <v>17.5</v>
      </c>
      <c r="M242" t="s">
        <v>773</v>
      </c>
      <c r="N242">
        <v>48.32</v>
      </c>
      <c r="P242" t="s">
        <v>256</v>
      </c>
      <c r="Q242">
        <v>9.0500000000000007</v>
      </c>
      <c r="S242" t="s">
        <v>241</v>
      </c>
      <c r="T242">
        <v>0.13</v>
      </c>
      <c r="V242" t="s">
        <v>773</v>
      </c>
      <c r="W242">
        <v>44.15</v>
      </c>
      <c r="Y242" t="s">
        <v>773</v>
      </c>
      <c r="Z242">
        <v>1.67</v>
      </c>
      <c r="AC242" s="4" t="s">
        <v>244</v>
      </c>
      <c r="AD242" s="5">
        <v>29672218</v>
      </c>
      <c r="AE242" s="5">
        <v>24000565</v>
      </c>
      <c r="AF242" s="5">
        <v>13061211</v>
      </c>
      <c r="AI242" t="s">
        <v>773</v>
      </c>
      <c r="AJ242">
        <v>11.9</v>
      </c>
      <c r="AL242" t="s">
        <v>241</v>
      </c>
      <c r="AM242">
        <v>6.49</v>
      </c>
      <c r="AO242" t="s">
        <v>241</v>
      </c>
      <c r="AP242">
        <v>73.180000000000007</v>
      </c>
      <c r="AQ242">
        <v>76.83</v>
      </c>
      <c r="AS242" t="s">
        <v>241</v>
      </c>
      <c r="AT242">
        <v>12.24</v>
      </c>
      <c r="AU242">
        <v>11.75</v>
      </c>
      <c r="AW242" t="s">
        <v>241</v>
      </c>
      <c r="AX242">
        <v>67.290000000000006</v>
      </c>
    </row>
    <row r="243" spans="1:50" x14ac:dyDescent="0.35">
      <c r="A243" t="s">
        <v>242</v>
      </c>
      <c r="B243">
        <v>92.15</v>
      </c>
      <c r="D243" t="s">
        <v>242</v>
      </c>
      <c r="E243">
        <v>74.900000000000006</v>
      </c>
      <c r="G243" t="s">
        <v>242</v>
      </c>
      <c r="H243">
        <v>0.42299999999999999</v>
      </c>
      <c r="J243" t="s">
        <v>242</v>
      </c>
      <c r="K243">
        <v>20</v>
      </c>
      <c r="M243" t="s">
        <v>242</v>
      </c>
      <c r="N243">
        <v>50.2</v>
      </c>
      <c r="P243" t="s">
        <v>257</v>
      </c>
      <c r="Q243">
        <v>4.03</v>
      </c>
      <c r="S243" t="s">
        <v>242</v>
      </c>
      <c r="T243">
        <v>0.25600000000000001</v>
      </c>
      <c r="V243" t="s">
        <v>242</v>
      </c>
      <c r="W243">
        <v>35.590000000000003</v>
      </c>
      <c r="Y243" t="s">
        <v>242</v>
      </c>
      <c r="Z243">
        <v>1.98</v>
      </c>
      <c r="AC243" s="4" t="s">
        <v>255</v>
      </c>
      <c r="AD243" s="5">
        <v>67278892</v>
      </c>
      <c r="AE243" s="5">
        <v>88752363</v>
      </c>
      <c r="AF243" s="5">
        <v>17199865</v>
      </c>
      <c r="AI243" t="s">
        <v>242</v>
      </c>
      <c r="AJ243">
        <v>15.64</v>
      </c>
      <c r="AL243" t="s">
        <v>242</v>
      </c>
      <c r="AM243">
        <v>10.35</v>
      </c>
      <c r="AO243" t="s">
        <v>242</v>
      </c>
      <c r="AP243">
        <v>70.16</v>
      </c>
      <c r="AQ243">
        <v>74.16</v>
      </c>
      <c r="AS243" t="s">
        <v>242</v>
      </c>
      <c r="AT243">
        <v>8.52</v>
      </c>
      <c r="AU243">
        <v>7.71</v>
      </c>
      <c r="AW243" t="s">
        <v>242</v>
      </c>
      <c r="AX243">
        <v>31.96</v>
      </c>
    </row>
    <row r="244" spans="1:50" x14ac:dyDescent="0.35">
      <c r="A244" t="s">
        <v>243</v>
      </c>
      <c r="B244">
        <v>86.16</v>
      </c>
      <c r="D244" t="s">
        <v>774</v>
      </c>
      <c r="E244">
        <v>73.239999999999995</v>
      </c>
      <c r="G244" t="s">
        <v>243</v>
      </c>
      <c r="H244">
        <v>0.44400000000000001</v>
      </c>
      <c r="J244" t="s">
        <v>774</v>
      </c>
      <c r="K244">
        <v>17.78</v>
      </c>
      <c r="M244" t="s">
        <v>774</v>
      </c>
      <c r="N244">
        <v>43.84</v>
      </c>
      <c r="P244" t="s">
        <v>258</v>
      </c>
      <c r="Q244">
        <v>6.61</v>
      </c>
      <c r="S244" t="s">
        <v>243</v>
      </c>
      <c r="T244">
        <v>0.28799999999999998</v>
      </c>
      <c r="V244" t="s">
        <v>774</v>
      </c>
      <c r="W244">
        <v>39.81</v>
      </c>
      <c r="Y244" t="s">
        <v>774</v>
      </c>
      <c r="Z244">
        <v>1.78</v>
      </c>
      <c r="AC244" s="4" t="s">
        <v>269</v>
      </c>
      <c r="AD244" s="5">
        <v>127644520</v>
      </c>
      <c r="AE244" s="5">
        <v>53908933</v>
      </c>
      <c r="AF244" s="5">
        <v>12953612</v>
      </c>
      <c r="AI244" t="s">
        <v>774</v>
      </c>
      <c r="AJ244">
        <v>16.75</v>
      </c>
      <c r="AL244" t="s">
        <v>243</v>
      </c>
      <c r="AM244">
        <v>13.65</v>
      </c>
      <c r="AO244" t="s">
        <v>243</v>
      </c>
      <c r="AP244">
        <v>70.89</v>
      </c>
      <c r="AQ244">
        <v>74.930000000000007</v>
      </c>
      <c r="AS244" t="s">
        <v>243</v>
      </c>
      <c r="AT244">
        <v>8.15</v>
      </c>
      <c r="AU244">
        <v>7.5</v>
      </c>
      <c r="AW244" t="s">
        <v>243</v>
      </c>
      <c r="AX244">
        <v>24.02</v>
      </c>
    </row>
    <row r="245" spans="1:50" x14ac:dyDescent="0.35">
      <c r="A245" t="s">
        <v>244</v>
      </c>
      <c r="B245">
        <v>94.4</v>
      </c>
      <c r="D245" t="s">
        <v>775</v>
      </c>
      <c r="E245">
        <v>68.52</v>
      </c>
      <c r="G245" t="s">
        <v>244</v>
      </c>
      <c r="H245">
        <v>0.35799999999999998</v>
      </c>
      <c r="J245" t="s">
        <v>775</v>
      </c>
      <c r="K245">
        <v>13.33</v>
      </c>
      <c r="M245" t="s">
        <v>775</v>
      </c>
      <c r="N245">
        <v>53.13</v>
      </c>
      <c r="P245" t="s">
        <v>259</v>
      </c>
      <c r="Q245">
        <v>8.98</v>
      </c>
      <c r="S245" t="s">
        <v>244</v>
      </c>
      <c r="T245">
        <v>0.14599999999999999</v>
      </c>
      <c r="V245" t="s">
        <v>775</v>
      </c>
      <c r="W245">
        <v>36.090000000000003</v>
      </c>
      <c r="Y245" t="s">
        <v>775</v>
      </c>
      <c r="Z245">
        <v>1.92</v>
      </c>
      <c r="AC245" s="4" t="s">
        <v>257</v>
      </c>
      <c r="AD245" s="5">
        <v>43974922</v>
      </c>
      <c r="AE245" s="5">
        <v>27112233</v>
      </c>
      <c r="AF245" s="5">
        <v>7785132</v>
      </c>
      <c r="AI245" t="s">
        <v>775</v>
      </c>
      <c r="AJ245">
        <v>14.49</v>
      </c>
      <c r="AL245" t="s">
        <v>244</v>
      </c>
      <c r="AM245">
        <v>9.5299999999999994</v>
      </c>
      <c r="AO245" t="s">
        <v>244</v>
      </c>
      <c r="AP245">
        <v>71.36</v>
      </c>
      <c r="AQ245">
        <v>75.84</v>
      </c>
      <c r="AS245" t="s">
        <v>244</v>
      </c>
      <c r="AT245">
        <v>8.1</v>
      </c>
      <c r="AU245">
        <v>7.46</v>
      </c>
      <c r="AW245" t="s">
        <v>244</v>
      </c>
      <c r="AX245">
        <v>28.38</v>
      </c>
    </row>
    <row r="246" spans="1:50" x14ac:dyDescent="0.35">
      <c r="A246" t="s">
        <v>245</v>
      </c>
      <c r="B246">
        <v>92.57</v>
      </c>
      <c r="D246" t="s">
        <v>776</v>
      </c>
      <c r="E246">
        <v>62.63</v>
      </c>
      <c r="G246" t="s">
        <v>245</v>
      </c>
      <c r="H246">
        <v>0.42499999999999999</v>
      </c>
      <c r="J246" t="s">
        <v>776</v>
      </c>
      <c r="K246">
        <v>6.67</v>
      </c>
      <c r="M246" t="s">
        <v>776</v>
      </c>
      <c r="N246">
        <v>53.87</v>
      </c>
      <c r="P246" t="s">
        <v>260</v>
      </c>
      <c r="Q246">
        <v>9.0299999999999994</v>
      </c>
      <c r="S246" t="s">
        <v>245</v>
      </c>
      <c r="T246">
        <v>0.23499999999999999</v>
      </c>
      <c r="V246" t="s">
        <v>776</v>
      </c>
      <c r="W246">
        <v>38.32</v>
      </c>
      <c r="Y246" t="s">
        <v>776</v>
      </c>
      <c r="Z246">
        <v>1.89</v>
      </c>
      <c r="AC246" s="4" t="s">
        <v>254</v>
      </c>
      <c r="AD246" s="5">
        <v>107430991</v>
      </c>
      <c r="AE246" s="5">
        <v>48409065</v>
      </c>
      <c r="AF246" s="5">
        <v>28709507</v>
      </c>
      <c r="AI246" t="s">
        <v>776</v>
      </c>
      <c r="AJ246">
        <v>13.99</v>
      </c>
      <c r="AL246" t="s">
        <v>245</v>
      </c>
      <c r="AM246">
        <v>10.63</v>
      </c>
      <c r="AO246" t="s">
        <v>245</v>
      </c>
      <c r="AP246">
        <v>72.900000000000006</v>
      </c>
      <c r="AQ246">
        <v>76.569999999999993</v>
      </c>
      <c r="AS246" t="s">
        <v>245</v>
      </c>
      <c r="AT246">
        <v>8.1999999999999993</v>
      </c>
      <c r="AU246">
        <v>7.6</v>
      </c>
      <c r="AW246" t="s">
        <v>245</v>
      </c>
      <c r="AX246">
        <v>24.3</v>
      </c>
    </row>
    <row r="247" spans="1:50" x14ac:dyDescent="0.35">
      <c r="A247" t="s">
        <v>246</v>
      </c>
      <c r="B247">
        <v>95.45</v>
      </c>
      <c r="D247" t="s">
        <v>777</v>
      </c>
      <c r="E247">
        <v>72.92</v>
      </c>
      <c r="G247" t="s">
        <v>246</v>
      </c>
      <c r="H247">
        <v>0.24399999999999999</v>
      </c>
      <c r="J247" t="s">
        <v>777</v>
      </c>
      <c r="K247">
        <v>18</v>
      </c>
      <c r="M247" t="s">
        <v>777</v>
      </c>
      <c r="N247">
        <v>56.97</v>
      </c>
      <c r="P247" t="s">
        <v>261</v>
      </c>
      <c r="Q247">
        <v>12.46</v>
      </c>
      <c r="S247" t="s">
        <v>246</v>
      </c>
      <c r="T247">
        <v>0.16700000000000001</v>
      </c>
      <c r="V247" t="s">
        <v>777</v>
      </c>
      <c r="W247">
        <v>39.79</v>
      </c>
      <c r="Y247" t="s">
        <v>777</v>
      </c>
      <c r="Z247">
        <v>1.97</v>
      </c>
      <c r="AC247" s="4" t="s">
        <v>271</v>
      </c>
      <c r="AD247" s="5">
        <v>120257368</v>
      </c>
      <c r="AE247" s="5">
        <v>51364129</v>
      </c>
      <c r="AF247" s="5">
        <v>40215302</v>
      </c>
      <c r="AI247" t="s">
        <v>777</v>
      </c>
      <c r="AJ247">
        <v>15.7</v>
      </c>
      <c r="AL247" t="s">
        <v>246</v>
      </c>
      <c r="AM247">
        <v>6.53</v>
      </c>
      <c r="AO247" t="s">
        <v>246</v>
      </c>
      <c r="AP247">
        <v>73.180000000000007</v>
      </c>
      <c r="AQ247">
        <v>76.83</v>
      </c>
      <c r="AS247" t="s">
        <v>246</v>
      </c>
      <c r="AT247">
        <v>8.94</v>
      </c>
      <c r="AU247">
        <v>8.41</v>
      </c>
      <c r="AW247" t="s">
        <v>246</v>
      </c>
      <c r="AX247">
        <v>34.270000000000003</v>
      </c>
    </row>
    <row r="248" spans="1:50" x14ac:dyDescent="0.35">
      <c r="A248" t="s">
        <v>247</v>
      </c>
      <c r="B248">
        <v>93.4</v>
      </c>
      <c r="D248" t="s">
        <v>778</v>
      </c>
      <c r="E248">
        <v>81.319999999999993</v>
      </c>
      <c r="G248" t="s">
        <v>247</v>
      </c>
      <c r="H248">
        <v>0.26</v>
      </c>
      <c r="J248" t="s">
        <v>778</v>
      </c>
      <c r="K248">
        <v>24</v>
      </c>
      <c r="M248" t="s">
        <v>778</v>
      </c>
      <c r="N248">
        <v>56.22</v>
      </c>
      <c r="P248" t="s">
        <v>262</v>
      </c>
      <c r="Q248">
        <v>9.2899999999999991</v>
      </c>
      <c r="S248" t="s">
        <v>247</v>
      </c>
      <c r="T248">
        <v>0.23300000000000001</v>
      </c>
      <c r="V248" t="s">
        <v>778</v>
      </c>
      <c r="W248">
        <v>42.53</v>
      </c>
      <c r="Y248" t="s">
        <v>778</v>
      </c>
      <c r="Z248">
        <v>2</v>
      </c>
      <c r="AC248" s="4" t="s">
        <v>245</v>
      </c>
      <c r="AD248" s="5">
        <v>26092348</v>
      </c>
      <c r="AE248" s="5">
        <v>19035049</v>
      </c>
      <c r="AF248" s="5">
        <v>27680544</v>
      </c>
      <c r="AI248" t="s">
        <v>778</v>
      </c>
      <c r="AJ248">
        <v>14.12</v>
      </c>
      <c r="AL248" t="s">
        <v>247</v>
      </c>
      <c r="AM248">
        <v>8.69</v>
      </c>
      <c r="AO248" t="s">
        <v>247</v>
      </c>
      <c r="AP248">
        <v>72.59</v>
      </c>
      <c r="AQ248">
        <v>76.28</v>
      </c>
      <c r="AS248" t="s">
        <v>247</v>
      </c>
      <c r="AT248">
        <v>7.93</v>
      </c>
      <c r="AU248">
        <v>7.69</v>
      </c>
      <c r="AW248" t="s">
        <v>247</v>
      </c>
      <c r="AX248">
        <v>27.52</v>
      </c>
    </row>
    <row r="249" spans="1:50" x14ac:dyDescent="0.35">
      <c r="A249" t="s">
        <v>248</v>
      </c>
      <c r="B249">
        <v>93.25</v>
      </c>
      <c r="D249" t="s">
        <v>779</v>
      </c>
      <c r="E249">
        <v>73.36</v>
      </c>
      <c r="G249" t="s">
        <v>248</v>
      </c>
      <c r="H249">
        <v>0.372</v>
      </c>
      <c r="J249" t="s">
        <v>779</v>
      </c>
      <c r="K249">
        <v>22.45</v>
      </c>
      <c r="M249" t="s">
        <v>779</v>
      </c>
      <c r="N249">
        <v>46.42</v>
      </c>
      <c r="P249" t="s">
        <v>263</v>
      </c>
      <c r="Q249">
        <v>12.28</v>
      </c>
      <c r="S249" t="s">
        <v>248</v>
      </c>
      <c r="T249">
        <v>0.183</v>
      </c>
      <c r="V249" t="s">
        <v>779</v>
      </c>
      <c r="W249">
        <v>31.81</v>
      </c>
      <c r="Y249" t="s">
        <v>779</v>
      </c>
      <c r="Z249">
        <v>2.13</v>
      </c>
      <c r="AC249" s="4" t="s">
        <v>265</v>
      </c>
      <c r="AD249" s="5">
        <v>33639068</v>
      </c>
      <c r="AE249" s="5">
        <v>47103454</v>
      </c>
      <c r="AF249" s="5">
        <v>8175252</v>
      </c>
      <c r="AI249" t="s">
        <v>779</v>
      </c>
      <c r="AJ249">
        <v>15.37</v>
      </c>
      <c r="AL249" t="s">
        <v>248</v>
      </c>
      <c r="AM249">
        <v>10.72</v>
      </c>
      <c r="AO249" t="s">
        <v>248</v>
      </c>
      <c r="AP249">
        <v>71.180000000000007</v>
      </c>
      <c r="AQ249">
        <v>75.47</v>
      </c>
      <c r="AS249" t="s">
        <v>248</v>
      </c>
      <c r="AT249">
        <v>8.6199999999999992</v>
      </c>
      <c r="AU249">
        <v>7.87</v>
      </c>
      <c r="AW249" t="s">
        <v>248</v>
      </c>
      <c r="AX249">
        <v>32.549999999999997</v>
      </c>
    </row>
    <row r="250" spans="1:50" x14ac:dyDescent="0.35">
      <c r="A250" t="s">
        <v>249</v>
      </c>
      <c r="B250">
        <v>88.6</v>
      </c>
      <c r="D250" t="s">
        <v>780</v>
      </c>
      <c r="E250">
        <v>76.45</v>
      </c>
      <c r="G250" t="s">
        <v>249</v>
      </c>
      <c r="H250">
        <v>0.436</v>
      </c>
      <c r="J250" t="s">
        <v>780</v>
      </c>
      <c r="K250">
        <v>22</v>
      </c>
      <c r="M250" t="s">
        <v>780</v>
      </c>
      <c r="N250">
        <v>48.25</v>
      </c>
      <c r="P250" t="s">
        <v>264</v>
      </c>
      <c r="Q250">
        <v>8.09</v>
      </c>
      <c r="S250" t="s">
        <v>249</v>
      </c>
      <c r="T250">
        <v>0.28599999999999998</v>
      </c>
      <c r="V250" t="s">
        <v>780</v>
      </c>
      <c r="W250">
        <v>35.96</v>
      </c>
      <c r="Y250" t="s">
        <v>780</v>
      </c>
      <c r="Z250">
        <v>2.1</v>
      </c>
      <c r="AC250" s="4" t="s">
        <v>246</v>
      </c>
      <c r="AD250" s="5">
        <v>35553968</v>
      </c>
      <c r="AE250" s="5">
        <v>23137261</v>
      </c>
      <c r="AF250" s="5">
        <v>20975196</v>
      </c>
      <c r="AI250" t="s">
        <v>780</v>
      </c>
      <c r="AJ250">
        <v>14.06</v>
      </c>
      <c r="AL250" t="s">
        <v>249</v>
      </c>
      <c r="AM250">
        <v>9.4499999999999993</v>
      </c>
      <c r="AO250" t="s">
        <v>249</v>
      </c>
      <c r="AP250">
        <v>71.180000000000007</v>
      </c>
      <c r="AQ250">
        <v>75.45</v>
      </c>
      <c r="AS250" t="s">
        <v>249</v>
      </c>
      <c r="AT250">
        <v>8.08</v>
      </c>
      <c r="AU250">
        <v>7.45</v>
      </c>
      <c r="AW250" t="s">
        <v>249</v>
      </c>
      <c r="AX250">
        <v>25.45</v>
      </c>
    </row>
    <row r="251" spans="1:50" x14ac:dyDescent="0.35">
      <c r="A251" t="s">
        <v>250</v>
      </c>
      <c r="B251">
        <v>89.06</v>
      </c>
      <c r="D251" t="s">
        <v>781</v>
      </c>
      <c r="E251">
        <v>59.88</v>
      </c>
      <c r="G251" t="s">
        <v>250</v>
      </c>
      <c r="H251">
        <v>0.32200000000000001</v>
      </c>
      <c r="J251" t="s">
        <v>781</v>
      </c>
      <c r="K251">
        <v>16</v>
      </c>
      <c r="M251" t="s">
        <v>781</v>
      </c>
      <c r="N251">
        <v>49.8</v>
      </c>
      <c r="P251" t="s">
        <v>265</v>
      </c>
      <c r="Q251">
        <v>6.83</v>
      </c>
      <c r="S251" t="s">
        <v>250</v>
      </c>
      <c r="T251">
        <v>0.38300000000000001</v>
      </c>
      <c r="V251" t="s">
        <v>781</v>
      </c>
      <c r="W251">
        <v>24.09</v>
      </c>
      <c r="Y251" t="s">
        <v>781</v>
      </c>
      <c r="Z251">
        <v>1.96</v>
      </c>
      <c r="AC251" s="4" t="s">
        <v>273</v>
      </c>
      <c r="AD251" s="5">
        <v>17018024</v>
      </c>
      <c r="AE251" s="5">
        <v>7816704</v>
      </c>
      <c r="AF251" s="6" t="s">
        <v>548</v>
      </c>
      <c r="AI251" t="s">
        <v>781</v>
      </c>
      <c r="AJ251">
        <v>17.53</v>
      </c>
      <c r="AL251" t="s">
        <v>250</v>
      </c>
      <c r="AM251">
        <v>8.93</v>
      </c>
      <c r="AO251" t="s">
        <v>250</v>
      </c>
      <c r="AP251">
        <v>69.03</v>
      </c>
      <c r="AQ251">
        <v>72.98</v>
      </c>
      <c r="AS251" t="s">
        <v>250</v>
      </c>
      <c r="AT251">
        <v>7.66</v>
      </c>
      <c r="AU251">
        <v>6.69</v>
      </c>
      <c r="AW251" t="s">
        <v>250</v>
      </c>
      <c r="AX251">
        <v>23.17</v>
      </c>
    </row>
    <row r="252" spans="1:50" x14ac:dyDescent="0.35">
      <c r="A252" t="s">
        <v>251</v>
      </c>
      <c r="B252">
        <v>85.52</v>
      </c>
      <c r="D252" t="s">
        <v>782</v>
      </c>
      <c r="E252">
        <v>66.97</v>
      </c>
      <c r="G252" t="s">
        <v>251</v>
      </c>
      <c r="H252">
        <v>0.40600000000000003</v>
      </c>
      <c r="J252" t="s">
        <v>782</v>
      </c>
      <c r="K252">
        <v>18</v>
      </c>
      <c r="M252" t="s">
        <v>782</v>
      </c>
      <c r="N252">
        <v>40</v>
      </c>
      <c r="P252" t="s">
        <v>266</v>
      </c>
      <c r="Q252">
        <v>5.0599999999999996</v>
      </c>
      <c r="S252" t="s">
        <v>251</v>
      </c>
      <c r="T252">
        <v>0.42399999999999999</v>
      </c>
      <c r="V252" t="s">
        <v>782</v>
      </c>
      <c r="W252">
        <v>30.84</v>
      </c>
      <c r="Y252" t="s">
        <v>782</v>
      </c>
      <c r="Z252">
        <v>2.0299999999999998</v>
      </c>
      <c r="AC252" s="4" t="s">
        <v>272</v>
      </c>
      <c r="AD252" s="5">
        <v>25673586</v>
      </c>
      <c r="AE252" s="5">
        <v>11952955</v>
      </c>
      <c r="AF252" s="5">
        <v>6766134</v>
      </c>
      <c r="AI252" t="s">
        <v>782</v>
      </c>
      <c r="AJ252">
        <v>19.28</v>
      </c>
      <c r="AL252" t="s">
        <v>251</v>
      </c>
      <c r="AM252">
        <v>9.51</v>
      </c>
      <c r="AO252" t="s">
        <v>251</v>
      </c>
      <c r="AP252">
        <v>68.11</v>
      </c>
      <c r="AQ252">
        <v>72.05</v>
      </c>
      <c r="AS252" t="s">
        <v>251</v>
      </c>
      <c r="AT252">
        <v>7.21</v>
      </c>
      <c r="AU252">
        <v>6.01</v>
      </c>
      <c r="AW252" t="s">
        <v>251</v>
      </c>
      <c r="AX252">
        <v>21.39</v>
      </c>
    </row>
    <row r="253" spans="1:50" x14ac:dyDescent="0.35">
      <c r="A253" t="s">
        <v>252</v>
      </c>
      <c r="B253">
        <v>87.5</v>
      </c>
      <c r="D253" t="s">
        <v>783</v>
      </c>
      <c r="E253">
        <v>75.010000000000005</v>
      </c>
      <c r="G253" t="s">
        <v>252</v>
      </c>
      <c r="H253">
        <v>0.23</v>
      </c>
      <c r="J253" t="s">
        <v>783</v>
      </c>
      <c r="K253">
        <v>26</v>
      </c>
      <c r="M253" t="s">
        <v>783</v>
      </c>
      <c r="N253">
        <v>49.53</v>
      </c>
      <c r="P253" t="s">
        <v>267</v>
      </c>
      <c r="Q253">
        <v>3.67</v>
      </c>
      <c r="S253" t="s">
        <v>252</v>
      </c>
      <c r="T253">
        <v>0.26100000000000001</v>
      </c>
      <c r="V253" t="s">
        <v>783</v>
      </c>
      <c r="W253">
        <v>31.15</v>
      </c>
      <c r="Y253" t="s">
        <v>783</v>
      </c>
      <c r="Z253">
        <v>2.0499999999999998</v>
      </c>
      <c r="AC253" s="4" t="s">
        <v>278</v>
      </c>
      <c r="AD253" s="5">
        <v>17226408</v>
      </c>
      <c r="AE253" s="5">
        <v>9359367</v>
      </c>
      <c r="AF253" s="6" t="s">
        <v>548</v>
      </c>
      <c r="AI253" t="s">
        <v>783</v>
      </c>
      <c r="AJ253">
        <v>19.82</v>
      </c>
      <c r="AL253" t="s">
        <v>252</v>
      </c>
      <c r="AM253">
        <v>7.34</v>
      </c>
      <c r="AO253" t="s">
        <v>252</v>
      </c>
      <c r="AP253">
        <v>69.44</v>
      </c>
      <c r="AQ253">
        <v>73.41</v>
      </c>
      <c r="AS253" t="s">
        <v>252</v>
      </c>
      <c r="AT253">
        <v>8.19</v>
      </c>
      <c r="AU253">
        <v>7.21</v>
      </c>
      <c r="AW253" t="s">
        <v>252</v>
      </c>
      <c r="AX253">
        <v>28.82</v>
      </c>
    </row>
    <row r="254" spans="1:50" x14ac:dyDescent="0.35">
      <c r="A254" t="s">
        <v>253</v>
      </c>
      <c r="B254">
        <v>91.17</v>
      </c>
      <c r="D254" t="s">
        <v>784</v>
      </c>
      <c r="E254">
        <v>64.8</v>
      </c>
      <c r="G254" t="s">
        <v>253</v>
      </c>
      <c r="H254">
        <v>0.54700000000000004</v>
      </c>
      <c r="J254" t="s">
        <v>784</v>
      </c>
      <c r="K254">
        <v>11.11</v>
      </c>
      <c r="M254" t="s">
        <v>784</v>
      </c>
      <c r="N254">
        <v>42.99</v>
      </c>
      <c r="P254" t="s">
        <v>268</v>
      </c>
      <c r="Q254">
        <v>9.19</v>
      </c>
      <c r="S254" t="s">
        <v>253</v>
      </c>
      <c r="T254">
        <v>0.47899999999999998</v>
      </c>
      <c r="V254" t="s">
        <v>784</v>
      </c>
      <c r="W254">
        <v>37.299999999999997</v>
      </c>
      <c r="Y254" t="s">
        <v>784</v>
      </c>
      <c r="Z254">
        <v>2.0499999999999998</v>
      </c>
      <c r="AC254" s="4" t="s">
        <v>274</v>
      </c>
      <c r="AD254" s="5">
        <v>31595981</v>
      </c>
      <c r="AE254" s="5">
        <v>16476642</v>
      </c>
      <c r="AF254" s="5">
        <v>13301365</v>
      </c>
      <c r="AI254" t="s">
        <v>784</v>
      </c>
      <c r="AJ254">
        <v>23.2</v>
      </c>
      <c r="AL254" t="s">
        <v>253</v>
      </c>
      <c r="AM254">
        <v>13.34</v>
      </c>
      <c r="AO254" t="s">
        <v>253</v>
      </c>
      <c r="AP254">
        <v>65.66</v>
      </c>
      <c r="AQ254">
        <v>69.64</v>
      </c>
      <c r="AS254" t="s">
        <v>253</v>
      </c>
      <c r="AT254">
        <v>6.96</v>
      </c>
      <c r="AU254">
        <v>5.72</v>
      </c>
      <c r="AW254" t="s">
        <v>253</v>
      </c>
      <c r="AX254">
        <v>20.37</v>
      </c>
    </row>
    <row r="255" spans="1:50" x14ac:dyDescent="0.35">
      <c r="A255" t="s">
        <v>254</v>
      </c>
      <c r="B255">
        <v>87.59</v>
      </c>
      <c r="D255" t="s">
        <v>785</v>
      </c>
      <c r="E255">
        <v>73.16</v>
      </c>
      <c r="G255" t="s">
        <v>254</v>
      </c>
      <c r="H255">
        <v>0.40699999999999997</v>
      </c>
      <c r="J255" t="s">
        <v>785</v>
      </c>
      <c r="K255">
        <v>28.89</v>
      </c>
      <c r="M255" t="s">
        <v>785</v>
      </c>
      <c r="N255">
        <v>45.23</v>
      </c>
      <c r="P255" t="s">
        <v>269</v>
      </c>
      <c r="Q255">
        <v>9.09</v>
      </c>
      <c r="S255" t="s">
        <v>254</v>
      </c>
      <c r="T255">
        <v>0.35399999999999998</v>
      </c>
      <c r="V255" t="s">
        <v>785</v>
      </c>
      <c r="W255">
        <v>27.63</v>
      </c>
      <c r="Y255" t="s">
        <v>785</v>
      </c>
      <c r="Z255">
        <v>2.0299999999999998</v>
      </c>
      <c r="AC255" s="4" t="s">
        <v>277</v>
      </c>
      <c r="AD255" s="5">
        <v>18140815</v>
      </c>
      <c r="AE255" s="5">
        <v>8011363</v>
      </c>
      <c r="AF255" s="5">
        <v>3220260</v>
      </c>
      <c r="AI255" t="s">
        <v>785</v>
      </c>
      <c r="AJ255">
        <v>23.18</v>
      </c>
      <c r="AL255" t="s">
        <v>254</v>
      </c>
      <c r="AM255">
        <v>11.9</v>
      </c>
      <c r="AO255" t="s">
        <v>254</v>
      </c>
      <c r="AP255">
        <v>68.010000000000005</v>
      </c>
      <c r="AQ255">
        <v>71.959999999999994</v>
      </c>
      <c r="AS255" t="s">
        <v>254</v>
      </c>
      <c r="AT255">
        <v>7.59</v>
      </c>
      <c r="AU255">
        <v>6.27</v>
      </c>
      <c r="AW255" t="s">
        <v>254</v>
      </c>
      <c r="AX255">
        <v>22.94</v>
      </c>
    </row>
    <row r="256" spans="1:50" x14ac:dyDescent="0.35">
      <c r="A256" t="s">
        <v>255</v>
      </c>
      <c r="B256">
        <v>86.34</v>
      </c>
      <c r="D256" t="s">
        <v>786</v>
      </c>
      <c r="E256">
        <v>69.25</v>
      </c>
      <c r="G256" t="s">
        <v>255</v>
      </c>
      <c r="H256">
        <v>0.47899999999999998</v>
      </c>
      <c r="J256" t="s">
        <v>786</v>
      </c>
      <c r="K256">
        <v>26</v>
      </c>
      <c r="M256" t="s">
        <v>786</v>
      </c>
      <c r="N256">
        <v>44.58</v>
      </c>
      <c r="P256" t="s">
        <v>270</v>
      </c>
      <c r="Q256">
        <v>9.43</v>
      </c>
      <c r="S256" t="s">
        <v>255</v>
      </c>
      <c r="T256">
        <v>0.48699999999999999</v>
      </c>
      <c r="V256" t="s">
        <v>786</v>
      </c>
      <c r="W256">
        <v>25.85</v>
      </c>
      <c r="Y256" t="s">
        <v>786</v>
      </c>
      <c r="Z256">
        <v>2.0299999999999998</v>
      </c>
      <c r="AC256" s="4" t="s">
        <v>276</v>
      </c>
      <c r="AD256" s="5">
        <v>19204343</v>
      </c>
      <c r="AE256" s="5">
        <v>18056945</v>
      </c>
      <c r="AF256" s="5">
        <v>2249019</v>
      </c>
      <c r="AI256" t="s">
        <v>786</v>
      </c>
      <c r="AJ256">
        <v>20.329999999999998</v>
      </c>
      <c r="AL256" t="s">
        <v>255</v>
      </c>
      <c r="AM256">
        <v>17.190000000000001</v>
      </c>
      <c r="AO256" t="s">
        <v>255</v>
      </c>
      <c r="AP256">
        <v>66.180000000000007</v>
      </c>
      <c r="AQ256">
        <v>70.16</v>
      </c>
      <c r="AS256" t="s">
        <v>255</v>
      </c>
      <c r="AT256">
        <v>6.93</v>
      </c>
      <c r="AU256">
        <v>5.72</v>
      </c>
      <c r="AW256" t="s">
        <v>255</v>
      </c>
      <c r="AX256">
        <v>17.79</v>
      </c>
    </row>
    <row r="257" spans="1:50" x14ac:dyDescent="0.35">
      <c r="A257" t="s">
        <v>256</v>
      </c>
      <c r="B257">
        <v>91.08</v>
      </c>
      <c r="D257" t="s">
        <v>787</v>
      </c>
      <c r="E257">
        <v>65.28</v>
      </c>
      <c r="G257" t="s">
        <v>256</v>
      </c>
      <c r="H257">
        <v>0.53900000000000003</v>
      </c>
      <c r="J257" t="s">
        <v>787</v>
      </c>
      <c r="K257">
        <v>10.199999999999999</v>
      </c>
      <c r="M257" t="s">
        <v>787</v>
      </c>
      <c r="N257">
        <v>55.92</v>
      </c>
      <c r="P257" t="s">
        <v>271</v>
      </c>
      <c r="Q257">
        <v>3.95</v>
      </c>
      <c r="S257" t="s">
        <v>256</v>
      </c>
      <c r="T257">
        <v>0.29099999999999998</v>
      </c>
      <c r="V257" t="s">
        <v>787</v>
      </c>
      <c r="W257">
        <v>35.89</v>
      </c>
      <c r="Y257" t="s">
        <v>787</v>
      </c>
      <c r="Z257">
        <v>1.92</v>
      </c>
      <c r="AC257" s="4" t="s">
        <v>275</v>
      </c>
      <c r="AD257" s="5">
        <v>17980766</v>
      </c>
      <c r="AE257" s="5">
        <v>19395883</v>
      </c>
      <c r="AF257" s="5">
        <v>4577507</v>
      </c>
      <c r="AI257" t="s">
        <v>787</v>
      </c>
      <c r="AJ257">
        <v>17.5</v>
      </c>
      <c r="AL257" t="s">
        <v>256</v>
      </c>
      <c r="AM257">
        <v>9.24</v>
      </c>
      <c r="AO257" t="s">
        <v>256</v>
      </c>
      <c r="AP257">
        <v>68.89</v>
      </c>
      <c r="AQ257">
        <v>72.83</v>
      </c>
      <c r="AS257" t="s">
        <v>256</v>
      </c>
      <c r="AT257">
        <v>8.1199999999999992</v>
      </c>
      <c r="AU257">
        <v>6.94</v>
      </c>
      <c r="AW257" t="s">
        <v>256</v>
      </c>
      <c r="AX257">
        <v>23.03</v>
      </c>
    </row>
    <row r="258" spans="1:50" x14ac:dyDescent="0.35">
      <c r="A258" t="s">
        <v>257</v>
      </c>
      <c r="B258">
        <v>94.72</v>
      </c>
      <c r="D258" t="s">
        <v>788</v>
      </c>
      <c r="E258">
        <v>67.53</v>
      </c>
      <c r="G258" t="s">
        <v>257</v>
      </c>
      <c r="H258">
        <v>0.17899999999999999</v>
      </c>
      <c r="J258" t="s">
        <v>788</v>
      </c>
      <c r="K258">
        <v>16</v>
      </c>
      <c r="M258" t="s">
        <v>788</v>
      </c>
      <c r="N258">
        <v>53.51</v>
      </c>
      <c r="P258" t="s">
        <v>272</v>
      </c>
      <c r="Q258">
        <v>6.6</v>
      </c>
      <c r="S258" t="s">
        <v>257</v>
      </c>
      <c r="T258">
        <v>0.14399999999999999</v>
      </c>
      <c r="V258" t="s">
        <v>788</v>
      </c>
      <c r="W258">
        <v>29.62</v>
      </c>
      <c r="Y258" t="s">
        <v>788</v>
      </c>
      <c r="Z258">
        <v>1.84</v>
      </c>
      <c r="AC258" s="4" t="s">
        <v>279</v>
      </c>
      <c r="AD258" s="5">
        <v>52241170</v>
      </c>
      <c r="AE258" s="5">
        <v>28298294</v>
      </c>
      <c r="AF258" s="6" t="s">
        <v>548</v>
      </c>
      <c r="AI258" t="s">
        <v>788</v>
      </c>
      <c r="AJ258">
        <v>13.2</v>
      </c>
      <c r="AL258" t="s">
        <v>257</v>
      </c>
      <c r="AM258">
        <v>5</v>
      </c>
      <c r="AO258" t="s">
        <v>257</v>
      </c>
      <c r="AP258">
        <v>72.930000000000007</v>
      </c>
      <c r="AQ258">
        <v>76.62</v>
      </c>
      <c r="AS258" t="s">
        <v>257</v>
      </c>
      <c r="AT258">
        <v>10.98</v>
      </c>
      <c r="AU258">
        <v>10.58</v>
      </c>
      <c r="AW258" t="s">
        <v>257</v>
      </c>
      <c r="AX258">
        <v>57.02</v>
      </c>
    </row>
    <row r="259" spans="1:50" x14ac:dyDescent="0.35">
      <c r="A259" t="s">
        <v>258</v>
      </c>
      <c r="B259">
        <v>91.63</v>
      </c>
      <c r="D259" t="s">
        <v>789</v>
      </c>
      <c r="E259">
        <v>81.25</v>
      </c>
      <c r="G259" t="s">
        <v>258</v>
      </c>
      <c r="H259">
        <v>0.34300000000000003</v>
      </c>
      <c r="J259" t="s">
        <v>789</v>
      </c>
      <c r="K259">
        <v>30</v>
      </c>
      <c r="M259" t="s">
        <v>789</v>
      </c>
      <c r="N259">
        <v>47.39</v>
      </c>
      <c r="P259" t="s">
        <v>273</v>
      </c>
      <c r="Q259">
        <v>6.11</v>
      </c>
      <c r="S259" t="s">
        <v>258</v>
      </c>
      <c r="T259">
        <v>0.214</v>
      </c>
      <c r="V259" t="s">
        <v>789</v>
      </c>
      <c r="W259">
        <v>34.86</v>
      </c>
      <c r="Y259" t="s">
        <v>789</v>
      </c>
      <c r="Z259">
        <v>1.95</v>
      </c>
      <c r="AC259" s="4" t="s">
        <v>280</v>
      </c>
      <c r="AD259" s="5">
        <v>18082770</v>
      </c>
      <c r="AE259" s="5">
        <v>10180947</v>
      </c>
      <c r="AF259" s="5">
        <v>4671482</v>
      </c>
      <c r="AI259" t="s">
        <v>789</v>
      </c>
      <c r="AJ259">
        <v>16.03</v>
      </c>
      <c r="AL259" t="s">
        <v>258</v>
      </c>
      <c r="AM259">
        <v>9.8000000000000007</v>
      </c>
      <c r="AO259" t="s">
        <v>258</v>
      </c>
      <c r="AP259">
        <v>71.17</v>
      </c>
      <c r="AQ259">
        <v>75.44</v>
      </c>
      <c r="AS259" t="s">
        <v>258</v>
      </c>
      <c r="AT259">
        <v>9.69</v>
      </c>
      <c r="AU259">
        <v>8.6</v>
      </c>
      <c r="AW259" t="s">
        <v>258</v>
      </c>
      <c r="AX259">
        <v>37.69</v>
      </c>
    </row>
    <row r="260" spans="1:50" x14ac:dyDescent="0.35">
      <c r="A260" t="s">
        <v>259</v>
      </c>
      <c r="B260">
        <v>90.65</v>
      </c>
      <c r="D260" t="s">
        <v>790</v>
      </c>
      <c r="E260">
        <v>71.319999999999993</v>
      </c>
      <c r="G260" t="s">
        <v>259</v>
      </c>
      <c r="H260">
        <v>0.26700000000000002</v>
      </c>
      <c r="J260" t="s">
        <v>790</v>
      </c>
      <c r="K260">
        <v>24</v>
      </c>
      <c r="M260" t="s">
        <v>790</v>
      </c>
      <c r="N260">
        <v>55.87</v>
      </c>
      <c r="P260" t="s">
        <v>274</v>
      </c>
      <c r="Q260">
        <v>5.04</v>
      </c>
      <c r="S260" t="s">
        <v>259</v>
      </c>
      <c r="T260">
        <v>0.20699999999999999</v>
      </c>
      <c r="V260" t="s">
        <v>790</v>
      </c>
      <c r="W260">
        <v>28.21</v>
      </c>
      <c r="Y260" t="s">
        <v>790</v>
      </c>
      <c r="Z260">
        <v>2.1</v>
      </c>
      <c r="AC260" s="4" t="s">
        <v>1122</v>
      </c>
      <c r="AD260" s="5">
        <v>204992940</v>
      </c>
      <c r="AE260" s="5">
        <v>19156268</v>
      </c>
      <c r="AF260" s="5">
        <v>46866768</v>
      </c>
      <c r="AI260" t="s">
        <v>790</v>
      </c>
      <c r="AJ260">
        <v>17.36</v>
      </c>
      <c r="AL260" t="s">
        <v>259</v>
      </c>
      <c r="AM260">
        <v>9.15</v>
      </c>
      <c r="AO260" t="s">
        <v>259</v>
      </c>
      <c r="AP260">
        <v>71.150000000000006</v>
      </c>
      <c r="AQ260">
        <v>75.400000000000006</v>
      </c>
      <c r="AS260" t="s">
        <v>259</v>
      </c>
      <c r="AT260">
        <v>9.2899999999999991</v>
      </c>
      <c r="AU260">
        <v>8.23</v>
      </c>
      <c r="AW260" t="s">
        <v>259</v>
      </c>
      <c r="AX260">
        <v>33.299999999999997</v>
      </c>
    </row>
    <row r="261" spans="1:50" x14ac:dyDescent="0.35">
      <c r="A261" t="s">
        <v>260</v>
      </c>
      <c r="B261">
        <v>94.08</v>
      </c>
      <c r="D261" t="s">
        <v>791</v>
      </c>
      <c r="E261">
        <v>72.459999999999994</v>
      </c>
      <c r="G261" t="s">
        <v>260</v>
      </c>
      <c r="H261">
        <v>0.42699999999999999</v>
      </c>
      <c r="J261" t="s">
        <v>791</v>
      </c>
      <c r="K261">
        <v>32</v>
      </c>
      <c r="M261" t="s">
        <v>791</v>
      </c>
      <c r="N261">
        <v>60.51</v>
      </c>
      <c r="P261" t="s">
        <v>275</v>
      </c>
      <c r="Q261">
        <v>5.29</v>
      </c>
      <c r="S261" t="s">
        <v>260</v>
      </c>
      <c r="T261">
        <v>0.20899999999999999</v>
      </c>
      <c r="V261" t="s">
        <v>791</v>
      </c>
      <c r="W261">
        <v>26.05</v>
      </c>
      <c r="Y261" t="s">
        <v>791</v>
      </c>
      <c r="Z261">
        <v>2.02</v>
      </c>
      <c r="AC261" s="4" t="s">
        <v>336</v>
      </c>
      <c r="AD261" s="5">
        <v>75686822</v>
      </c>
      <c r="AE261" s="5">
        <v>11759296</v>
      </c>
      <c r="AF261" s="5">
        <v>27643604</v>
      </c>
      <c r="AI261" t="s">
        <v>791</v>
      </c>
      <c r="AJ261">
        <v>17.38</v>
      </c>
      <c r="AL261" t="s">
        <v>260</v>
      </c>
      <c r="AM261">
        <v>10.89</v>
      </c>
      <c r="AO261" t="s">
        <v>260</v>
      </c>
      <c r="AP261">
        <v>70.33</v>
      </c>
      <c r="AQ261">
        <v>74.34</v>
      </c>
      <c r="AS261" t="s">
        <v>260</v>
      </c>
      <c r="AT261">
        <v>8.74</v>
      </c>
      <c r="AU261">
        <v>7.84</v>
      </c>
      <c r="AW261" t="s">
        <v>260</v>
      </c>
      <c r="AX261">
        <v>30.96</v>
      </c>
    </row>
    <row r="262" spans="1:50" x14ac:dyDescent="0.35">
      <c r="A262" t="s">
        <v>261</v>
      </c>
      <c r="B262">
        <v>92.31</v>
      </c>
      <c r="D262" t="s">
        <v>792</v>
      </c>
      <c r="E262">
        <v>71.72</v>
      </c>
      <c r="G262" t="s">
        <v>261</v>
      </c>
      <c r="H262">
        <v>0.40500000000000003</v>
      </c>
      <c r="J262" t="s">
        <v>792</v>
      </c>
      <c r="K262">
        <v>24.44</v>
      </c>
      <c r="M262" t="s">
        <v>792</v>
      </c>
      <c r="N262">
        <v>46.8</v>
      </c>
      <c r="P262" t="s">
        <v>276</v>
      </c>
      <c r="Q262">
        <v>5.96</v>
      </c>
      <c r="S262" t="s">
        <v>261</v>
      </c>
      <c r="T262">
        <v>0.13</v>
      </c>
      <c r="V262" t="s">
        <v>792</v>
      </c>
      <c r="W262">
        <v>30.01</v>
      </c>
      <c r="Y262" t="s">
        <v>792</v>
      </c>
      <c r="Z262">
        <v>2.0299999999999998</v>
      </c>
      <c r="AC262" s="4" t="s">
        <v>337</v>
      </c>
      <c r="AD262" s="5">
        <v>93492353</v>
      </c>
      <c r="AE262" s="5">
        <v>14917130</v>
      </c>
      <c r="AF262" s="5">
        <v>25727804</v>
      </c>
      <c r="AI262" t="s">
        <v>792</v>
      </c>
      <c r="AJ262">
        <v>16.75</v>
      </c>
      <c r="AL262" t="s">
        <v>261</v>
      </c>
      <c r="AM262">
        <v>11.04</v>
      </c>
      <c r="AO262" t="s">
        <v>261</v>
      </c>
      <c r="AP262">
        <v>70.319999999999993</v>
      </c>
      <c r="AQ262">
        <v>74.33</v>
      </c>
      <c r="AS262" t="s">
        <v>261</v>
      </c>
      <c r="AT262">
        <v>8.4700000000000006</v>
      </c>
      <c r="AU262">
        <v>7.54</v>
      </c>
      <c r="AW262" t="s">
        <v>261</v>
      </c>
      <c r="AX262">
        <v>27.8</v>
      </c>
    </row>
    <row r="263" spans="1:50" x14ac:dyDescent="0.35">
      <c r="A263" t="s">
        <v>262</v>
      </c>
      <c r="B263">
        <v>94.07</v>
      </c>
      <c r="D263" t="s">
        <v>793</v>
      </c>
      <c r="E263">
        <v>72.08</v>
      </c>
      <c r="G263" t="s">
        <v>262</v>
      </c>
      <c r="H263">
        <v>0.17299999999999999</v>
      </c>
      <c r="J263" t="s">
        <v>793</v>
      </c>
      <c r="K263">
        <v>15.56</v>
      </c>
      <c r="M263" t="s">
        <v>793</v>
      </c>
      <c r="N263">
        <v>52.09</v>
      </c>
      <c r="P263" t="s">
        <v>277</v>
      </c>
      <c r="Q263">
        <v>5.18</v>
      </c>
      <c r="S263" t="s">
        <v>262</v>
      </c>
      <c r="T263">
        <v>0.14399999999999999</v>
      </c>
      <c r="V263" t="s">
        <v>793</v>
      </c>
      <c r="W263">
        <v>39.869999999999997</v>
      </c>
      <c r="Y263" t="s">
        <v>793</v>
      </c>
      <c r="Z263">
        <v>1.99</v>
      </c>
      <c r="AC263" s="4" t="s">
        <v>342</v>
      </c>
      <c r="AD263" s="5">
        <v>116229017</v>
      </c>
      <c r="AE263" s="5">
        <v>18641161</v>
      </c>
      <c r="AF263" s="5">
        <v>54904066</v>
      </c>
      <c r="AI263" t="s">
        <v>793</v>
      </c>
      <c r="AJ263">
        <v>13.82</v>
      </c>
      <c r="AL263" t="s">
        <v>262</v>
      </c>
      <c r="AM263">
        <v>9.8000000000000007</v>
      </c>
      <c r="AO263" t="s">
        <v>262</v>
      </c>
      <c r="AP263">
        <v>71.19</v>
      </c>
      <c r="AQ263">
        <v>75.489999999999995</v>
      </c>
      <c r="AS263" t="s">
        <v>262</v>
      </c>
      <c r="AT263">
        <v>9.1</v>
      </c>
      <c r="AU263">
        <v>8.24</v>
      </c>
      <c r="AW263" t="s">
        <v>262</v>
      </c>
      <c r="AX263">
        <v>34.020000000000003</v>
      </c>
    </row>
    <row r="264" spans="1:50" x14ac:dyDescent="0.35">
      <c r="A264" t="s">
        <v>263</v>
      </c>
      <c r="B264">
        <v>92.89</v>
      </c>
      <c r="D264" t="s">
        <v>794</v>
      </c>
      <c r="E264">
        <v>77</v>
      </c>
      <c r="G264" t="s">
        <v>263</v>
      </c>
      <c r="H264">
        <v>0.17100000000000001</v>
      </c>
      <c r="J264" t="s">
        <v>794</v>
      </c>
      <c r="K264">
        <v>28.89</v>
      </c>
      <c r="M264" t="s">
        <v>794</v>
      </c>
      <c r="N264">
        <v>48.92</v>
      </c>
      <c r="P264" t="s">
        <v>278</v>
      </c>
      <c r="Q264">
        <v>5.84</v>
      </c>
      <c r="S264" t="s">
        <v>263</v>
      </c>
      <c r="T264">
        <v>0.2</v>
      </c>
      <c r="V264" t="s">
        <v>794</v>
      </c>
      <c r="W264">
        <v>33.43</v>
      </c>
      <c r="Y264" t="s">
        <v>794</v>
      </c>
      <c r="Z264">
        <v>1.9</v>
      </c>
      <c r="AC264" s="4" t="s">
        <v>340</v>
      </c>
      <c r="AD264" s="5">
        <v>138570555</v>
      </c>
      <c r="AE264" s="5">
        <v>46610971</v>
      </c>
      <c r="AF264" s="5">
        <v>81162710</v>
      </c>
      <c r="AI264" t="s">
        <v>794</v>
      </c>
      <c r="AJ264">
        <v>14.59</v>
      </c>
      <c r="AL264" t="s">
        <v>263</v>
      </c>
      <c r="AM264">
        <v>14.4</v>
      </c>
      <c r="AO264" t="s">
        <v>263</v>
      </c>
      <c r="AP264">
        <v>71.14</v>
      </c>
      <c r="AQ264">
        <v>75.37</v>
      </c>
      <c r="AS264" t="s">
        <v>263</v>
      </c>
      <c r="AT264">
        <v>8.34</v>
      </c>
      <c r="AU264">
        <v>7.39</v>
      </c>
      <c r="AW264" t="s">
        <v>263</v>
      </c>
      <c r="AX264">
        <v>27.61</v>
      </c>
    </row>
    <row r="265" spans="1:50" x14ac:dyDescent="0.35">
      <c r="A265" t="s">
        <v>264</v>
      </c>
      <c r="B265">
        <v>90.87</v>
      </c>
      <c r="D265" t="s">
        <v>795</v>
      </c>
      <c r="E265">
        <v>56.82</v>
      </c>
      <c r="G265" t="s">
        <v>264</v>
      </c>
      <c r="H265">
        <v>0.42299999999999999</v>
      </c>
      <c r="J265" t="s">
        <v>795</v>
      </c>
      <c r="K265">
        <v>10</v>
      </c>
      <c r="M265" t="s">
        <v>795</v>
      </c>
      <c r="N265">
        <v>43.22</v>
      </c>
      <c r="P265" t="s">
        <v>279</v>
      </c>
      <c r="Q265">
        <v>4.0599999999999996</v>
      </c>
      <c r="S265" t="s">
        <v>264</v>
      </c>
      <c r="T265">
        <v>0.309</v>
      </c>
      <c r="V265" t="s">
        <v>795</v>
      </c>
      <c r="W265">
        <v>27.59</v>
      </c>
      <c r="Y265" t="s">
        <v>795</v>
      </c>
      <c r="Z265">
        <v>1.81</v>
      </c>
      <c r="AC265" s="4" t="s">
        <v>338</v>
      </c>
      <c r="AD265" s="5">
        <v>62769327</v>
      </c>
      <c r="AE265" s="5">
        <v>26260866</v>
      </c>
      <c r="AF265" s="5">
        <v>14344486</v>
      </c>
      <c r="AI265" t="s">
        <v>795</v>
      </c>
      <c r="AJ265">
        <v>15.96</v>
      </c>
      <c r="AL265" t="s">
        <v>264</v>
      </c>
      <c r="AM265">
        <v>12.18</v>
      </c>
      <c r="AO265" t="s">
        <v>264</v>
      </c>
      <c r="AP265">
        <v>70.61</v>
      </c>
      <c r="AQ265">
        <v>74.63</v>
      </c>
      <c r="AS265" t="s">
        <v>264</v>
      </c>
      <c r="AT265">
        <v>8.0399999999999991</v>
      </c>
      <c r="AU265">
        <v>6.96</v>
      </c>
      <c r="AW265" t="s">
        <v>264</v>
      </c>
      <c r="AX265">
        <v>24.45</v>
      </c>
    </row>
    <row r="266" spans="1:50" x14ac:dyDescent="0.35">
      <c r="A266" t="s">
        <v>265</v>
      </c>
      <c r="B266">
        <v>88.52</v>
      </c>
      <c r="D266" t="s">
        <v>796</v>
      </c>
      <c r="E266">
        <v>65.05</v>
      </c>
      <c r="G266" t="s">
        <v>265</v>
      </c>
      <c r="H266">
        <v>0.35899999999999999</v>
      </c>
      <c r="J266" t="s">
        <v>796</v>
      </c>
      <c r="K266">
        <v>14</v>
      </c>
      <c r="M266" t="s">
        <v>796</v>
      </c>
      <c r="N266">
        <v>49.92</v>
      </c>
      <c r="P266" t="s">
        <v>280</v>
      </c>
      <c r="Q266">
        <v>5.09</v>
      </c>
      <c r="S266" t="s">
        <v>265</v>
      </c>
      <c r="T266">
        <v>0.25600000000000001</v>
      </c>
      <c r="V266" t="s">
        <v>796</v>
      </c>
      <c r="W266">
        <v>30.97</v>
      </c>
      <c r="Y266" t="s">
        <v>796</v>
      </c>
      <c r="Z266">
        <v>1.84</v>
      </c>
      <c r="AC266" s="4" t="s">
        <v>335</v>
      </c>
      <c r="AD266" s="5">
        <v>133066834</v>
      </c>
      <c r="AE266" s="5">
        <v>66383671</v>
      </c>
      <c r="AF266" s="5">
        <v>13540799</v>
      </c>
      <c r="AI266" t="s">
        <v>796</v>
      </c>
      <c r="AJ266">
        <v>15.76</v>
      </c>
      <c r="AL266" t="s">
        <v>265</v>
      </c>
      <c r="AM266">
        <v>14.91</v>
      </c>
      <c r="AO266" t="s">
        <v>265</v>
      </c>
      <c r="AP266">
        <v>70.400000000000006</v>
      </c>
      <c r="AQ266">
        <v>74.41</v>
      </c>
      <c r="AS266" t="s">
        <v>265</v>
      </c>
      <c r="AT266">
        <v>7.88</v>
      </c>
      <c r="AU266">
        <v>6.95</v>
      </c>
      <c r="AW266" t="s">
        <v>265</v>
      </c>
      <c r="AX266">
        <v>24.12</v>
      </c>
    </row>
    <row r="267" spans="1:50" x14ac:dyDescent="0.35">
      <c r="A267" t="s">
        <v>266</v>
      </c>
      <c r="B267">
        <v>89.84</v>
      </c>
      <c r="D267" t="s">
        <v>797</v>
      </c>
      <c r="E267">
        <v>73.150000000000006</v>
      </c>
      <c r="G267" t="s">
        <v>266</v>
      </c>
      <c r="H267">
        <v>0.33400000000000002</v>
      </c>
      <c r="J267" t="s">
        <v>797</v>
      </c>
      <c r="K267">
        <v>22</v>
      </c>
      <c r="M267" t="s">
        <v>797</v>
      </c>
      <c r="N267">
        <v>50.61</v>
      </c>
      <c r="P267" t="s">
        <v>282</v>
      </c>
      <c r="Q267">
        <v>4.6900000000000004</v>
      </c>
      <c r="S267" t="s">
        <v>266</v>
      </c>
      <c r="T267">
        <v>0.19900000000000001</v>
      </c>
      <c r="V267" t="s">
        <v>797</v>
      </c>
      <c r="W267">
        <v>33.49</v>
      </c>
      <c r="Y267" t="s">
        <v>797</v>
      </c>
      <c r="Z267">
        <v>1.9</v>
      </c>
      <c r="AC267" s="4" t="s">
        <v>339</v>
      </c>
      <c r="AD267" s="5">
        <v>102462431</v>
      </c>
      <c r="AE267" s="5">
        <v>35461736</v>
      </c>
      <c r="AF267" s="5">
        <v>25743442</v>
      </c>
      <c r="AI267" t="s">
        <v>797</v>
      </c>
      <c r="AJ267">
        <v>15.26</v>
      </c>
      <c r="AL267" t="s">
        <v>266</v>
      </c>
      <c r="AM267">
        <v>12.42</v>
      </c>
      <c r="AO267" t="s">
        <v>266</v>
      </c>
      <c r="AP267">
        <v>71.150000000000006</v>
      </c>
      <c r="AQ267">
        <v>75.39</v>
      </c>
      <c r="AS267" t="s">
        <v>266</v>
      </c>
      <c r="AT267">
        <v>8.86</v>
      </c>
      <c r="AU267">
        <v>7.89</v>
      </c>
      <c r="AW267" t="s">
        <v>266</v>
      </c>
      <c r="AX267">
        <v>30.66</v>
      </c>
    </row>
    <row r="268" spans="1:50" x14ac:dyDescent="0.35">
      <c r="A268" t="s">
        <v>267</v>
      </c>
      <c r="B268">
        <v>91.01</v>
      </c>
      <c r="D268" t="s">
        <v>798</v>
      </c>
      <c r="E268">
        <v>70.47</v>
      </c>
      <c r="G268" t="s">
        <v>267</v>
      </c>
      <c r="H268">
        <v>0.40899999999999997</v>
      </c>
      <c r="J268" t="s">
        <v>798</v>
      </c>
      <c r="K268">
        <v>18.75</v>
      </c>
      <c r="M268" t="s">
        <v>798</v>
      </c>
      <c r="N268">
        <v>52.93</v>
      </c>
      <c r="P268" t="s">
        <v>283</v>
      </c>
      <c r="Q268">
        <v>4.82</v>
      </c>
      <c r="S268" t="s">
        <v>267</v>
      </c>
      <c r="T268">
        <v>0.17100000000000001</v>
      </c>
      <c r="V268" t="s">
        <v>798</v>
      </c>
      <c r="W268">
        <v>31.45</v>
      </c>
      <c r="Y268" t="s">
        <v>798</v>
      </c>
      <c r="Z268">
        <v>1.95</v>
      </c>
      <c r="AC268" s="4" t="s">
        <v>341</v>
      </c>
      <c r="AD268" s="5">
        <v>118595211</v>
      </c>
      <c r="AE268" s="5">
        <v>36215364</v>
      </c>
      <c r="AF268" s="5">
        <v>67880690</v>
      </c>
      <c r="AI268" t="s">
        <v>798</v>
      </c>
      <c r="AJ268">
        <v>18.22</v>
      </c>
      <c r="AL268" t="s">
        <v>267</v>
      </c>
      <c r="AM268">
        <v>10.96</v>
      </c>
      <c r="AO268" t="s">
        <v>267</v>
      </c>
      <c r="AP268">
        <v>71.2</v>
      </c>
      <c r="AQ268">
        <v>75.5</v>
      </c>
      <c r="AS268" t="s">
        <v>267</v>
      </c>
      <c r="AT268">
        <v>10.33</v>
      </c>
      <c r="AU268">
        <v>9.7200000000000006</v>
      </c>
      <c r="AW268" t="s">
        <v>267</v>
      </c>
      <c r="AX268">
        <v>50.24</v>
      </c>
    </row>
    <row r="269" spans="1:50" x14ac:dyDescent="0.35">
      <c r="A269" t="s">
        <v>268</v>
      </c>
      <c r="B269">
        <v>87.56</v>
      </c>
      <c r="D269" t="s">
        <v>799</v>
      </c>
      <c r="E269">
        <v>62.34</v>
      </c>
      <c r="G269" t="s">
        <v>268</v>
      </c>
      <c r="H269">
        <v>0.61499999999999999</v>
      </c>
      <c r="J269" t="s">
        <v>799</v>
      </c>
      <c r="K269">
        <v>8</v>
      </c>
      <c r="M269" t="s">
        <v>799</v>
      </c>
      <c r="N269">
        <v>48.68</v>
      </c>
      <c r="P269" t="s">
        <v>284</v>
      </c>
      <c r="Q269">
        <v>2.59</v>
      </c>
      <c r="S269" t="s">
        <v>268</v>
      </c>
      <c r="T269">
        <v>0.28599999999999998</v>
      </c>
      <c r="V269" t="s">
        <v>799</v>
      </c>
      <c r="W269">
        <v>36.880000000000003</v>
      </c>
      <c r="Y269" t="s">
        <v>799</v>
      </c>
      <c r="Z269">
        <v>2.1</v>
      </c>
      <c r="AC269" s="4" t="s">
        <v>347</v>
      </c>
      <c r="AD269" s="5">
        <v>48136980</v>
      </c>
      <c r="AE269" s="5">
        <v>18160200</v>
      </c>
      <c r="AF269" s="5">
        <v>1262155</v>
      </c>
      <c r="AI269" t="s">
        <v>799</v>
      </c>
      <c r="AJ269">
        <v>22.81</v>
      </c>
      <c r="AL269" t="s">
        <v>268</v>
      </c>
      <c r="AM269">
        <v>19.350000000000001</v>
      </c>
      <c r="AO269" t="s">
        <v>268</v>
      </c>
      <c r="AP269">
        <v>68.86</v>
      </c>
      <c r="AQ269">
        <v>72.81</v>
      </c>
      <c r="AS269" t="s">
        <v>268</v>
      </c>
      <c r="AT269">
        <v>6.75</v>
      </c>
      <c r="AU269">
        <v>5.37</v>
      </c>
      <c r="AW269" t="s">
        <v>268</v>
      </c>
      <c r="AX269">
        <v>15.05</v>
      </c>
    </row>
    <row r="270" spans="1:50" x14ac:dyDescent="0.35">
      <c r="A270" t="s">
        <v>269</v>
      </c>
      <c r="B270">
        <v>86.97</v>
      </c>
      <c r="D270" t="s">
        <v>800</v>
      </c>
      <c r="E270">
        <v>59.04</v>
      </c>
      <c r="G270" t="s">
        <v>269</v>
      </c>
      <c r="H270">
        <v>0.58199999999999996</v>
      </c>
      <c r="J270" t="s">
        <v>800</v>
      </c>
      <c r="K270">
        <v>8.89</v>
      </c>
      <c r="M270" t="s">
        <v>800</v>
      </c>
      <c r="N270">
        <v>43.05</v>
      </c>
      <c r="P270" t="s">
        <v>285</v>
      </c>
      <c r="Q270">
        <v>3.23</v>
      </c>
      <c r="S270" t="s">
        <v>269</v>
      </c>
      <c r="T270">
        <v>0.33200000000000002</v>
      </c>
      <c r="V270" t="s">
        <v>800</v>
      </c>
      <c r="W270">
        <v>31.06</v>
      </c>
      <c r="Y270" t="s">
        <v>800</v>
      </c>
      <c r="Z270">
        <v>2.36</v>
      </c>
      <c r="AC270" s="4" t="s">
        <v>348</v>
      </c>
      <c r="AD270" s="5">
        <v>31650246</v>
      </c>
      <c r="AE270" s="5">
        <v>21256707</v>
      </c>
      <c r="AF270" s="5">
        <v>6939748</v>
      </c>
      <c r="AI270" t="s">
        <v>800</v>
      </c>
      <c r="AJ270">
        <v>22.11</v>
      </c>
      <c r="AL270" t="s">
        <v>269</v>
      </c>
      <c r="AM270">
        <v>21.76</v>
      </c>
      <c r="AO270" t="s">
        <v>269</v>
      </c>
      <c r="AP270">
        <v>66.7</v>
      </c>
      <c r="AQ270">
        <v>70.67</v>
      </c>
      <c r="AS270" t="s">
        <v>269</v>
      </c>
      <c r="AT270">
        <v>5.58</v>
      </c>
      <c r="AU270">
        <v>4.6399999999999997</v>
      </c>
      <c r="AW270" t="s">
        <v>269</v>
      </c>
      <c r="AX270">
        <v>8.9600000000000009</v>
      </c>
    </row>
    <row r="271" spans="1:50" x14ac:dyDescent="0.35">
      <c r="A271" t="s">
        <v>270</v>
      </c>
      <c r="B271">
        <v>86.97</v>
      </c>
      <c r="D271" t="s">
        <v>801</v>
      </c>
      <c r="E271">
        <v>55.85</v>
      </c>
      <c r="G271" t="s">
        <v>270</v>
      </c>
      <c r="H271">
        <v>0.60099999999999998</v>
      </c>
      <c r="J271" t="s">
        <v>801</v>
      </c>
      <c r="K271">
        <v>4.4400000000000004</v>
      </c>
      <c r="M271" t="s">
        <v>801</v>
      </c>
      <c r="N271">
        <v>41.14</v>
      </c>
      <c r="P271" t="s">
        <v>286</v>
      </c>
      <c r="Q271">
        <v>1.58</v>
      </c>
      <c r="S271" t="s">
        <v>270</v>
      </c>
      <c r="T271">
        <v>0.29199999999999998</v>
      </c>
      <c r="V271" t="s">
        <v>801</v>
      </c>
      <c r="W271">
        <v>35.22</v>
      </c>
      <c r="Y271" t="s">
        <v>801</v>
      </c>
      <c r="Z271">
        <v>2.16</v>
      </c>
      <c r="AC271" s="4" t="s">
        <v>343</v>
      </c>
      <c r="AD271" s="5">
        <v>64997458</v>
      </c>
      <c r="AE271" s="5">
        <v>20343045</v>
      </c>
      <c r="AF271" s="5">
        <v>19385140</v>
      </c>
      <c r="AI271" t="s">
        <v>801</v>
      </c>
      <c r="AJ271">
        <v>21.88</v>
      </c>
      <c r="AL271" t="s">
        <v>270</v>
      </c>
      <c r="AM271">
        <v>13.85</v>
      </c>
      <c r="AO271" t="s">
        <v>270</v>
      </c>
      <c r="AP271">
        <v>66.37</v>
      </c>
      <c r="AQ271">
        <v>70.349999999999994</v>
      </c>
      <c r="AS271" t="s">
        <v>270</v>
      </c>
      <c r="AT271">
        <v>7.95</v>
      </c>
      <c r="AU271">
        <v>6.42</v>
      </c>
      <c r="AW271" t="s">
        <v>270</v>
      </c>
      <c r="AX271">
        <v>23.56</v>
      </c>
    </row>
    <row r="272" spans="1:50" x14ac:dyDescent="0.35">
      <c r="A272" t="s">
        <v>271</v>
      </c>
      <c r="B272">
        <v>82.29</v>
      </c>
      <c r="D272" t="s">
        <v>802</v>
      </c>
      <c r="E272">
        <v>62.77</v>
      </c>
      <c r="G272" t="s">
        <v>271</v>
      </c>
      <c r="H272">
        <v>0.59299999999999997</v>
      </c>
      <c r="J272" t="s">
        <v>802</v>
      </c>
      <c r="K272">
        <v>8</v>
      </c>
      <c r="M272" t="s">
        <v>802</v>
      </c>
      <c r="N272">
        <v>44.1</v>
      </c>
      <c r="P272" t="s">
        <v>287</v>
      </c>
      <c r="Q272">
        <v>2.19</v>
      </c>
      <c r="S272" t="s">
        <v>271</v>
      </c>
      <c r="T272">
        <v>0.38700000000000001</v>
      </c>
      <c r="V272" t="s">
        <v>802</v>
      </c>
      <c r="W272">
        <v>37.64</v>
      </c>
      <c r="Y272" t="s">
        <v>802</v>
      </c>
      <c r="Z272">
        <v>2.12</v>
      </c>
      <c r="AC272" s="4" t="s">
        <v>344</v>
      </c>
      <c r="AD272" s="5">
        <v>77655174</v>
      </c>
      <c r="AE272" s="5">
        <v>11861229</v>
      </c>
      <c r="AF272" s="5">
        <v>30765123</v>
      </c>
      <c r="AI272" t="s">
        <v>802</v>
      </c>
      <c r="AJ272">
        <v>20.88</v>
      </c>
      <c r="AL272" t="s">
        <v>271</v>
      </c>
      <c r="AM272">
        <v>18.7</v>
      </c>
      <c r="AO272" t="s">
        <v>271</v>
      </c>
      <c r="AP272">
        <v>70.510000000000005</v>
      </c>
      <c r="AQ272">
        <v>74.53</v>
      </c>
      <c r="AS272" t="s">
        <v>271</v>
      </c>
      <c r="AT272">
        <v>6.93</v>
      </c>
      <c r="AU272">
        <v>5.19</v>
      </c>
      <c r="AW272" t="s">
        <v>271</v>
      </c>
      <c r="AX272">
        <v>17.88</v>
      </c>
    </row>
    <row r="273" spans="1:50" x14ac:dyDescent="0.35">
      <c r="A273" t="s">
        <v>272</v>
      </c>
      <c r="B273">
        <v>94.58</v>
      </c>
      <c r="D273" t="s">
        <v>803</v>
      </c>
      <c r="E273">
        <v>86.29</v>
      </c>
      <c r="G273" t="s">
        <v>272</v>
      </c>
      <c r="H273">
        <v>9.2999999999999999E-2</v>
      </c>
      <c r="J273" t="s">
        <v>803</v>
      </c>
      <c r="K273">
        <v>40</v>
      </c>
      <c r="M273" t="s">
        <v>803</v>
      </c>
      <c r="N273">
        <v>51.66</v>
      </c>
      <c r="P273" t="s">
        <v>288</v>
      </c>
      <c r="Q273">
        <v>2.2999999999999998</v>
      </c>
      <c r="S273" t="s">
        <v>272</v>
      </c>
      <c r="T273">
        <v>9.5000000000000001E-2</v>
      </c>
      <c r="V273" t="s">
        <v>803</v>
      </c>
      <c r="W273">
        <v>35.97</v>
      </c>
      <c r="Y273" t="s">
        <v>803</v>
      </c>
      <c r="Z273">
        <v>2</v>
      </c>
      <c r="AC273" s="4" t="s">
        <v>345</v>
      </c>
      <c r="AD273" s="5">
        <v>57931912</v>
      </c>
      <c r="AE273" s="5">
        <v>30036115</v>
      </c>
      <c r="AF273" s="5">
        <v>12467311</v>
      </c>
      <c r="AI273" t="s">
        <v>803</v>
      </c>
      <c r="AJ273">
        <v>12.14</v>
      </c>
      <c r="AL273" t="s">
        <v>272</v>
      </c>
      <c r="AM273">
        <v>7.15</v>
      </c>
      <c r="AO273" t="s">
        <v>272</v>
      </c>
      <c r="AP273">
        <v>72.930000000000007</v>
      </c>
      <c r="AQ273">
        <v>76.599999999999994</v>
      </c>
      <c r="AS273" t="s">
        <v>272</v>
      </c>
      <c r="AT273">
        <v>11.37</v>
      </c>
      <c r="AU273">
        <v>10.199999999999999</v>
      </c>
      <c r="AW273" t="s">
        <v>272</v>
      </c>
      <c r="AX273">
        <v>57.24</v>
      </c>
    </row>
    <row r="274" spans="1:50" x14ac:dyDescent="0.35">
      <c r="A274" t="s">
        <v>273</v>
      </c>
      <c r="B274">
        <v>97.49</v>
      </c>
      <c r="D274" t="s">
        <v>804</v>
      </c>
      <c r="E274">
        <v>67.63</v>
      </c>
      <c r="G274" t="s">
        <v>273</v>
      </c>
      <c r="H274">
        <v>0.188</v>
      </c>
      <c r="J274" t="s">
        <v>804</v>
      </c>
      <c r="K274">
        <v>12</v>
      </c>
      <c r="M274" t="s">
        <v>804</v>
      </c>
      <c r="N274">
        <v>59.95</v>
      </c>
      <c r="P274" t="s">
        <v>289</v>
      </c>
      <c r="Q274">
        <v>1.92</v>
      </c>
      <c r="S274" t="s">
        <v>273</v>
      </c>
      <c r="T274">
        <v>0.155</v>
      </c>
      <c r="V274" t="s">
        <v>804</v>
      </c>
      <c r="W274">
        <v>38.69</v>
      </c>
      <c r="Y274" t="s">
        <v>804</v>
      </c>
      <c r="Z274">
        <v>1.92</v>
      </c>
      <c r="AC274" s="4" t="s">
        <v>346</v>
      </c>
      <c r="AD274" s="5">
        <v>106128479</v>
      </c>
      <c r="AE274" s="5">
        <v>41185930</v>
      </c>
      <c r="AF274" s="5">
        <v>7665027</v>
      </c>
      <c r="AI274" t="s">
        <v>804</v>
      </c>
      <c r="AJ274">
        <v>14.8</v>
      </c>
      <c r="AL274" t="s">
        <v>273</v>
      </c>
      <c r="AM274">
        <v>7.3</v>
      </c>
      <c r="AO274" t="s">
        <v>273</v>
      </c>
      <c r="AP274">
        <v>72.92</v>
      </c>
      <c r="AQ274">
        <v>76.59</v>
      </c>
      <c r="AS274" t="s">
        <v>273</v>
      </c>
      <c r="AT274">
        <v>10.99</v>
      </c>
      <c r="AU274">
        <v>10.7</v>
      </c>
      <c r="AW274" t="s">
        <v>273</v>
      </c>
      <c r="AX274">
        <v>59.21</v>
      </c>
    </row>
    <row r="275" spans="1:50" x14ac:dyDescent="0.35">
      <c r="A275" t="s">
        <v>274</v>
      </c>
      <c r="B275">
        <v>95.67</v>
      </c>
      <c r="D275" t="s">
        <v>805</v>
      </c>
      <c r="E275">
        <v>78.540000000000006</v>
      </c>
      <c r="G275" t="s">
        <v>274</v>
      </c>
      <c r="H275">
        <v>0.13100000000000001</v>
      </c>
      <c r="J275" t="s">
        <v>805</v>
      </c>
      <c r="K275">
        <v>26.67</v>
      </c>
      <c r="M275" t="s">
        <v>805</v>
      </c>
      <c r="N275">
        <v>50.48</v>
      </c>
      <c r="P275" t="s">
        <v>291</v>
      </c>
      <c r="Q275">
        <v>7.6</v>
      </c>
      <c r="S275" t="s">
        <v>274</v>
      </c>
      <c r="T275">
        <v>0.122</v>
      </c>
      <c r="V275" t="s">
        <v>805</v>
      </c>
      <c r="W275">
        <v>34.29</v>
      </c>
      <c r="Y275" t="s">
        <v>805</v>
      </c>
      <c r="Z275">
        <v>1.82</v>
      </c>
      <c r="AC275" s="4" t="s">
        <v>1123</v>
      </c>
      <c r="AD275" s="5">
        <v>163447068</v>
      </c>
      <c r="AE275" s="5">
        <v>32529651</v>
      </c>
      <c r="AF275" s="5">
        <v>66844314</v>
      </c>
      <c r="AI275" t="s">
        <v>805</v>
      </c>
      <c r="AJ275">
        <v>13.18</v>
      </c>
      <c r="AL275" t="s">
        <v>274</v>
      </c>
      <c r="AM275">
        <v>4.26</v>
      </c>
      <c r="AO275" t="s">
        <v>274</v>
      </c>
      <c r="AP275">
        <v>72.36</v>
      </c>
      <c r="AQ275">
        <v>76.069999999999993</v>
      </c>
      <c r="AS275" t="s">
        <v>274</v>
      </c>
      <c r="AT275">
        <v>11.38</v>
      </c>
      <c r="AU275">
        <v>10.9</v>
      </c>
      <c r="AW275" t="s">
        <v>274</v>
      </c>
      <c r="AX275">
        <v>61.36</v>
      </c>
    </row>
    <row r="276" spans="1:50" x14ac:dyDescent="0.35">
      <c r="A276" t="s">
        <v>275</v>
      </c>
      <c r="B276">
        <v>96.48</v>
      </c>
      <c r="D276" t="s">
        <v>806</v>
      </c>
      <c r="E276">
        <v>68.739999999999995</v>
      </c>
      <c r="G276" t="s">
        <v>275</v>
      </c>
      <c r="H276">
        <v>0.39200000000000002</v>
      </c>
      <c r="J276" t="s">
        <v>806</v>
      </c>
      <c r="K276">
        <v>16.670000000000002</v>
      </c>
      <c r="M276" t="s">
        <v>806</v>
      </c>
      <c r="N276">
        <v>47.81</v>
      </c>
      <c r="P276" t="s">
        <v>292</v>
      </c>
      <c r="Q276">
        <v>3.15</v>
      </c>
      <c r="S276" t="s">
        <v>275</v>
      </c>
      <c r="T276">
        <v>0.22</v>
      </c>
      <c r="V276" t="s">
        <v>806</v>
      </c>
      <c r="W276">
        <v>31.09</v>
      </c>
      <c r="Y276" t="s">
        <v>806</v>
      </c>
      <c r="Z276">
        <v>2.0499999999999998</v>
      </c>
      <c r="AC276" s="4" t="s">
        <v>353</v>
      </c>
      <c r="AD276" s="5">
        <v>39847329</v>
      </c>
      <c r="AE276" s="5">
        <v>40677531</v>
      </c>
      <c r="AF276" s="5">
        <v>55692499</v>
      </c>
      <c r="AI276" t="s">
        <v>806</v>
      </c>
      <c r="AJ276">
        <v>18.96</v>
      </c>
      <c r="AL276" t="s">
        <v>275</v>
      </c>
      <c r="AM276">
        <v>6.48</v>
      </c>
      <c r="AO276" t="s">
        <v>275</v>
      </c>
      <c r="AP276">
        <v>69.06</v>
      </c>
      <c r="AQ276">
        <v>73.010000000000005</v>
      </c>
      <c r="AS276" t="s">
        <v>275</v>
      </c>
      <c r="AT276">
        <v>10.01</v>
      </c>
      <c r="AU276">
        <v>9.0500000000000007</v>
      </c>
      <c r="AW276" t="s">
        <v>275</v>
      </c>
      <c r="AX276">
        <v>47.63</v>
      </c>
    </row>
    <row r="277" spans="1:50" x14ac:dyDescent="0.35">
      <c r="A277" t="s">
        <v>276</v>
      </c>
      <c r="B277">
        <v>96.81</v>
      </c>
      <c r="D277" t="s">
        <v>807</v>
      </c>
      <c r="E277">
        <v>56.11</v>
      </c>
      <c r="G277" t="s">
        <v>276</v>
      </c>
      <c r="H277">
        <v>0.31</v>
      </c>
      <c r="J277" t="s">
        <v>807</v>
      </c>
      <c r="K277">
        <v>3.33</v>
      </c>
      <c r="M277" t="s">
        <v>807</v>
      </c>
      <c r="N277">
        <v>51.96</v>
      </c>
      <c r="P277" t="s">
        <v>293</v>
      </c>
      <c r="Q277">
        <v>1.23</v>
      </c>
      <c r="S277" t="s">
        <v>276</v>
      </c>
      <c r="T277">
        <v>0.2</v>
      </c>
      <c r="V277" t="s">
        <v>807</v>
      </c>
      <c r="W277">
        <v>32.56</v>
      </c>
      <c r="Y277" t="s">
        <v>807</v>
      </c>
      <c r="Z277">
        <v>2.13</v>
      </c>
      <c r="AC277" s="4" t="s">
        <v>354</v>
      </c>
      <c r="AD277" s="5">
        <v>53216066</v>
      </c>
      <c r="AE277" s="5">
        <v>21098981</v>
      </c>
      <c r="AF277" s="5">
        <v>36018831</v>
      </c>
      <c r="AI277" t="s">
        <v>807</v>
      </c>
      <c r="AJ277">
        <v>16.41</v>
      </c>
      <c r="AL277" t="s">
        <v>276</v>
      </c>
      <c r="AM277">
        <v>6.6</v>
      </c>
      <c r="AO277" t="s">
        <v>276</v>
      </c>
      <c r="AP277">
        <v>70.349999999999994</v>
      </c>
      <c r="AQ277">
        <v>74.36</v>
      </c>
      <c r="AS277" t="s">
        <v>276</v>
      </c>
      <c r="AT277">
        <v>10.19</v>
      </c>
      <c r="AU277">
        <v>9.18</v>
      </c>
      <c r="AW277" t="s">
        <v>276</v>
      </c>
      <c r="AX277">
        <v>46.86</v>
      </c>
    </row>
    <row r="278" spans="1:50" x14ac:dyDescent="0.35">
      <c r="A278" t="s">
        <v>277</v>
      </c>
      <c r="B278">
        <v>93.89</v>
      </c>
      <c r="D278" t="s">
        <v>808</v>
      </c>
      <c r="E278">
        <v>76.150000000000006</v>
      </c>
      <c r="G278" t="s">
        <v>277</v>
      </c>
      <c r="H278">
        <v>0.11899999999999999</v>
      </c>
      <c r="J278" t="s">
        <v>808</v>
      </c>
      <c r="K278">
        <v>20</v>
      </c>
      <c r="M278" t="s">
        <v>808</v>
      </c>
      <c r="N278">
        <v>53.91</v>
      </c>
      <c r="P278" t="s">
        <v>294</v>
      </c>
      <c r="Q278">
        <v>1.66</v>
      </c>
      <c r="S278" t="s">
        <v>277</v>
      </c>
      <c r="T278">
        <v>8.4000000000000005E-2</v>
      </c>
      <c r="V278" t="s">
        <v>808</v>
      </c>
      <c r="W278">
        <v>38.22</v>
      </c>
      <c r="Y278" t="s">
        <v>808</v>
      </c>
      <c r="Z278">
        <v>1.87</v>
      </c>
      <c r="AC278" s="4" t="s">
        <v>352</v>
      </c>
      <c r="AD278" s="5">
        <v>87174562</v>
      </c>
      <c r="AE278" s="5">
        <v>49271847</v>
      </c>
      <c r="AF278" s="5">
        <v>60797571</v>
      </c>
      <c r="AI278" t="s">
        <v>808</v>
      </c>
      <c r="AJ278">
        <v>12.09</v>
      </c>
      <c r="AL278" t="s">
        <v>277</v>
      </c>
      <c r="AM278">
        <v>5.77</v>
      </c>
      <c r="AO278" t="s">
        <v>277</v>
      </c>
      <c r="AP278">
        <v>72.319999999999993</v>
      </c>
      <c r="AQ278">
        <v>76.040000000000006</v>
      </c>
      <c r="AS278" t="s">
        <v>277</v>
      </c>
      <c r="AT278">
        <v>11.44</v>
      </c>
      <c r="AU278">
        <v>10.56</v>
      </c>
      <c r="AW278" t="s">
        <v>277</v>
      </c>
      <c r="AX278">
        <v>65.78</v>
      </c>
    </row>
    <row r="279" spans="1:50" x14ac:dyDescent="0.35">
      <c r="A279" t="s">
        <v>278</v>
      </c>
      <c r="B279">
        <v>95.18</v>
      </c>
      <c r="D279" t="s">
        <v>809</v>
      </c>
      <c r="E279">
        <v>78.94</v>
      </c>
      <c r="G279" t="s">
        <v>278</v>
      </c>
      <c r="H279">
        <v>7.9000000000000001E-2</v>
      </c>
      <c r="J279" t="s">
        <v>809</v>
      </c>
      <c r="K279">
        <v>24.14</v>
      </c>
      <c r="M279" t="s">
        <v>809</v>
      </c>
      <c r="N279">
        <v>53.13</v>
      </c>
      <c r="P279" t="s">
        <v>295</v>
      </c>
      <c r="Q279">
        <v>4.9400000000000004</v>
      </c>
      <c r="S279" t="s">
        <v>278</v>
      </c>
      <c r="T279">
        <v>0.05</v>
      </c>
      <c r="V279" t="s">
        <v>809</v>
      </c>
      <c r="W279">
        <v>39.299999999999997</v>
      </c>
      <c r="Y279" t="s">
        <v>809</v>
      </c>
      <c r="Z279">
        <v>1.85</v>
      </c>
      <c r="AC279" s="4" t="s">
        <v>350</v>
      </c>
      <c r="AD279" s="5">
        <v>40656776</v>
      </c>
      <c r="AE279" s="5">
        <v>24493329</v>
      </c>
      <c r="AF279" s="5">
        <v>18925718</v>
      </c>
      <c r="AI279" t="s">
        <v>809</v>
      </c>
      <c r="AJ279">
        <v>12.92</v>
      </c>
      <c r="AL279" t="s">
        <v>278</v>
      </c>
      <c r="AM279">
        <v>4.74</v>
      </c>
      <c r="AO279" t="s">
        <v>278</v>
      </c>
      <c r="AP279">
        <v>71.290000000000006</v>
      </c>
      <c r="AQ279">
        <v>75.69</v>
      </c>
      <c r="AS279" t="s">
        <v>278</v>
      </c>
      <c r="AT279">
        <v>12.09</v>
      </c>
      <c r="AU279">
        <v>11.39</v>
      </c>
      <c r="AW279" t="s">
        <v>278</v>
      </c>
      <c r="AX279">
        <v>69.69</v>
      </c>
    </row>
    <row r="280" spans="1:50" x14ac:dyDescent="0.35">
      <c r="A280" t="s">
        <v>279</v>
      </c>
      <c r="B280">
        <v>94.36</v>
      </c>
      <c r="D280" t="s">
        <v>810</v>
      </c>
      <c r="E280">
        <v>85.29</v>
      </c>
      <c r="G280" t="s">
        <v>279</v>
      </c>
      <c r="H280">
        <v>0.128</v>
      </c>
      <c r="J280" t="s">
        <v>810</v>
      </c>
      <c r="K280">
        <v>36</v>
      </c>
      <c r="M280" t="s">
        <v>810</v>
      </c>
      <c r="N280">
        <v>52.53</v>
      </c>
      <c r="P280" t="s">
        <v>296</v>
      </c>
      <c r="Q280">
        <v>3.71</v>
      </c>
      <c r="S280" t="s">
        <v>279</v>
      </c>
      <c r="T280">
        <v>0.151</v>
      </c>
      <c r="V280" t="s">
        <v>810</v>
      </c>
      <c r="W280">
        <v>36.049999999999997</v>
      </c>
      <c r="Y280" t="s">
        <v>810</v>
      </c>
      <c r="Z280">
        <v>1.7</v>
      </c>
      <c r="AC280" s="4" t="s">
        <v>351</v>
      </c>
      <c r="AD280" s="5">
        <v>111088397</v>
      </c>
      <c r="AE280" s="5">
        <v>47587109</v>
      </c>
      <c r="AF280" s="5">
        <v>52890662</v>
      </c>
      <c r="AI280" t="s">
        <v>810</v>
      </c>
      <c r="AJ280">
        <v>11.93</v>
      </c>
      <c r="AL280" t="s">
        <v>279</v>
      </c>
      <c r="AM280">
        <v>4.6500000000000004</v>
      </c>
      <c r="AO280" t="s">
        <v>279</v>
      </c>
      <c r="AP280">
        <v>73.010000000000005</v>
      </c>
      <c r="AQ280">
        <v>76.67</v>
      </c>
      <c r="AS280" t="s">
        <v>279</v>
      </c>
      <c r="AT280">
        <v>11.06</v>
      </c>
      <c r="AU280">
        <v>10.35</v>
      </c>
      <c r="AW280" t="s">
        <v>279</v>
      </c>
      <c r="AX280">
        <v>55.52</v>
      </c>
    </row>
    <row r="281" spans="1:50" x14ac:dyDescent="0.35">
      <c r="A281" t="s">
        <v>280</v>
      </c>
      <c r="B281">
        <v>90.54</v>
      </c>
      <c r="D281" t="s">
        <v>811</v>
      </c>
      <c r="E281">
        <v>68.650000000000006</v>
      </c>
      <c r="G281" t="s">
        <v>280</v>
      </c>
      <c r="H281">
        <v>0.378</v>
      </c>
      <c r="J281" t="s">
        <v>811</v>
      </c>
      <c r="K281">
        <v>16.670000000000002</v>
      </c>
      <c r="M281" t="s">
        <v>811</v>
      </c>
      <c r="N281">
        <v>52.75</v>
      </c>
      <c r="P281" t="s">
        <v>297</v>
      </c>
      <c r="Q281">
        <v>8.43</v>
      </c>
      <c r="S281" t="s">
        <v>280</v>
      </c>
      <c r="T281">
        <v>0.24</v>
      </c>
      <c r="V281" t="s">
        <v>811</v>
      </c>
      <c r="W281">
        <v>30.33</v>
      </c>
      <c r="Y281" t="s">
        <v>811</v>
      </c>
      <c r="Z281">
        <v>1.95</v>
      </c>
      <c r="AC281" s="4" t="s">
        <v>1107</v>
      </c>
      <c r="AD281" s="5">
        <v>50340047</v>
      </c>
      <c r="AE281" s="5">
        <v>13649363</v>
      </c>
      <c r="AF281" s="5">
        <v>14706174</v>
      </c>
      <c r="AI281" t="s">
        <v>811</v>
      </c>
      <c r="AJ281">
        <v>14.06</v>
      </c>
      <c r="AL281" t="s">
        <v>280</v>
      </c>
      <c r="AM281">
        <v>3.31</v>
      </c>
      <c r="AO281" t="s">
        <v>280</v>
      </c>
      <c r="AP281">
        <v>71.19</v>
      </c>
      <c r="AQ281">
        <v>75.489999999999995</v>
      </c>
      <c r="AS281" t="s">
        <v>280</v>
      </c>
      <c r="AT281">
        <v>10.119999999999999</v>
      </c>
      <c r="AU281">
        <v>9.6300000000000008</v>
      </c>
      <c r="AW281" t="s">
        <v>280</v>
      </c>
      <c r="AX281">
        <v>47.9</v>
      </c>
    </row>
    <row r="282" spans="1:50" x14ac:dyDescent="0.35">
      <c r="A282" t="s">
        <v>281</v>
      </c>
      <c r="B282">
        <v>92.48</v>
      </c>
      <c r="D282" t="s">
        <v>281</v>
      </c>
      <c r="E282">
        <v>69.87</v>
      </c>
      <c r="G282" t="s">
        <v>281</v>
      </c>
      <c r="H282">
        <v>0.46400000000000002</v>
      </c>
      <c r="J282" t="s">
        <v>281</v>
      </c>
      <c r="K282">
        <v>18.82</v>
      </c>
      <c r="M282" t="s">
        <v>281</v>
      </c>
      <c r="N282">
        <v>43.21</v>
      </c>
      <c r="P282" t="s">
        <v>298</v>
      </c>
      <c r="Q282">
        <v>7.64</v>
      </c>
      <c r="S282" t="s">
        <v>281</v>
      </c>
      <c r="T282">
        <v>0.254</v>
      </c>
      <c r="V282" t="s">
        <v>281</v>
      </c>
      <c r="W282">
        <v>32.14</v>
      </c>
      <c r="Y282" t="s">
        <v>281</v>
      </c>
      <c r="Z282">
        <v>2.0099999999999998</v>
      </c>
      <c r="AC282" s="4" t="s">
        <v>358</v>
      </c>
      <c r="AD282" s="5">
        <v>84959849</v>
      </c>
      <c r="AE282" s="5">
        <v>51449946</v>
      </c>
      <c r="AF282" s="5">
        <v>39067023</v>
      </c>
      <c r="AI282" t="s">
        <v>281</v>
      </c>
      <c r="AJ282">
        <v>16.149999999999999</v>
      </c>
      <c r="AL282" t="s">
        <v>281</v>
      </c>
      <c r="AM282">
        <v>6.17</v>
      </c>
      <c r="AO282" t="s">
        <v>281</v>
      </c>
      <c r="AP282">
        <v>68.849999999999994</v>
      </c>
      <c r="AQ282">
        <v>72.790000000000006</v>
      </c>
      <c r="AS282" t="s">
        <v>281</v>
      </c>
      <c r="AT282">
        <v>9.49</v>
      </c>
      <c r="AU282">
        <v>8.85</v>
      </c>
      <c r="AW282" t="s">
        <v>281</v>
      </c>
      <c r="AX282">
        <v>39.729999999999997</v>
      </c>
    </row>
    <row r="283" spans="1:50" x14ac:dyDescent="0.35">
      <c r="A283" t="s">
        <v>282</v>
      </c>
      <c r="B283">
        <v>87.09</v>
      </c>
      <c r="D283" t="s">
        <v>812</v>
      </c>
      <c r="E283">
        <v>65.22</v>
      </c>
      <c r="G283" t="s">
        <v>282</v>
      </c>
      <c r="H283">
        <v>0.56100000000000005</v>
      </c>
      <c r="J283" t="s">
        <v>812</v>
      </c>
      <c r="K283">
        <v>14.29</v>
      </c>
      <c r="M283" t="s">
        <v>812</v>
      </c>
      <c r="N283">
        <v>45.96</v>
      </c>
      <c r="P283" t="s">
        <v>299</v>
      </c>
      <c r="Q283">
        <v>1.7</v>
      </c>
      <c r="S283" t="s">
        <v>282</v>
      </c>
      <c r="T283">
        <v>0.36499999999999999</v>
      </c>
      <c r="V283" t="s">
        <v>812</v>
      </c>
      <c r="W283">
        <v>30.36</v>
      </c>
      <c r="Y283" t="s">
        <v>812</v>
      </c>
      <c r="Z283">
        <v>2.2799999999999998</v>
      </c>
      <c r="AC283" s="4" t="s">
        <v>357</v>
      </c>
      <c r="AD283" s="5">
        <v>40287218</v>
      </c>
      <c r="AE283" s="5">
        <v>30629769</v>
      </c>
      <c r="AF283" s="5">
        <v>50047106</v>
      </c>
      <c r="AI283" t="s">
        <v>812</v>
      </c>
      <c r="AJ283">
        <v>20.97</v>
      </c>
      <c r="AL283" t="s">
        <v>282</v>
      </c>
      <c r="AM283">
        <v>9.27</v>
      </c>
      <c r="AO283" t="s">
        <v>282</v>
      </c>
      <c r="AP283">
        <v>63.7</v>
      </c>
      <c r="AQ283">
        <v>67.56</v>
      </c>
      <c r="AS283" t="s">
        <v>282</v>
      </c>
      <c r="AT283">
        <v>7.64</v>
      </c>
      <c r="AU283">
        <v>6.68</v>
      </c>
      <c r="AW283" t="s">
        <v>282</v>
      </c>
      <c r="AX283">
        <v>17.010000000000002</v>
      </c>
    </row>
    <row r="284" spans="1:50" x14ac:dyDescent="0.35">
      <c r="A284" t="s">
        <v>283</v>
      </c>
      <c r="B284">
        <v>80.75</v>
      </c>
      <c r="D284" t="s">
        <v>813</v>
      </c>
      <c r="E284">
        <v>60.08</v>
      </c>
      <c r="G284" t="s">
        <v>283</v>
      </c>
      <c r="H284">
        <v>0.6</v>
      </c>
      <c r="J284" t="s">
        <v>813</v>
      </c>
      <c r="K284">
        <v>8</v>
      </c>
      <c r="M284" t="s">
        <v>813</v>
      </c>
      <c r="N284">
        <v>48.61</v>
      </c>
      <c r="P284" t="s">
        <v>301</v>
      </c>
      <c r="Q284">
        <v>2.42</v>
      </c>
      <c r="S284" t="s">
        <v>283</v>
      </c>
      <c r="T284">
        <v>0.39700000000000002</v>
      </c>
      <c r="V284" t="s">
        <v>813</v>
      </c>
      <c r="W284">
        <v>32.03</v>
      </c>
      <c r="Y284" t="s">
        <v>813</v>
      </c>
      <c r="Z284">
        <v>2.21</v>
      </c>
      <c r="AC284" s="4" t="s">
        <v>355</v>
      </c>
      <c r="AD284" s="5">
        <v>34466954</v>
      </c>
      <c r="AE284" s="5">
        <v>13925432</v>
      </c>
      <c r="AF284" s="5">
        <v>45887428</v>
      </c>
      <c r="AI284" t="s">
        <v>813</v>
      </c>
      <c r="AJ284">
        <v>21.92</v>
      </c>
      <c r="AL284" t="s">
        <v>283</v>
      </c>
      <c r="AM284">
        <v>8.68</v>
      </c>
      <c r="AO284" t="s">
        <v>283</v>
      </c>
      <c r="AP284">
        <v>66.19</v>
      </c>
      <c r="AQ284">
        <v>70.17</v>
      </c>
      <c r="AS284" t="s">
        <v>283</v>
      </c>
      <c r="AT284">
        <v>7.07</v>
      </c>
      <c r="AU284">
        <v>6.26</v>
      </c>
      <c r="AW284" t="s">
        <v>283</v>
      </c>
      <c r="AX284">
        <v>11.72</v>
      </c>
    </row>
    <row r="285" spans="1:50" x14ac:dyDescent="0.35">
      <c r="A285" t="s">
        <v>284</v>
      </c>
      <c r="B285">
        <v>91.67</v>
      </c>
      <c r="D285" t="s">
        <v>814</v>
      </c>
      <c r="E285">
        <v>63.84</v>
      </c>
      <c r="G285" t="s">
        <v>284</v>
      </c>
      <c r="H285">
        <v>0.40200000000000002</v>
      </c>
      <c r="J285" t="s">
        <v>814</v>
      </c>
      <c r="K285">
        <v>14</v>
      </c>
      <c r="M285" t="s">
        <v>814</v>
      </c>
      <c r="N285">
        <v>44.12</v>
      </c>
      <c r="P285" t="s">
        <v>302</v>
      </c>
      <c r="Q285">
        <v>2.98</v>
      </c>
      <c r="S285" t="s">
        <v>284</v>
      </c>
      <c r="T285">
        <v>0.251</v>
      </c>
      <c r="V285" t="s">
        <v>814</v>
      </c>
      <c r="W285">
        <v>28.74</v>
      </c>
      <c r="Y285" t="s">
        <v>814</v>
      </c>
      <c r="Z285">
        <v>1.91</v>
      </c>
      <c r="AC285" s="4" t="s">
        <v>356</v>
      </c>
      <c r="AD285" s="5">
        <v>39629236</v>
      </c>
      <c r="AE285" s="5">
        <v>26291413</v>
      </c>
      <c r="AF285" s="5">
        <v>31995191</v>
      </c>
      <c r="AI285" t="s">
        <v>814</v>
      </c>
      <c r="AJ285">
        <v>14.06</v>
      </c>
      <c r="AL285" t="s">
        <v>284</v>
      </c>
      <c r="AM285">
        <v>6.93</v>
      </c>
      <c r="AO285" t="s">
        <v>284</v>
      </c>
      <c r="AP285">
        <v>68.73</v>
      </c>
      <c r="AQ285">
        <v>72.67</v>
      </c>
      <c r="AS285" t="s">
        <v>284</v>
      </c>
      <c r="AT285">
        <v>9.32</v>
      </c>
      <c r="AU285">
        <v>8.56</v>
      </c>
      <c r="AW285" t="s">
        <v>284</v>
      </c>
      <c r="AX285">
        <v>39.01</v>
      </c>
    </row>
    <row r="286" spans="1:50" x14ac:dyDescent="0.35">
      <c r="A286" t="s">
        <v>285</v>
      </c>
      <c r="B286">
        <v>92.49</v>
      </c>
      <c r="D286" t="s">
        <v>815</v>
      </c>
      <c r="E286">
        <v>61.91</v>
      </c>
      <c r="G286" t="s">
        <v>285</v>
      </c>
      <c r="H286">
        <v>0.54400000000000004</v>
      </c>
      <c r="J286" t="s">
        <v>815</v>
      </c>
      <c r="K286">
        <v>14</v>
      </c>
      <c r="M286" t="s">
        <v>815</v>
      </c>
      <c r="N286">
        <v>41.71</v>
      </c>
      <c r="P286" t="s">
        <v>303</v>
      </c>
      <c r="Q286">
        <v>1.52</v>
      </c>
      <c r="S286" t="s">
        <v>285</v>
      </c>
      <c r="T286">
        <v>0.27800000000000002</v>
      </c>
      <c r="V286" t="s">
        <v>815</v>
      </c>
      <c r="W286">
        <v>27.65</v>
      </c>
      <c r="Y286" t="s">
        <v>815</v>
      </c>
      <c r="Z286">
        <v>2.1800000000000002</v>
      </c>
      <c r="AC286" s="4" t="s">
        <v>360</v>
      </c>
      <c r="AD286" s="5">
        <v>73484765</v>
      </c>
      <c r="AE286" s="5">
        <v>19497832</v>
      </c>
      <c r="AF286" s="5">
        <v>39008485</v>
      </c>
      <c r="AI286" t="s">
        <v>815</v>
      </c>
      <c r="AJ286">
        <v>18.18</v>
      </c>
      <c r="AL286" t="s">
        <v>285</v>
      </c>
      <c r="AM286">
        <v>4.8499999999999996</v>
      </c>
      <c r="AO286" t="s">
        <v>285</v>
      </c>
      <c r="AP286">
        <v>63.72</v>
      </c>
      <c r="AQ286">
        <v>67.58</v>
      </c>
      <c r="AS286" t="s">
        <v>285</v>
      </c>
      <c r="AT286">
        <v>8.25</v>
      </c>
      <c r="AU286">
        <v>7.41</v>
      </c>
      <c r="AW286" t="s">
        <v>285</v>
      </c>
      <c r="AX286">
        <v>24.13</v>
      </c>
    </row>
    <row r="287" spans="1:50" x14ac:dyDescent="0.35">
      <c r="A287" t="s">
        <v>286</v>
      </c>
      <c r="B287">
        <v>94.89</v>
      </c>
      <c r="D287" t="s">
        <v>816</v>
      </c>
      <c r="E287">
        <v>63.02</v>
      </c>
      <c r="G287" t="s">
        <v>286</v>
      </c>
      <c r="H287">
        <v>0.28399999999999997</v>
      </c>
      <c r="J287" t="s">
        <v>816</v>
      </c>
      <c r="K287">
        <v>12</v>
      </c>
      <c r="M287" t="s">
        <v>816</v>
      </c>
      <c r="N287">
        <v>40.4</v>
      </c>
      <c r="P287" t="s">
        <v>304</v>
      </c>
      <c r="Q287">
        <v>2.6</v>
      </c>
      <c r="S287" t="s">
        <v>286</v>
      </c>
      <c r="T287">
        <v>0.17</v>
      </c>
      <c r="V287" t="s">
        <v>816</v>
      </c>
      <c r="W287">
        <v>31.98</v>
      </c>
      <c r="Y287" t="s">
        <v>816</v>
      </c>
      <c r="Z287">
        <v>1.84</v>
      </c>
      <c r="AC287" s="4" t="s">
        <v>359</v>
      </c>
      <c r="AD287" s="5">
        <v>58791572</v>
      </c>
      <c r="AE287" s="5">
        <v>28876463</v>
      </c>
      <c r="AF287" s="5">
        <v>43410012</v>
      </c>
      <c r="AI287" t="s">
        <v>816</v>
      </c>
      <c r="AJ287">
        <v>13.05</v>
      </c>
      <c r="AL287" t="s">
        <v>286</v>
      </c>
      <c r="AM287">
        <v>5.89</v>
      </c>
      <c r="AO287" t="s">
        <v>286</v>
      </c>
      <c r="AP287">
        <v>70.28</v>
      </c>
      <c r="AQ287">
        <v>74.290000000000006</v>
      </c>
      <c r="AS287" t="s">
        <v>286</v>
      </c>
      <c r="AT287">
        <v>11.3</v>
      </c>
      <c r="AU287">
        <v>10.53</v>
      </c>
      <c r="AW287" t="s">
        <v>286</v>
      </c>
      <c r="AX287">
        <v>56.81</v>
      </c>
    </row>
    <row r="288" spans="1:50" x14ac:dyDescent="0.35">
      <c r="A288" t="s">
        <v>287</v>
      </c>
      <c r="B288">
        <v>88.05</v>
      </c>
      <c r="D288" t="s">
        <v>817</v>
      </c>
      <c r="E288">
        <v>52.16</v>
      </c>
      <c r="G288" t="s">
        <v>287</v>
      </c>
      <c r="H288">
        <v>0.26</v>
      </c>
      <c r="J288" t="s">
        <v>817</v>
      </c>
      <c r="K288">
        <v>10</v>
      </c>
      <c r="M288" t="s">
        <v>817</v>
      </c>
      <c r="N288">
        <v>42.39</v>
      </c>
      <c r="P288" t="s">
        <v>305</v>
      </c>
      <c r="Q288">
        <v>2.06</v>
      </c>
      <c r="S288" t="s">
        <v>287</v>
      </c>
      <c r="T288">
        <v>0.188</v>
      </c>
      <c r="V288" t="s">
        <v>817</v>
      </c>
      <c r="W288">
        <v>20.73</v>
      </c>
      <c r="Y288" t="s">
        <v>817</v>
      </c>
      <c r="Z288">
        <v>2.11</v>
      </c>
      <c r="AC288" s="4" t="s">
        <v>362</v>
      </c>
      <c r="AD288" s="5">
        <v>84741012</v>
      </c>
      <c r="AE288" s="5">
        <v>32979513</v>
      </c>
      <c r="AF288" s="5">
        <v>62668612</v>
      </c>
      <c r="AI288" t="s">
        <v>817</v>
      </c>
      <c r="AJ288">
        <v>15.59</v>
      </c>
      <c r="AL288" t="s">
        <v>287</v>
      </c>
      <c r="AM288">
        <v>3.98</v>
      </c>
      <c r="AO288" t="s">
        <v>287</v>
      </c>
      <c r="AP288">
        <v>65.459999999999994</v>
      </c>
      <c r="AQ288">
        <v>69.42</v>
      </c>
      <c r="AS288" t="s">
        <v>287</v>
      </c>
      <c r="AT288">
        <v>10.68</v>
      </c>
      <c r="AU288">
        <v>10.050000000000001</v>
      </c>
      <c r="AW288" t="s">
        <v>287</v>
      </c>
      <c r="AX288">
        <v>52.02</v>
      </c>
    </row>
    <row r="289" spans="1:50" x14ac:dyDescent="0.35">
      <c r="A289" t="s">
        <v>288</v>
      </c>
      <c r="B289">
        <v>92.49</v>
      </c>
      <c r="D289" t="s">
        <v>818</v>
      </c>
      <c r="E289">
        <v>62.98</v>
      </c>
      <c r="G289" t="s">
        <v>288</v>
      </c>
      <c r="H289">
        <v>0.53</v>
      </c>
      <c r="J289" t="s">
        <v>818</v>
      </c>
      <c r="K289">
        <v>13.33</v>
      </c>
      <c r="M289" t="s">
        <v>818</v>
      </c>
      <c r="N289">
        <v>47.76</v>
      </c>
      <c r="P289" t="s">
        <v>306</v>
      </c>
      <c r="Q289">
        <v>3.21</v>
      </c>
      <c r="S289" t="s">
        <v>288</v>
      </c>
      <c r="T289">
        <v>0.23899999999999999</v>
      </c>
      <c r="V289" t="s">
        <v>818</v>
      </c>
      <c r="W289">
        <v>28.31</v>
      </c>
      <c r="Y289" t="s">
        <v>818</v>
      </c>
      <c r="Z289">
        <v>2.1</v>
      </c>
      <c r="AC289" s="4" t="s">
        <v>361</v>
      </c>
      <c r="AD289" s="5">
        <v>48799241</v>
      </c>
      <c r="AE289" s="5">
        <v>25867410</v>
      </c>
      <c r="AF289" s="5">
        <v>32443008</v>
      </c>
      <c r="AI289" t="s">
        <v>818</v>
      </c>
      <c r="AJ289">
        <v>14.59</v>
      </c>
      <c r="AL289" t="s">
        <v>288</v>
      </c>
      <c r="AM289">
        <v>6.2</v>
      </c>
      <c r="AO289" t="s">
        <v>288</v>
      </c>
      <c r="AP289">
        <v>67.05</v>
      </c>
      <c r="AQ289">
        <v>71.02</v>
      </c>
      <c r="AS289" t="s">
        <v>288</v>
      </c>
      <c r="AT289">
        <v>9.58</v>
      </c>
      <c r="AU289">
        <v>8.5</v>
      </c>
      <c r="AW289" t="s">
        <v>288</v>
      </c>
      <c r="AX289">
        <v>32.24</v>
      </c>
    </row>
    <row r="290" spans="1:50" x14ac:dyDescent="0.35">
      <c r="A290" t="s">
        <v>289</v>
      </c>
      <c r="B290">
        <v>94.23</v>
      </c>
      <c r="D290" t="s">
        <v>819</v>
      </c>
      <c r="E290">
        <v>72.36</v>
      </c>
      <c r="G290" t="s">
        <v>289</v>
      </c>
      <c r="H290">
        <v>0.2</v>
      </c>
      <c r="J290" t="s">
        <v>819</v>
      </c>
      <c r="K290">
        <v>30</v>
      </c>
      <c r="M290" t="s">
        <v>819</v>
      </c>
      <c r="N290">
        <v>43.1</v>
      </c>
      <c r="P290" t="s">
        <v>307</v>
      </c>
      <c r="Q290">
        <v>0.76</v>
      </c>
      <c r="S290" t="s">
        <v>289</v>
      </c>
      <c r="T290">
        <v>0.17899999999999999</v>
      </c>
      <c r="V290" t="s">
        <v>819</v>
      </c>
      <c r="W290">
        <v>26.35</v>
      </c>
      <c r="Y290" t="s">
        <v>819</v>
      </c>
      <c r="Z290">
        <v>1.71</v>
      </c>
      <c r="AC290" s="4" t="s">
        <v>1124</v>
      </c>
      <c r="AD290" s="5">
        <v>117374632</v>
      </c>
      <c r="AE290" s="5">
        <v>27902502</v>
      </c>
      <c r="AF290" s="5">
        <v>7427660</v>
      </c>
      <c r="AI290" t="s">
        <v>819</v>
      </c>
      <c r="AJ290">
        <v>12.1</v>
      </c>
      <c r="AL290" t="s">
        <v>289</v>
      </c>
      <c r="AM290">
        <v>2.57</v>
      </c>
      <c r="AO290" t="s">
        <v>289</v>
      </c>
      <c r="AP290">
        <v>71.069999999999993</v>
      </c>
      <c r="AQ290">
        <v>75.239999999999995</v>
      </c>
      <c r="AS290" t="s">
        <v>289</v>
      </c>
      <c r="AT290">
        <v>12.12</v>
      </c>
      <c r="AU290">
        <v>11.28</v>
      </c>
      <c r="AW290" t="s">
        <v>289</v>
      </c>
      <c r="AX290">
        <v>62.91</v>
      </c>
    </row>
    <row r="291" spans="1:50" x14ac:dyDescent="0.35">
      <c r="A291" t="s">
        <v>290</v>
      </c>
      <c r="B291">
        <v>94.59</v>
      </c>
      <c r="D291" t="s">
        <v>290</v>
      </c>
      <c r="E291">
        <v>73.77</v>
      </c>
      <c r="G291" t="s">
        <v>290</v>
      </c>
      <c r="H291">
        <v>0.23899999999999999</v>
      </c>
      <c r="J291" t="s">
        <v>290</v>
      </c>
      <c r="K291">
        <v>18.18</v>
      </c>
      <c r="M291" t="s">
        <v>290</v>
      </c>
      <c r="N291">
        <v>50.36</v>
      </c>
      <c r="P291" t="s">
        <v>308</v>
      </c>
      <c r="Q291">
        <v>2.66</v>
      </c>
      <c r="S291" t="s">
        <v>290</v>
      </c>
      <c r="T291">
        <v>0.21299999999999999</v>
      </c>
      <c r="V291" t="s">
        <v>290</v>
      </c>
      <c r="W291">
        <v>38.4</v>
      </c>
      <c r="Y291" t="s">
        <v>290</v>
      </c>
      <c r="Z291">
        <v>2.04</v>
      </c>
      <c r="AC291" s="4" t="s">
        <v>366</v>
      </c>
      <c r="AD291" s="5">
        <v>58365272</v>
      </c>
      <c r="AE291" s="5">
        <v>70712123</v>
      </c>
      <c r="AF291" s="5">
        <v>12869560</v>
      </c>
      <c r="AI291" t="s">
        <v>290</v>
      </c>
      <c r="AJ291">
        <v>15.37</v>
      </c>
      <c r="AL291" t="s">
        <v>290</v>
      </c>
      <c r="AM291">
        <v>4.25</v>
      </c>
      <c r="AO291" t="s">
        <v>290</v>
      </c>
      <c r="AP291">
        <v>70.989999999999995</v>
      </c>
      <c r="AQ291">
        <v>75.069999999999993</v>
      </c>
      <c r="AS291" t="s">
        <v>290</v>
      </c>
      <c r="AT291">
        <v>10.039999999999999</v>
      </c>
      <c r="AU291">
        <v>8.8000000000000007</v>
      </c>
      <c r="AW291" t="s">
        <v>290</v>
      </c>
      <c r="AX291">
        <v>43.01</v>
      </c>
    </row>
    <row r="292" spans="1:50" x14ac:dyDescent="0.35">
      <c r="A292" t="s">
        <v>291</v>
      </c>
      <c r="B292">
        <v>94.52</v>
      </c>
      <c r="D292" t="s">
        <v>820</v>
      </c>
      <c r="E292">
        <v>72.44</v>
      </c>
      <c r="G292" t="s">
        <v>291</v>
      </c>
      <c r="H292">
        <v>0.21099999999999999</v>
      </c>
      <c r="J292" t="s">
        <v>820</v>
      </c>
      <c r="K292">
        <v>17.14</v>
      </c>
      <c r="M292" t="s">
        <v>820</v>
      </c>
      <c r="N292">
        <v>55.08</v>
      </c>
      <c r="P292" t="s">
        <v>309</v>
      </c>
      <c r="Q292">
        <v>0.65</v>
      </c>
      <c r="S292" t="s">
        <v>291</v>
      </c>
      <c r="T292">
        <v>0.26600000000000001</v>
      </c>
      <c r="V292" t="s">
        <v>820</v>
      </c>
      <c r="W292">
        <v>39.159999999999997</v>
      </c>
      <c r="Y292" t="s">
        <v>820</v>
      </c>
      <c r="Z292">
        <v>2.15</v>
      </c>
      <c r="AC292" s="4" t="s">
        <v>367</v>
      </c>
      <c r="AD292" s="5">
        <v>34653683</v>
      </c>
      <c r="AE292" s="5">
        <v>50080650</v>
      </c>
      <c r="AF292" s="5">
        <v>17438919</v>
      </c>
      <c r="AI292" t="s">
        <v>820</v>
      </c>
      <c r="AJ292">
        <v>15.95</v>
      </c>
      <c r="AL292" t="s">
        <v>291</v>
      </c>
      <c r="AM292">
        <v>4.96</v>
      </c>
      <c r="AO292" t="s">
        <v>291</v>
      </c>
      <c r="AP292">
        <v>71.14</v>
      </c>
      <c r="AQ292">
        <v>75.37</v>
      </c>
      <c r="AS292" t="s">
        <v>291</v>
      </c>
      <c r="AT292">
        <v>9.4</v>
      </c>
      <c r="AU292">
        <v>7.91</v>
      </c>
      <c r="AW292" t="s">
        <v>291</v>
      </c>
      <c r="AX292">
        <v>33.229999999999997</v>
      </c>
    </row>
    <row r="293" spans="1:50" x14ac:dyDescent="0.35">
      <c r="A293" t="s">
        <v>292</v>
      </c>
      <c r="B293">
        <v>95.72</v>
      </c>
      <c r="D293" t="s">
        <v>821</v>
      </c>
      <c r="E293">
        <v>78.069999999999993</v>
      </c>
      <c r="G293" t="s">
        <v>292</v>
      </c>
      <c r="H293">
        <v>0.17</v>
      </c>
      <c r="J293" t="s">
        <v>821</v>
      </c>
      <c r="K293">
        <v>25</v>
      </c>
      <c r="M293" t="s">
        <v>821</v>
      </c>
      <c r="N293">
        <v>45.14</v>
      </c>
      <c r="P293" t="s">
        <v>310</v>
      </c>
      <c r="Q293">
        <v>1.19</v>
      </c>
      <c r="S293" t="s">
        <v>292</v>
      </c>
      <c r="T293">
        <v>0.20899999999999999</v>
      </c>
      <c r="V293" t="s">
        <v>821</v>
      </c>
      <c r="W293">
        <v>38.51</v>
      </c>
      <c r="Y293" t="s">
        <v>821</v>
      </c>
      <c r="Z293">
        <v>1.81</v>
      </c>
      <c r="AC293" s="4" t="s">
        <v>369</v>
      </c>
      <c r="AD293" s="5">
        <v>24881519</v>
      </c>
      <c r="AE293" s="5">
        <v>43038917</v>
      </c>
      <c r="AF293" s="5">
        <v>13976173</v>
      </c>
      <c r="AI293" t="s">
        <v>821</v>
      </c>
      <c r="AJ293">
        <v>13.02</v>
      </c>
      <c r="AL293" t="s">
        <v>292</v>
      </c>
      <c r="AM293">
        <v>4.7</v>
      </c>
      <c r="AO293" t="s">
        <v>292</v>
      </c>
      <c r="AP293">
        <v>72.709999999999994</v>
      </c>
      <c r="AQ293">
        <v>76.38</v>
      </c>
      <c r="AS293" t="s">
        <v>292</v>
      </c>
      <c r="AT293">
        <v>10.01</v>
      </c>
      <c r="AU293">
        <v>8.7799999999999994</v>
      </c>
      <c r="AW293" t="s">
        <v>292</v>
      </c>
      <c r="AX293">
        <v>39.89</v>
      </c>
    </row>
    <row r="294" spans="1:50" x14ac:dyDescent="0.35">
      <c r="A294" t="s">
        <v>293</v>
      </c>
      <c r="B294">
        <v>95.94</v>
      </c>
      <c r="D294" t="s">
        <v>822</v>
      </c>
      <c r="E294">
        <v>76.08</v>
      </c>
      <c r="G294" t="s">
        <v>293</v>
      </c>
      <c r="H294">
        <v>0.126</v>
      </c>
      <c r="J294" t="s">
        <v>822</v>
      </c>
      <c r="K294">
        <v>22.5</v>
      </c>
      <c r="M294" t="s">
        <v>822</v>
      </c>
      <c r="N294">
        <v>54.8</v>
      </c>
      <c r="P294" t="s">
        <v>312</v>
      </c>
      <c r="Q294">
        <v>14.04</v>
      </c>
      <c r="S294" t="s">
        <v>293</v>
      </c>
      <c r="T294">
        <v>0.10199999999999999</v>
      </c>
      <c r="V294" t="s">
        <v>822</v>
      </c>
      <c r="W294">
        <v>35.72</v>
      </c>
      <c r="Y294" t="s">
        <v>822</v>
      </c>
      <c r="Z294">
        <v>1.89</v>
      </c>
      <c r="AC294" s="4" t="s">
        <v>370</v>
      </c>
      <c r="AD294" s="5">
        <v>36755945</v>
      </c>
      <c r="AE294" s="5">
        <v>45219981</v>
      </c>
      <c r="AF294" s="5">
        <v>10979073</v>
      </c>
      <c r="AI294" t="s">
        <v>822</v>
      </c>
      <c r="AJ294">
        <v>12.87</v>
      </c>
      <c r="AL294" t="s">
        <v>293</v>
      </c>
      <c r="AM294">
        <v>2.2999999999999998</v>
      </c>
      <c r="AO294" t="s">
        <v>293</v>
      </c>
      <c r="AP294">
        <v>74.02</v>
      </c>
      <c r="AQ294">
        <v>77.78</v>
      </c>
      <c r="AS294" t="s">
        <v>293</v>
      </c>
      <c r="AT294">
        <v>11.32</v>
      </c>
      <c r="AU294">
        <v>10.52</v>
      </c>
      <c r="AW294" t="s">
        <v>293</v>
      </c>
      <c r="AX294">
        <v>57.78</v>
      </c>
    </row>
    <row r="295" spans="1:50" x14ac:dyDescent="0.35">
      <c r="A295" t="s">
        <v>294</v>
      </c>
      <c r="B295">
        <v>95.09</v>
      </c>
      <c r="D295" t="s">
        <v>823</v>
      </c>
      <c r="E295">
        <v>68.819999999999993</v>
      </c>
      <c r="G295" t="s">
        <v>294</v>
      </c>
      <c r="H295">
        <v>0.193</v>
      </c>
      <c r="J295" t="s">
        <v>823</v>
      </c>
      <c r="K295">
        <v>12.5</v>
      </c>
      <c r="M295" t="s">
        <v>823</v>
      </c>
      <c r="N295">
        <v>55.15</v>
      </c>
      <c r="P295" t="s">
        <v>313</v>
      </c>
      <c r="Q295">
        <v>9.8699999999999992</v>
      </c>
      <c r="S295" t="s">
        <v>294</v>
      </c>
      <c r="T295">
        <v>0.16800000000000001</v>
      </c>
      <c r="V295" t="s">
        <v>823</v>
      </c>
      <c r="W295">
        <v>38.24</v>
      </c>
      <c r="Y295" t="s">
        <v>823</v>
      </c>
      <c r="Z295">
        <v>1.91</v>
      </c>
      <c r="AC295" s="4" t="s">
        <v>371</v>
      </c>
      <c r="AD295" s="5">
        <v>20486122</v>
      </c>
      <c r="AE295" s="5">
        <v>45953851</v>
      </c>
      <c r="AF295" s="5">
        <v>5751012</v>
      </c>
      <c r="AI295" t="s">
        <v>823</v>
      </c>
      <c r="AJ295">
        <v>13.14</v>
      </c>
      <c r="AL295" t="s">
        <v>294</v>
      </c>
      <c r="AM295">
        <v>4.47</v>
      </c>
      <c r="AO295" t="s">
        <v>294</v>
      </c>
      <c r="AP295">
        <v>72.75</v>
      </c>
      <c r="AQ295">
        <v>76.42</v>
      </c>
      <c r="AS295" t="s">
        <v>294</v>
      </c>
      <c r="AT295">
        <v>10.38</v>
      </c>
      <c r="AU295">
        <v>9.19</v>
      </c>
      <c r="AW295" t="s">
        <v>294</v>
      </c>
      <c r="AX295">
        <v>49.9</v>
      </c>
    </row>
    <row r="296" spans="1:50" x14ac:dyDescent="0.35">
      <c r="A296" t="s">
        <v>295</v>
      </c>
      <c r="B296">
        <v>91.79</v>
      </c>
      <c r="D296" t="s">
        <v>824</v>
      </c>
      <c r="E296">
        <v>76.069999999999993</v>
      </c>
      <c r="G296" t="s">
        <v>295</v>
      </c>
      <c r="H296">
        <v>0.186</v>
      </c>
      <c r="J296" t="s">
        <v>824</v>
      </c>
      <c r="K296">
        <v>16.670000000000002</v>
      </c>
      <c r="M296" t="s">
        <v>824</v>
      </c>
      <c r="N296">
        <v>48.59</v>
      </c>
      <c r="P296" t="s">
        <v>314</v>
      </c>
      <c r="Q296">
        <v>17.14</v>
      </c>
      <c r="S296" t="s">
        <v>295</v>
      </c>
      <c r="T296">
        <v>0.186</v>
      </c>
      <c r="V296" t="s">
        <v>824</v>
      </c>
      <c r="W296">
        <v>48.7</v>
      </c>
      <c r="Y296" t="s">
        <v>824</v>
      </c>
      <c r="Z296">
        <v>2.16</v>
      </c>
      <c r="AC296" s="4" t="s">
        <v>1125</v>
      </c>
      <c r="AD296" s="5">
        <v>79115894</v>
      </c>
      <c r="AE296" s="5">
        <v>38431631</v>
      </c>
      <c r="AF296" s="5">
        <v>33641572</v>
      </c>
      <c r="AI296" t="s">
        <v>824</v>
      </c>
      <c r="AJ296">
        <v>16.84</v>
      </c>
      <c r="AL296" t="s">
        <v>295</v>
      </c>
      <c r="AM296">
        <v>5.61</v>
      </c>
      <c r="AO296" t="s">
        <v>295</v>
      </c>
      <c r="AP296">
        <v>70.319999999999993</v>
      </c>
      <c r="AQ296">
        <v>74.33</v>
      </c>
      <c r="AS296" t="s">
        <v>295</v>
      </c>
      <c r="AT296">
        <v>9.51</v>
      </c>
      <c r="AU296">
        <v>7.63</v>
      </c>
      <c r="AW296" t="s">
        <v>295</v>
      </c>
      <c r="AX296">
        <v>36.4</v>
      </c>
    </row>
    <row r="297" spans="1:50" x14ac:dyDescent="0.35">
      <c r="A297" t="s">
        <v>296</v>
      </c>
      <c r="B297">
        <v>92.23</v>
      </c>
      <c r="D297" t="s">
        <v>825</v>
      </c>
      <c r="E297">
        <v>65.569999999999993</v>
      </c>
      <c r="G297" t="s">
        <v>296</v>
      </c>
      <c r="H297">
        <v>0.249</v>
      </c>
      <c r="J297" t="s">
        <v>825</v>
      </c>
      <c r="K297">
        <v>10</v>
      </c>
      <c r="M297" t="s">
        <v>825</v>
      </c>
      <c r="N297">
        <v>46.37</v>
      </c>
      <c r="P297" t="s">
        <v>315</v>
      </c>
      <c r="Q297">
        <v>15.45</v>
      </c>
      <c r="S297" t="s">
        <v>296</v>
      </c>
      <c r="T297">
        <v>0.312</v>
      </c>
      <c r="V297" t="s">
        <v>825</v>
      </c>
      <c r="W297">
        <v>37</v>
      </c>
      <c r="Y297" t="s">
        <v>825</v>
      </c>
      <c r="Z297">
        <v>2.15</v>
      </c>
      <c r="AC297" s="4" t="s">
        <v>372</v>
      </c>
      <c r="AD297" s="5">
        <v>28142922</v>
      </c>
      <c r="AE297" s="5">
        <v>19613876</v>
      </c>
      <c r="AF297" s="5">
        <v>12155951</v>
      </c>
      <c r="AI297" t="s">
        <v>825</v>
      </c>
      <c r="AJ297">
        <v>20.260000000000002</v>
      </c>
      <c r="AL297" t="s">
        <v>296</v>
      </c>
      <c r="AM297">
        <v>5.28</v>
      </c>
      <c r="AO297" t="s">
        <v>296</v>
      </c>
      <c r="AP297">
        <v>69.400000000000006</v>
      </c>
      <c r="AQ297">
        <v>73.37</v>
      </c>
      <c r="AS297" t="s">
        <v>296</v>
      </c>
      <c r="AT297">
        <v>8.23</v>
      </c>
      <c r="AU297">
        <v>7.15</v>
      </c>
      <c r="AW297" t="s">
        <v>296</v>
      </c>
      <c r="AX297">
        <v>26.85</v>
      </c>
    </row>
    <row r="298" spans="1:50" x14ac:dyDescent="0.35">
      <c r="A298" t="s">
        <v>297</v>
      </c>
      <c r="B298">
        <v>90.17</v>
      </c>
      <c r="D298" t="s">
        <v>297</v>
      </c>
      <c r="E298">
        <v>65.790000000000006</v>
      </c>
      <c r="G298" t="s">
        <v>297</v>
      </c>
      <c r="H298">
        <v>0.28399999999999997</v>
      </c>
      <c r="J298" t="s">
        <v>297</v>
      </c>
      <c r="K298">
        <v>6.67</v>
      </c>
      <c r="M298" t="s">
        <v>297</v>
      </c>
      <c r="N298">
        <v>47.19</v>
      </c>
      <c r="P298" t="s">
        <v>316</v>
      </c>
      <c r="Q298">
        <v>17.84</v>
      </c>
      <c r="S298" t="s">
        <v>297</v>
      </c>
      <c r="T298">
        <v>0.3</v>
      </c>
      <c r="V298" t="s">
        <v>1079</v>
      </c>
      <c r="W298">
        <v>44.79</v>
      </c>
      <c r="Y298" t="s">
        <v>1079</v>
      </c>
      <c r="Z298">
        <v>2.31</v>
      </c>
      <c r="AC298" s="4" t="s">
        <v>365</v>
      </c>
      <c r="AD298" s="5">
        <v>43154291</v>
      </c>
      <c r="AE298" s="5">
        <v>31518484</v>
      </c>
      <c r="AF298" s="5">
        <v>28486892</v>
      </c>
      <c r="AI298" t="s">
        <v>1079</v>
      </c>
      <c r="AJ298">
        <v>20.100000000000001</v>
      </c>
      <c r="AL298" t="s">
        <v>1180</v>
      </c>
      <c r="AM298">
        <v>6.56</v>
      </c>
      <c r="AO298" t="s">
        <v>297</v>
      </c>
      <c r="AP298">
        <v>69.31</v>
      </c>
      <c r="AQ298">
        <v>73.28</v>
      </c>
      <c r="AS298" t="s">
        <v>297</v>
      </c>
      <c r="AT298">
        <v>7.45</v>
      </c>
      <c r="AU298">
        <v>5.66</v>
      </c>
      <c r="AW298" t="s">
        <v>297</v>
      </c>
      <c r="AX298">
        <v>19.14</v>
      </c>
    </row>
    <row r="299" spans="1:50" x14ac:dyDescent="0.35">
      <c r="A299" t="s">
        <v>298</v>
      </c>
      <c r="B299">
        <v>91.99</v>
      </c>
      <c r="D299" t="s">
        <v>826</v>
      </c>
      <c r="E299">
        <v>72.569999999999993</v>
      </c>
      <c r="G299" t="s">
        <v>298</v>
      </c>
      <c r="H299">
        <v>0.38900000000000001</v>
      </c>
      <c r="J299" t="s">
        <v>826</v>
      </c>
      <c r="K299">
        <v>17.78</v>
      </c>
      <c r="M299" t="s">
        <v>826</v>
      </c>
      <c r="N299">
        <v>42.27</v>
      </c>
      <c r="P299" t="s">
        <v>317</v>
      </c>
      <c r="Q299">
        <v>16.05</v>
      </c>
      <c r="S299" t="s">
        <v>298</v>
      </c>
      <c r="T299">
        <v>0.372</v>
      </c>
      <c r="V299" t="s">
        <v>826</v>
      </c>
      <c r="W299">
        <v>39.04</v>
      </c>
      <c r="Y299" t="s">
        <v>826</v>
      </c>
      <c r="Z299">
        <v>2.2400000000000002</v>
      </c>
      <c r="AC299" s="4" t="s">
        <v>368</v>
      </c>
      <c r="AD299" s="5">
        <v>36655133</v>
      </c>
      <c r="AE299" s="5">
        <v>18745003</v>
      </c>
      <c r="AF299" s="5">
        <v>10519720</v>
      </c>
      <c r="AI299" t="s">
        <v>826</v>
      </c>
      <c r="AJ299">
        <v>16.14</v>
      </c>
      <c r="AL299" t="s">
        <v>298</v>
      </c>
      <c r="AM299">
        <v>5.85</v>
      </c>
      <c r="AO299" t="s">
        <v>298</v>
      </c>
      <c r="AP299">
        <v>70.739999999999995</v>
      </c>
      <c r="AQ299">
        <v>74.77</v>
      </c>
      <c r="AS299" t="s">
        <v>298</v>
      </c>
      <c r="AT299">
        <v>8.41</v>
      </c>
      <c r="AU299">
        <v>6.82</v>
      </c>
      <c r="AW299" t="s">
        <v>298</v>
      </c>
      <c r="AX299">
        <v>23.14</v>
      </c>
    </row>
    <row r="300" spans="1:50" x14ac:dyDescent="0.35">
      <c r="A300" t="s">
        <v>299</v>
      </c>
      <c r="B300">
        <v>96.68</v>
      </c>
      <c r="D300" t="s">
        <v>827</v>
      </c>
      <c r="E300">
        <v>69.22</v>
      </c>
      <c r="G300" t="s">
        <v>299</v>
      </c>
      <c r="H300">
        <v>0.28799999999999998</v>
      </c>
      <c r="J300" t="s">
        <v>827</v>
      </c>
      <c r="K300">
        <v>11.11</v>
      </c>
      <c r="M300" t="s">
        <v>827</v>
      </c>
      <c r="N300">
        <v>51.28</v>
      </c>
      <c r="P300" t="s">
        <v>318</v>
      </c>
      <c r="Q300">
        <v>16.12</v>
      </c>
      <c r="S300" t="s">
        <v>299</v>
      </c>
      <c r="T300">
        <v>0.14199999999999999</v>
      </c>
      <c r="V300" t="s">
        <v>827</v>
      </c>
      <c r="W300">
        <v>41.51</v>
      </c>
      <c r="Y300" t="s">
        <v>827</v>
      </c>
      <c r="Z300">
        <v>1.85</v>
      </c>
      <c r="AC300" s="4" t="s">
        <v>1159</v>
      </c>
      <c r="AD300" s="5">
        <v>14048788</v>
      </c>
      <c r="AE300" s="5">
        <v>18801963</v>
      </c>
      <c r="AF300" s="5">
        <v>6897455</v>
      </c>
      <c r="AI300" t="s">
        <v>827</v>
      </c>
      <c r="AJ300">
        <v>13.17</v>
      </c>
      <c r="AL300" t="s">
        <v>299</v>
      </c>
      <c r="AM300">
        <v>2.68</v>
      </c>
      <c r="AO300" t="s">
        <v>299</v>
      </c>
      <c r="AP300">
        <v>73.91</v>
      </c>
      <c r="AQ300">
        <v>77.5</v>
      </c>
      <c r="AS300" t="s">
        <v>299</v>
      </c>
      <c r="AT300">
        <v>11.91</v>
      </c>
      <c r="AU300">
        <v>11.17</v>
      </c>
      <c r="AW300" t="s">
        <v>299</v>
      </c>
      <c r="AX300">
        <v>62.23</v>
      </c>
    </row>
    <row r="301" spans="1:50" x14ac:dyDescent="0.35">
      <c r="A301" t="s">
        <v>300</v>
      </c>
      <c r="B301">
        <v>91.39</v>
      </c>
      <c r="D301" t="s">
        <v>300</v>
      </c>
      <c r="E301">
        <v>53.28</v>
      </c>
      <c r="G301" t="s">
        <v>300</v>
      </c>
      <c r="H301">
        <v>0.65</v>
      </c>
      <c r="J301" t="s">
        <v>300</v>
      </c>
      <c r="K301">
        <v>1.54</v>
      </c>
      <c r="M301" t="s">
        <v>300</v>
      </c>
      <c r="N301">
        <v>48.6</v>
      </c>
      <c r="P301" t="s">
        <v>319</v>
      </c>
      <c r="Q301">
        <v>15.85</v>
      </c>
      <c r="S301" t="s">
        <v>300</v>
      </c>
      <c r="T301">
        <v>0.33300000000000002</v>
      </c>
      <c r="V301" t="s">
        <v>300</v>
      </c>
      <c r="W301">
        <v>33.04</v>
      </c>
      <c r="Y301" t="s">
        <v>300</v>
      </c>
      <c r="Z301">
        <v>2.4300000000000002</v>
      </c>
      <c r="AC301" s="4" t="s">
        <v>375</v>
      </c>
      <c r="AD301" s="5">
        <v>22696167</v>
      </c>
      <c r="AE301" s="5">
        <v>37217211</v>
      </c>
      <c r="AF301" s="5">
        <v>3885216</v>
      </c>
      <c r="AI301" t="s">
        <v>300</v>
      </c>
      <c r="AJ301">
        <v>29.37</v>
      </c>
      <c r="AL301" t="s">
        <v>300</v>
      </c>
      <c r="AM301">
        <v>13.85</v>
      </c>
      <c r="AO301" t="s">
        <v>300</v>
      </c>
      <c r="AP301">
        <v>65.540000000000006</v>
      </c>
      <c r="AQ301">
        <v>69.5</v>
      </c>
      <c r="AS301" t="s">
        <v>300</v>
      </c>
      <c r="AT301">
        <v>8.25</v>
      </c>
      <c r="AU301">
        <v>7.15</v>
      </c>
      <c r="AW301" t="s">
        <v>300</v>
      </c>
      <c r="AX301">
        <v>29.8</v>
      </c>
    </row>
    <row r="302" spans="1:50" x14ac:dyDescent="0.35">
      <c r="A302" t="s">
        <v>301</v>
      </c>
      <c r="B302">
        <v>90.65</v>
      </c>
      <c r="D302" t="s">
        <v>828</v>
      </c>
      <c r="E302">
        <v>62.03</v>
      </c>
      <c r="G302" t="s">
        <v>301</v>
      </c>
      <c r="H302">
        <v>0.56499999999999995</v>
      </c>
      <c r="J302" t="s">
        <v>828</v>
      </c>
      <c r="K302">
        <v>11.11</v>
      </c>
      <c r="M302" t="s">
        <v>828</v>
      </c>
      <c r="N302">
        <v>42.78</v>
      </c>
      <c r="P302" t="s">
        <v>320</v>
      </c>
      <c r="Q302">
        <v>19.53</v>
      </c>
      <c r="S302" t="s">
        <v>301</v>
      </c>
      <c r="T302">
        <v>0.375</v>
      </c>
      <c r="V302" t="s">
        <v>828</v>
      </c>
      <c r="W302">
        <v>32.450000000000003</v>
      </c>
      <c r="Y302" t="s">
        <v>828</v>
      </c>
      <c r="Z302">
        <v>2.33</v>
      </c>
      <c r="AC302" s="4" t="s">
        <v>374</v>
      </c>
      <c r="AD302" s="5">
        <v>10010581</v>
      </c>
      <c r="AE302" s="5">
        <v>22044837</v>
      </c>
      <c r="AF302" s="5">
        <v>19627806</v>
      </c>
      <c r="AI302" t="s">
        <v>828</v>
      </c>
      <c r="AJ302">
        <v>29.44</v>
      </c>
      <c r="AL302" t="s">
        <v>301</v>
      </c>
      <c r="AM302">
        <v>13.67</v>
      </c>
      <c r="AO302" t="s">
        <v>301</v>
      </c>
      <c r="AP302">
        <v>66.13</v>
      </c>
      <c r="AQ302">
        <v>70.12</v>
      </c>
      <c r="AS302" t="s">
        <v>301</v>
      </c>
      <c r="AT302">
        <v>7.58</v>
      </c>
      <c r="AU302">
        <v>6.31</v>
      </c>
      <c r="AW302" t="s">
        <v>301</v>
      </c>
      <c r="AX302">
        <v>22.17</v>
      </c>
    </row>
    <row r="303" spans="1:50" x14ac:dyDescent="0.35">
      <c r="A303" t="s">
        <v>302</v>
      </c>
      <c r="B303">
        <v>88.72</v>
      </c>
      <c r="D303" t="s">
        <v>829</v>
      </c>
      <c r="E303">
        <v>60.45</v>
      </c>
      <c r="G303" t="s">
        <v>302</v>
      </c>
      <c r="H303">
        <v>0.60299999999999998</v>
      </c>
      <c r="J303" t="s">
        <v>829</v>
      </c>
      <c r="K303">
        <v>8</v>
      </c>
      <c r="M303" t="s">
        <v>829</v>
      </c>
      <c r="N303">
        <v>42.35</v>
      </c>
      <c r="P303" t="s">
        <v>321</v>
      </c>
      <c r="Q303">
        <v>17.61</v>
      </c>
      <c r="S303" t="s">
        <v>302</v>
      </c>
      <c r="T303">
        <v>0.44400000000000001</v>
      </c>
      <c r="V303" t="s">
        <v>829</v>
      </c>
      <c r="W303">
        <v>36.33</v>
      </c>
      <c r="Y303" t="s">
        <v>829</v>
      </c>
      <c r="Z303">
        <v>2.37</v>
      </c>
      <c r="AC303" s="4" t="s">
        <v>373</v>
      </c>
      <c r="AD303" s="5">
        <v>28120948</v>
      </c>
      <c r="AE303" s="5">
        <v>17545008</v>
      </c>
      <c r="AF303" s="5">
        <v>21689298</v>
      </c>
      <c r="AI303" t="s">
        <v>829</v>
      </c>
      <c r="AJ303">
        <v>33.69</v>
      </c>
      <c r="AL303" t="s">
        <v>302</v>
      </c>
      <c r="AM303">
        <v>12.93</v>
      </c>
      <c r="AO303" t="s">
        <v>302</v>
      </c>
      <c r="AP303">
        <v>65.2</v>
      </c>
      <c r="AQ303">
        <v>69.14</v>
      </c>
      <c r="AS303" t="s">
        <v>302</v>
      </c>
      <c r="AT303">
        <v>7.15</v>
      </c>
      <c r="AU303">
        <v>6.15</v>
      </c>
      <c r="AW303" t="s">
        <v>302</v>
      </c>
      <c r="AX303">
        <v>21.66</v>
      </c>
    </row>
    <row r="304" spans="1:50" x14ac:dyDescent="0.35">
      <c r="A304" t="s">
        <v>303</v>
      </c>
      <c r="B304">
        <v>92.25</v>
      </c>
      <c r="D304" t="s">
        <v>830</v>
      </c>
      <c r="E304">
        <v>66.81</v>
      </c>
      <c r="G304" t="s">
        <v>303</v>
      </c>
      <c r="H304">
        <v>0.57599999999999996</v>
      </c>
      <c r="J304" t="s">
        <v>830</v>
      </c>
      <c r="K304">
        <v>10</v>
      </c>
      <c r="M304" t="s">
        <v>830</v>
      </c>
      <c r="N304">
        <v>48.34</v>
      </c>
      <c r="P304" t="s">
        <v>322</v>
      </c>
      <c r="Q304">
        <v>13.1</v>
      </c>
      <c r="S304" t="s">
        <v>303</v>
      </c>
      <c r="T304">
        <v>0.36499999999999999</v>
      </c>
      <c r="V304" t="s">
        <v>830</v>
      </c>
      <c r="W304">
        <v>45.19</v>
      </c>
      <c r="Y304" t="s">
        <v>830</v>
      </c>
      <c r="Z304">
        <v>2.4700000000000002</v>
      </c>
      <c r="AC304" s="4" t="s">
        <v>1126</v>
      </c>
      <c r="AD304" s="5">
        <v>63970630</v>
      </c>
      <c r="AE304" s="6" t="s">
        <v>548</v>
      </c>
      <c r="AF304" s="5">
        <v>12658831</v>
      </c>
      <c r="AI304" t="s">
        <v>830</v>
      </c>
      <c r="AJ304">
        <v>32.270000000000003</v>
      </c>
      <c r="AL304" t="s">
        <v>303</v>
      </c>
      <c r="AM304">
        <v>15.63</v>
      </c>
      <c r="AO304" t="s">
        <v>303</v>
      </c>
      <c r="AP304">
        <v>65.03</v>
      </c>
      <c r="AQ304">
        <v>68.97</v>
      </c>
      <c r="AS304" t="s">
        <v>303</v>
      </c>
      <c r="AT304">
        <v>7.55</v>
      </c>
      <c r="AU304">
        <v>6.76</v>
      </c>
      <c r="AW304" t="s">
        <v>303</v>
      </c>
      <c r="AX304">
        <v>25.23</v>
      </c>
    </row>
    <row r="305" spans="1:50" x14ac:dyDescent="0.35">
      <c r="A305" t="s">
        <v>304</v>
      </c>
      <c r="B305">
        <v>94.79</v>
      </c>
      <c r="D305" t="s">
        <v>831</v>
      </c>
      <c r="E305">
        <v>69.540000000000006</v>
      </c>
      <c r="G305" t="s">
        <v>304</v>
      </c>
      <c r="H305">
        <v>0.35</v>
      </c>
      <c r="J305" t="s">
        <v>831</v>
      </c>
      <c r="K305">
        <v>13.33</v>
      </c>
      <c r="M305" t="s">
        <v>831</v>
      </c>
      <c r="N305">
        <v>54.74</v>
      </c>
      <c r="P305" t="s">
        <v>323</v>
      </c>
      <c r="Q305">
        <v>10.93</v>
      </c>
      <c r="S305" t="s">
        <v>304</v>
      </c>
      <c r="T305">
        <v>0.17499999999999999</v>
      </c>
      <c r="V305" t="s">
        <v>831</v>
      </c>
      <c r="W305">
        <v>35.979999999999997</v>
      </c>
      <c r="Y305" t="s">
        <v>831</v>
      </c>
      <c r="Z305">
        <v>2.46</v>
      </c>
      <c r="AC305" s="4" t="s">
        <v>381</v>
      </c>
      <c r="AD305" s="5">
        <v>55633943</v>
      </c>
      <c r="AE305" s="5">
        <v>10437316</v>
      </c>
      <c r="AF305" s="5">
        <v>34134700</v>
      </c>
      <c r="AI305" t="s">
        <v>831</v>
      </c>
      <c r="AJ305">
        <v>28.22</v>
      </c>
      <c r="AL305" t="s">
        <v>304</v>
      </c>
      <c r="AM305">
        <v>13.91</v>
      </c>
      <c r="AO305" t="s">
        <v>304</v>
      </c>
      <c r="AP305">
        <v>66.599999999999994</v>
      </c>
      <c r="AQ305">
        <v>70.569999999999993</v>
      </c>
      <c r="AS305" t="s">
        <v>304</v>
      </c>
      <c r="AT305">
        <v>8.7799999999999994</v>
      </c>
      <c r="AU305">
        <v>8.35</v>
      </c>
      <c r="AW305" t="s">
        <v>304</v>
      </c>
      <c r="AX305">
        <v>35.43</v>
      </c>
    </row>
    <row r="306" spans="1:50" x14ac:dyDescent="0.35">
      <c r="A306" t="s">
        <v>305</v>
      </c>
      <c r="B306">
        <v>91.33</v>
      </c>
      <c r="D306" t="s">
        <v>832</v>
      </c>
      <c r="E306">
        <v>63.95</v>
      </c>
      <c r="G306" t="s">
        <v>305</v>
      </c>
      <c r="H306">
        <v>0.53400000000000003</v>
      </c>
      <c r="J306" t="s">
        <v>832</v>
      </c>
      <c r="K306">
        <v>10</v>
      </c>
      <c r="M306" t="s">
        <v>832</v>
      </c>
      <c r="N306">
        <v>55.15</v>
      </c>
      <c r="P306" t="s">
        <v>324</v>
      </c>
      <c r="Q306">
        <v>13.62</v>
      </c>
      <c r="S306" t="s">
        <v>305</v>
      </c>
      <c r="T306">
        <v>0.223</v>
      </c>
      <c r="V306" t="s">
        <v>832</v>
      </c>
      <c r="W306">
        <v>33.409999999999997</v>
      </c>
      <c r="Y306" t="s">
        <v>832</v>
      </c>
      <c r="Z306">
        <v>2.75</v>
      </c>
      <c r="AC306" s="4" t="s">
        <v>379</v>
      </c>
      <c r="AD306" s="5">
        <v>32466570</v>
      </c>
      <c r="AE306" s="5">
        <v>10344190</v>
      </c>
      <c r="AF306" s="5">
        <v>15530956</v>
      </c>
      <c r="AI306" t="s">
        <v>832</v>
      </c>
      <c r="AJ306">
        <v>31.56</v>
      </c>
      <c r="AL306" t="s">
        <v>305</v>
      </c>
      <c r="AM306">
        <v>12.62</v>
      </c>
      <c r="AO306" t="s">
        <v>305</v>
      </c>
      <c r="AP306">
        <v>65.819999999999993</v>
      </c>
      <c r="AQ306">
        <v>69.8</v>
      </c>
      <c r="AS306" t="s">
        <v>305</v>
      </c>
      <c r="AT306">
        <v>9.49</v>
      </c>
      <c r="AU306">
        <v>8.35</v>
      </c>
      <c r="AW306" t="s">
        <v>305</v>
      </c>
      <c r="AX306">
        <v>37.4</v>
      </c>
    </row>
    <row r="307" spans="1:50" x14ac:dyDescent="0.35">
      <c r="A307" t="s">
        <v>306</v>
      </c>
      <c r="B307">
        <v>92.2</v>
      </c>
      <c r="D307" t="s">
        <v>833</v>
      </c>
      <c r="E307">
        <v>53.43</v>
      </c>
      <c r="G307" t="s">
        <v>306</v>
      </c>
      <c r="H307">
        <v>0.56000000000000005</v>
      </c>
      <c r="J307" t="s">
        <v>833</v>
      </c>
      <c r="K307">
        <v>6.67</v>
      </c>
      <c r="M307" t="s">
        <v>833</v>
      </c>
      <c r="N307">
        <v>53.85</v>
      </c>
      <c r="P307" t="s">
        <v>325</v>
      </c>
      <c r="Q307">
        <v>18.559999999999999</v>
      </c>
      <c r="S307" t="s">
        <v>306</v>
      </c>
      <c r="T307">
        <v>0.20799999999999999</v>
      </c>
      <c r="V307" t="s">
        <v>833</v>
      </c>
      <c r="W307">
        <v>26.62</v>
      </c>
      <c r="Y307" t="s">
        <v>833</v>
      </c>
      <c r="Z307">
        <v>2.64</v>
      </c>
      <c r="AC307" s="4" t="s">
        <v>378</v>
      </c>
      <c r="AD307" s="5">
        <v>68819007</v>
      </c>
      <c r="AE307" s="5">
        <v>10002632</v>
      </c>
      <c r="AF307" s="5">
        <v>56872780</v>
      </c>
      <c r="AI307" t="s">
        <v>833</v>
      </c>
      <c r="AJ307">
        <v>31.16</v>
      </c>
      <c r="AL307" t="s">
        <v>306</v>
      </c>
      <c r="AM307">
        <v>14.39</v>
      </c>
      <c r="AO307" t="s">
        <v>306</v>
      </c>
      <c r="AP307">
        <v>65.34</v>
      </c>
      <c r="AQ307">
        <v>69.3</v>
      </c>
      <c r="AS307" t="s">
        <v>306</v>
      </c>
      <c r="AT307">
        <v>8.8800000000000008</v>
      </c>
      <c r="AU307">
        <v>8.27</v>
      </c>
      <c r="AW307" t="s">
        <v>306</v>
      </c>
      <c r="AX307">
        <v>38.64</v>
      </c>
    </row>
    <row r="308" spans="1:50" x14ac:dyDescent="0.35">
      <c r="A308" t="s">
        <v>307</v>
      </c>
      <c r="B308">
        <v>93.48</v>
      </c>
      <c r="D308" t="s">
        <v>834</v>
      </c>
      <c r="E308">
        <v>48.84</v>
      </c>
      <c r="G308" t="s">
        <v>307</v>
      </c>
      <c r="H308">
        <v>0.52600000000000002</v>
      </c>
      <c r="J308" t="s">
        <v>834</v>
      </c>
      <c r="K308">
        <v>8</v>
      </c>
      <c r="M308" t="s">
        <v>834</v>
      </c>
      <c r="N308">
        <v>54.67</v>
      </c>
      <c r="P308" t="s">
        <v>326</v>
      </c>
      <c r="Q308">
        <v>10.39</v>
      </c>
      <c r="S308" t="s">
        <v>307</v>
      </c>
      <c r="T308">
        <v>0.22600000000000001</v>
      </c>
      <c r="V308" t="s">
        <v>834</v>
      </c>
      <c r="W308">
        <v>20.329999999999998</v>
      </c>
      <c r="Y308" t="s">
        <v>834</v>
      </c>
      <c r="Z308">
        <v>2.69</v>
      </c>
      <c r="AC308" s="4" t="s">
        <v>380</v>
      </c>
      <c r="AD308" s="5">
        <v>69395625</v>
      </c>
      <c r="AE308" s="5">
        <v>11791250</v>
      </c>
      <c r="AF308" s="5">
        <v>21789729</v>
      </c>
      <c r="AI308" t="s">
        <v>834</v>
      </c>
      <c r="AJ308">
        <v>28.07</v>
      </c>
      <c r="AL308" t="s">
        <v>307</v>
      </c>
      <c r="AM308">
        <v>12.95</v>
      </c>
      <c r="AO308" t="s">
        <v>307</v>
      </c>
      <c r="AP308">
        <v>67.260000000000005</v>
      </c>
      <c r="AQ308">
        <v>71.22</v>
      </c>
      <c r="AS308" t="s">
        <v>307</v>
      </c>
      <c r="AT308">
        <v>9.3800000000000008</v>
      </c>
      <c r="AU308">
        <v>8.6</v>
      </c>
      <c r="AW308" t="s">
        <v>307</v>
      </c>
      <c r="AX308">
        <v>36.85</v>
      </c>
    </row>
    <row r="309" spans="1:50" x14ac:dyDescent="0.35">
      <c r="A309" t="s">
        <v>308</v>
      </c>
      <c r="B309">
        <v>85.88</v>
      </c>
      <c r="D309" t="s">
        <v>835</v>
      </c>
      <c r="E309">
        <v>48.52</v>
      </c>
      <c r="G309" t="s">
        <v>308</v>
      </c>
      <c r="H309">
        <v>0.58099999999999996</v>
      </c>
      <c r="J309" t="s">
        <v>835</v>
      </c>
      <c r="K309">
        <v>3.33</v>
      </c>
      <c r="M309" t="s">
        <v>835</v>
      </c>
      <c r="N309">
        <v>45.16</v>
      </c>
      <c r="P309" t="s">
        <v>327</v>
      </c>
      <c r="Q309">
        <v>11.55</v>
      </c>
      <c r="S309" t="s">
        <v>308</v>
      </c>
      <c r="T309">
        <v>0.35399999999999998</v>
      </c>
      <c r="V309" t="s">
        <v>835</v>
      </c>
      <c r="W309">
        <v>26.81</v>
      </c>
      <c r="Y309" t="s">
        <v>835</v>
      </c>
      <c r="Z309">
        <v>2.46</v>
      </c>
      <c r="AC309" s="4" t="s">
        <v>1088</v>
      </c>
      <c r="AD309" s="5">
        <v>12338694</v>
      </c>
      <c r="AE309" s="5">
        <v>8152991</v>
      </c>
      <c r="AF309" s="5">
        <v>19581913</v>
      </c>
      <c r="AI309" t="s">
        <v>835</v>
      </c>
      <c r="AJ309">
        <v>33.75</v>
      </c>
      <c r="AL309" t="s">
        <v>308</v>
      </c>
      <c r="AM309">
        <v>25.8</v>
      </c>
      <c r="AO309" t="s">
        <v>308</v>
      </c>
      <c r="AP309">
        <v>66.23</v>
      </c>
      <c r="AQ309">
        <v>70.209999999999994</v>
      </c>
      <c r="AS309" t="s">
        <v>308</v>
      </c>
      <c r="AT309">
        <v>7.13</v>
      </c>
      <c r="AU309">
        <v>5.53</v>
      </c>
      <c r="AW309" t="s">
        <v>308</v>
      </c>
      <c r="AX309">
        <v>17.18</v>
      </c>
    </row>
    <row r="310" spans="1:50" x14ac:dyDescent="0.35">
      <c r="A310" t="s">
        <v>309</v>
      </c>
      <c r="B310">
        <v>93.3</v>
      </c>
      <c r="D310" t="s">
        <v>836</v>
      </c>
      <c r="E310">
        <v>75.25</v>
      </c>
      <c r="G310" t="s">
        <v>309</v>
      </c>
      <c r="H310">
        <v>0.45900000000000002</v>
      </c>
      <c r="J310" t="s">
        <v>836</v>
      </c>
      <c r="K310">
        <v>22.5</v>
      </c>
      <c r="M310" t="s">
        <v>836</v>
      </c>
      <c r="N310">
        <v>45.31</v>
      </c>
      <c r="P310" t="s">
        <v>328</v>
      </c>
      <c r="Q310">
        <v>7.99</v>
      </c>
      <c r="S310" t="s">
        <v>309</v>
      </c>
      <c r="T310">
        <v>0.32500000000000001</v>
      </c>
      <c r="V310" t="s">
        <v>836</v>
      </c>
      <c r="W310">
        <v>33.83</v>
      </c>
      <c r="Y310" t="s">
        <v>836</v>
      </c>
      <c r="Z310">
        <v>2.13</v>
      </c>
      <c r="AC310" s="4" t="s">
        <v>384</v>
      </c>
      <c r="AD310" s="5">
        <v>16267964</v>
      </c>
      <c r="AE310" s="5">
        <v>12090879</v>
      </c>
      <c r="AF310" s="5">
        <v>1475737</v>
      </c>
      <c r="AI310" t="s">
        <v>836</v>
      </c>
      <c r="AJ310">
        <v>16.88</v>
      </c>
      <c r="AL310" t="s">
        <v>309</v>
      </c>
      <c r="AM310">
        <v>8.6199999999999992</v>
      </c>
      <c r="AO310" t="s">
        <v>309</v>
      </c>
      <c r="AP310">
        <v>70.59</v>
      </c>
      <c r="AQ310">
        <v>74.61</v>
      </c>
      <c r="AS310" t="s">
        <v>309</v>
      </c>
      <c r="AT310">
        <v>10.59</v>
      </c>
      <c r="AU310">
        <v>9.27</v>
      </c>
      <c r="AW310" t="s">
        <v>309</v>
      </c>
      <c r="AX310">
        <v>44.67</v>
      </c>
    </row>
    <row r="311" spans="1:50" x14ac:dyDescent="0.35">
      <c r="A311" t="s">
        <v>310</v>
      </c>
      <c r="B311">
        <v>96.9</v>
      </c>
      <c r="D311" t="s">
        <v>837</v>
      </c>
      <c r="E311">
        <v>70.760000000000005</v>
      </c>
      <c r="G311" t="s">
        <v>310</v>
      </c>
      <c r="H311">
        <v>0.48199999999999998</v>
      </c>
      <c r="J311" t="s">
        <v>837</v>
      </c>
      <c r="K311">
        <v>16.670000000000002</v>
      </c>
      <c r="M311" t="s">
        <v>837</v>
      </c>
      <c r="N311">
        <v>52.15</v>
      </c>
      <c r="P311" t="s">
        <v>329</v>
      </c>
      <c r="Q311">
        <v>13.85</v>
      </c>
      <c r="S311" t="s">
        <v>310</v>
      </c>
      <c r="T311">
        <v>0.20399999999999999</v>
      </c>
      <c r="V311" t="s">
        <v>837</v>
      </c>
      <c r="W311">
        <v>37.4</v>
      </c>
      <c r="Y311" t="s">
        <v>837</v>
      </c>
      <c r="Z311">
        <v>2.35</v>
      </c>
      <c r="AC311" s="4" t="s">
        <v>386</v>
      </c>
      <c r="AD311" s="5">
        <v>8731924</v>
      </c>
      <c r="AE311" s="5">
        <v>5218839</v>
      </c>
      <c r="AF311" s="5">
        <v>971356</v>
      </c>
      <c r="AI311" t="s">
        <v>837</v>
      </c>
      <c r="AJ311">
        <v>24.71</v>
      </c>
      <c r="AL311" t="s">
        <v>310</v>
      </c>
      <c r="AM311">
        <v>8.67</v>
      </c>
      <c r="AO311" t="s">
        <v>310</v>
      </c>
      <c r="AP311">
        <v>69.260000000000005</v>
      </c>
      <c r="AQ311">
        <v>73.22</v>
      </c>
      <c r="AS311" t="s">
        <v>310</v>
      </c>
      <c r="AT311">
        <v>11.27</v>
      </c>
      <c r="AU311">
        <v>10.65</v>
      </c>
      <c r="AW311" t="s">
        <v>310</v>
      </c>
      <c r="AX311">
        <v>58.6</v>
      </c>
    </row>
    <row r="312" spans="1:50" x14ac:dyDescent="0.35">
      <c r="A312" t="s">
        <v>311</v>
      </c>
      <c r="B312">
        <v>93.38</v>
      </c>
      <c r="D312" t="s">
        <v>311</v>
      </c>
      <c r="E312">
        <v>75.099999999999994</v>
      </c>
      <c r="G312" t="s">
        <v>311</v>
      </c>
      <c r="H312">
        <v>0.42799999999999999</v>
      </c>
      <c r="J312" t="s">
        <v>311</v>
      </c>
      <c r="K312">
        <v>20</v>
      </c>
      <c r="M312" t="s">
        <v>311</v>
      </c>
      <c r="N312">
        <v>51.13</v>
      </c>
      <c r="P312" t="s">
        <v>330</v>
      </c>
      <c r="Q312">
        <v>12.9</v>
      </c>
      <c r="S312" t="s">
        <v>311</v>
      </c>
      <c r="T312">
        <v>0.19700000000000001</v>
      </c>
      <c r="V312" t="s">
        <v>311</v>
      </c>
      <c r="W312">
        <v>42.86</v>
      </c>
      <c r="Y312" t="s">
        <v>311</v>
      </c>
      <c r="Z312">
        <v>2.79</v>
      </c>
      <c r="AC312" s="4" t="s">
        <v>385</v>
      </c>
      <c r="AD312" s="5">
        <v>49190233</v>
      </c>
      <c r="AE312" s="5">
        <v>18241753</v>
      </c>
      <c r="AF312" s="5">
        <v>3352980</v>
      </c>
      <c r="AI312" t="s">
        <v>311</v>
      </c>
      <c r="AJ312">
        <v>30.72</v>
      </c>
      <c r="AL312" t="s">
        <v>311</v>
      </c>
      <c r="AM312">
        <v>19.96</v>
      </c>
      <c r="AO312" t="s">
        <v>311</v>
      </c>
      <c r="AP312">
        <v>65.819999999999993</v>
      </c>
      <c r="AQ312">
        <v>69.8</v>
      </c>
      <c r="AS312" t="s">
        <v>311</v>
      </c>
      <c r="AT312">
        <v>8.14</v>
      </c>
      <c r="AU312">
        <v>7.64</v>
      </c>
      <c r="AW312" t="s">
        <v>311</v>
      </c>
      <c r="AX312">
        <v>28.92</v>
      </c>
    </row>
    <row r="313" spans="1:50" x14ac:dyDescent="0.35">
      <c r="A313" t="s">
        <v>312</v>
      </c>
      <c r="B313">
        <v>94.82</v>
      </c>
      <c r="D313" t="s">
        <v>838</v>
      </c>
      <c r="E313">
        <v>69.33</v>
      </c>
      <c r="G313" t="s">
        <v>312</v>
      </c>
      <c r="H313">
        <v>0.34599999999999997</v>
      </c>
      <c r="J313" t="s">
        <v>838</v>
      </c>
      <c r="K313">
        <v>16</v>
      </c>
      <c r="M313" t="s">
        <v>838</v>
      </c>
      <c r="N313">
        <v>44.6</v>
      </c>
      <c r="P313" t="s">
        <v>331</v>
      </c>
      <c r="Q313">
        <v>10.63</v>
      </c>
      <c r="S313" t="s">
        <v>312</v>
      </c>
      <c r="T313">
        <v>0.18099999999999999</v>
      </c>
      <c r="V313" t="s">
        <v>838</v>
      </c>
      <c r="W313">
        <v>34.99</v>
      </c>
      <c r="Y313" t="s">
        <v>838</v>
      </c>
      <c r="Z313">
        <v>3.14</v>
      </c>
      <c r="AC313" s="4" t="s">
        <v>382</v>
      </c>
      <c r="AD313" s="5">
        <v>17960917</v>
      </c>
      <c r="AE313" s="5">
        <v>11118200</v>
      </c>
      <c r="AF313" s="5">
        <v>10475575</v>
      </c>
      <c r="AI313" t="s">
        <v>838</v>
      </c>
      <c r="AJ313">
        <v>31.37</v>
      </c>
      <c r="AL313" t="s">
        <v>312</v>
      </c>
      <c r="AM313">
        <v>27.17</v>
      </c>
      <c r="AO313" t="s">
        <v>312</v>
      </c>
      <c r="AP313">
        <v>65.64</v>
      </c>
      <c r="AQ313">
        <v>69.61</v>
      </c>
      <c r="AS313" t="s">
        <v>312</v>
      </c>
      <c r="AT313">
        <v>7.26</v>
      </c>
      <c r="AU313">
        <v>6.54</v>
      </c>
      <c r="AW313" t="s">
        <v>312</v>
      </c>
      <c r="AX313">
        <v>25.7</v>
      </c>
    </row>
    <row r="314" spans="1:50" x14ac:dyDescent="0.35">
      <c r="A314" t="s">
        <v>313</v>
      </c>
      <c r="B314">
        <v>96.07</v>
      </c>
      <c r="D314" t="s">
        <v>839</v>
      </c>
      <c r="E314">
        <v>65</v>
      </c>
      <c r="G314" t="s">
        <v>313</v>
      </c>
      <c r="H314">
        <v>0.44700000000000001</v>
      </c>
      <c r="J314" t="s">
        <v>839</v>
      </c>
      <c r="K314">
        <v>10</v>
      </c>
      <c r="M314" t="s">
        <v>839</v>
      </c>
      <c r="N314">
        <v>56.78</v>
      </c>
      <c r="P314" t="s">
        <v>332</v>
      </c>
      <c r="Q314">
        <v>15.13</v>
      </c>
      <c r="S314" t="s">
        <v>313</v>
      </c>
      <c r="T314">
        <v>0.27200000000000002</v>
      </c>
      <c r="V314" t="s">
        <v>839</v>
      </c>
      <c r="W314">
        <v>43.87</v>
      </c>
      <c r="Y314" t="s">
        <v>839</v>
      </c>
      <c r="Z314">
        <v>2.86</v>
      </c>
      <c r="AC314" s="4" t="s">
        <v>383</v>
      </c>
      <c r="AD314" s="5">
        <v>45608508</v>
      </c>
      <c r="AE314" s="5">
        <v>6426893</v>
      </c>
      <c r="AF314" s="5">
        <v>89981919</v>
      </c>
      <c r="AI314" t="s">
        <v>839</v>
      </c>
      <c r="AJ314">
        <v>30.58</v>
      </c>
      <c r="AL314" t="s">
        <v>313</v>
      </c>
      <c r="AM314">
        <v>28.08</v>
      </c>
      <c r="AO314" t="s">
        <v>313</v>
      </c>
      <c r="AP314">
        <v>63.92</v>
      </c>
      <c r="AQ314">
        <v>67.8</v>
      </c>
      <c r="AS314" t="s">
        <v>313</v>
      </c>
      <c r="AT314">
        <v>7.65</v>
      </c>
      <c r="AU314">
        <v>7.4</v>
      </c>
      <c r="AW314" t="s">
        <v>313</v>
      </c>
      <c r="AX314">
        <v>30.84</v>
      </c>
    </row>
    <row r="315" spans="1:50" x14ac:dyDescent="0.35">
      <c r="A315" t="s">
        <v>314</v>
      </c>
      <c r="B315">
        <v>88.59</v>
      </c>
      <c r="D315" t="s">
        <v>840</v>
      </c>
      <c r="E315">
        <v>65.55</v>
      </c>
      <c r="G315" t="s">
        <v>314</v>
      </c>
      <c r="H315">
        <v>0.46400000000000002</v>
      </c>
      <c r="J315" t="s">
        <v>840</v>
      </c>
      <c r="K315">
        <v>12.5</v>
      </c>
      <c r="M315" t="s">
        <v>840</v>
      </c>
      <c r="N315">
        <v>56.56</v>
      </c>
      <c r="P315" t="s">
        <v>333</v>
      </c>
      <c r="Q315">
        <v>23.07</v>
      </c>
      <c r="S315" t="s">
        <v>314</v>
      </c>
      <c r="T315">
        <v>0.17599999999999999</v>
      </c>
      <c r="V315" t="s">
        <v>840</v>
      </c>
      <c r="W315">
        <v>36.89</v>
      </c>
      <c r="Y315" t="s">
        <v>840</v>
      </c>
      <c r="Z315">
        <v>2.91</v>
      </c>
      <c r="AC315" s="4" t="s">
        <v>1127</v>
      </c>
      <c r="AD315" s="5">
        <v>168943519</v>
      </c>
      <c r="AE315" s="5">
        <v>14958689</v>
      </c>
      <c r="AF315" s="5">
        <v>15210779</v>
      </c>
      <c r="AI315" t="s">
        <v>840</v>
      </c>
      <c r="AJ315">
        <v>44.15</v>
      </c>
      <c r="AL315" t="s">
        <v>314</v>
      </c>
      <c r="AM315">
        <v>21.78</v>
      </c>
      <c r="AO315" t="s">
        <v>314</v>
      </c>
      <c r="AP315">
        <v>63.75</v>
      </c>
      <c r="AQ315">
        <v>67.62</v>
      </c>
      <c r="AS315" t="s">
        <v>314</v>
      </c>
      <c r="AT315">
        <v>7.81</v>
      </c>
      <c r="AU315">
        <v>7.27</v>
      </c>
      <c r="AW315" t="s">
        <v>314</v>
      </c>
      <c r="AX315">
        <v>25.43</v>
      </c>
    </row>
    <row r="316" spans="1:50" x14ac:dyDescent="0.35">
      <c r="A316" t="s">
        <v>315</v>
      </c>
      <c r="B316">
        <v>95.56</v>
      </c>
      <c r="D316" t="s">
        <v>841</v>
      </c>
      <c r="E316">
        <v>59.72</v>
      </c>
      <c r="G316" t="s">
        <v>315</v>
      </c>
      <c r="H316">
        <v>0.47499999999999998</v>
      </c>
      <c r="J316" t="s">
        <v>841</v>
      </c>
      <c r="K316">
        <v>12.5</v>
      </c>
      <c r="M316" t="s">
        <v>841</v>
      </c>
      <c r="N316">
        <v>43.63</v>
      </c>
      <c r="P316" t="s">
        <v>335</v>
      </c>
      <c r="Q316">
        <v>16.850000000000001</v>
      </c>
      <c r="S316" t="s">
        <v>315</v>
      </c>
      <c r="T316">
        <v>0.20799999999999999</v>
      </c>
      <c r="V316" t="s">
        <v>841</v>
      </c>
      <c r="W316">
        <v>28.75</v>
      </c>
      <c r="Y316" t="s">
        <v>841</v>
      </c>
      <c r="Z316">
        <v>3.02</v>
      </c>
      <c r="AC316" s="4" t="s">
        <v>394</v>
      </c>
      <c r="AD316" s="5">
        <v>61310644</v>
      </c>
      <c r="AE316" s="5">
        <v>36359796</v>
      </c>
      <c r="AF316" s="5">
        <v>13028143</v>
      </c>
      <c r="AI316" t="s">
        <v>841</v>
      </c>
      <c r="AJ316">
        <v>31.89</v>
      </c>
      <c r="AL316" t="s">
        <v>315</v>
      </c>
      <c r="AM316">
        <v>25.18</v>
      </c>
      <c r="AO316" t="s">
        <v>315</v>
      </c>
      <c r="AP316">
        <v>64.97</v>
      </c>
      <c r="AQ316">
        <v>68.900000000000006</v>
      </c>
      <c r="AS316" t="s">
        <v>315</v>
      </c>
      <c r="AT316">
        <v>7.14</v>
      </c>
      <c r="AU316">
        <v>6.64</v>
      </c>
      <c r="AW316" t="s">
        <v>315</v>
      </c>
      <c r="AX316">
        <v>23.47</v>
      </c>
    </row>
    <row r="317" spans="1:50" x14ac:dyDescent="0.35">
      <c r="A317" t="s">
        <v>316</v>
      </c>
      <c r="B317">
        <v>95.8</v>
      </c>
      <c r="D317" t="s">
        <v>842</v>
      </c>
      <c r="E317">
        <v>56.91</v>
      </c>
      <c r="G317" t="s">
        <v>316</v>
      </c>
      <c r="H317">
        <v>0.51900000000000002</v>
      </c>
      <c r="J317" t="s">
        <v>842</v>
      </c>
      <c r="K317">
        <v>3.33</v>
      </c>
      <c r="M317" t="s">
        <v>842</v>
      </c>
      <c r="N317">
        <v>51.97</v>
      </c>
      <c r="P317" t="s">
        <v>336</v>
      </c>
      <c r="Q317">
        <v>15.21</v>
      </c>
      <c r="S317" t="s">
        <v>316</v>
      </c>
      <c r="T317">
        <v>0.246</v>
      </c>
      <c r="V317" t="s">
        <v>842</v>
      </c>
      <c r="W317">
        <v>39.99</v>
      </c>
      <c r="Y317" t="s">
        <v>842</v>
      </c>
      <c r="Z317">
        <v>2.83</v>
      </c>
      <c r="AC317" s="4" t="s">
        <v>395</v>
      </c>
      <c r="AD317" s="5">
        <v>70396260</v>
      </c>
      <c r="AE317" s="5">
        <v>30149193</v>
      </c>
      <c r="AF317" s="5">
        <v>10615734</v>
      </c>
      <c r="AI317" t="s">
        <v>842</v>
      </c>
      <c r="AJ317">
        <v>34.26</v>
      </c>
      <c r="AL317" t="s">
        <v>316</v>
      </c>
      <c r="AM317">
        <v>21.85</v>
      </c>
      <c r="AO317" t="s">
        <v>316</v>
      </c>
      <c r="AP317">
        <v>65.67</v>
      </c>
      <c r="AQ317">
        <v>69.64</v>
      </c>
      <c r="AS317" t="s">
        <v>316</v>
      </c>
      <c r="AT317">
        <v>8.32</v>
      </c>
      <c r="AU317">
        <v>8</v>
      </c>
      <c r="AW317" t="s">
        <v>316</v>
      </c>
      <c r="AX317">
        <v>28.99</v>
      </c>
    </row>
    <row r="318" spans="1:50" x14ac:dyDescent="0.35">
      <c r="A318" t="s">
        <v>317</v>
      </c>
      <c r="B318">
        <v>97.44</v>
      </c>
      <c r="D318" t="s">
        <v>843</v>
      </c>
      <c r="E318">
        <v>73.98</v>
      </c>
      <c r="G318" t="s">
        <v>317</v>
      </c>
      <c r="H318">
        <v>0.28999999999999998</v>
      </c>
      <c r="J318" t="s">
        <v>843</v>
      </c>
      <c r="K318">
        <v>23.33</v>
      </c>
      <c r="M318" t="s">
        <v>843</v>
      </c>
      <c r="N318">
        <v>61.12</v>
      </c>
      <c r="P318" t="s">
        <v>337</v>
      </c>
      <c r="Q318">
        <v>10.43</v>
      </c>
      <c r="S318" t="s">
        <v>317</v>
      </c>
      <c r="T318">
        <v>0.22900000000000001</v>
      </c>
      <c r="V318" t="s">
        <v>843</v>
      </c>
      <c r="W318">
        <v>39.130000000000003</v>
      </c>
      <c r="Y318" t="s">
        <v>843</v>
      </c>
      <c r="Z318">
        <v>2.8</v>
      </c>
      <c r="AC318" s="4" t="s">
        <v>396</v>
      </c>
      <c r="AD318" s="5">
        <v>54691294</v>
      </c>
      <c r="AE318" s="5">
        <v>21811553</v>
      </c>
      <c r="AF318" s="5">
        <v>15391557</v>
      </c>
      <c r="AI318" t="s">
        <v>843</v>
      </c>
      <c r="AJ318">
        <v>22.76</v>
      </c>
      <c r="AL318" t="s">
        <v>317</v>
      </c>
      <c r="AM318">
        <v>14.3</v>
      </c>
      <c r="AO318" t="s">
        <v>317</v>
      </c>
      <c r="AP318">
        <v>63.74</v>
      </c>
      <c r="AQ318">
        <v>67.61</v>
      </c>
      <c r="AS318" t="s">
        <v>317</v>
      </c>
      <c r="AT318">
        <v>7.51</v>
      </c>
      <c r="AU318">
        <v>7.36</v>
      </c>
      <c r="AW318" t="s">
        <v>317</v>
      </c>
      <c r="AX318">
        <v>25.83</v>
      </c>
    </row>
    <row r="319" spans="1:50" x14ac:dyDescent="0.35">
      <c r="A319" t="s">
        <v>318</v>
      </c>
      <c r="B319">
        <v>92.52</v>
      </c>
      <c r="D319" t="s">
        <v>844</v>
      </c>
      <c r="E319">
        <v>61.5</v>
      </c>
      <c r="G319" t="s">
        <v>318</v>
      </c>
      <c r="H319">
        <v>0.54300000000000004</v>
      </c>
      <c r="J319" t="s">
        <v>844</v>
      </c>
      <c r="K319">
        <v>6.67</v>
      </c>
      <c r="M319" t="s">
        <v>844</v>
      </c>
      <c r="N319">
        <v>47.02</v>
      </c>
      <c r="P319" t="s">
        <v>338</v>
      </c>
      <c r="Q319">
        <v>18.88</v>
      </c>
      <c r="S319" t="s">
        <v>318</v>
      </c>
      <c r="T319">
        <v>0.20300000000000001</v>
      </c>
      <c r="V319" t="s">
        <v>844</v>
      </c>
      <c r="W319">
        <v>42.84</v>
      </c>
      <c r="Y319" t="s">
        <v>844</v>
      </c>
      <c r="Z319">
        <v>2.89</v>
      </c>
      <c r="AC319" s="4" t="s">
        <v>406</v>
      </c>
      <c r="AD319" s="5">
        <v>51161597</v>
      </c>
      <c r="AE319" s="5">
        <v>21943079</v>
      </c>
      <c r="AF319" s="5">
        <v>4599526</v>
      </c>
      <c r="AI319" t="s">
        <v>844</v>
      </c>
      <c r="AJ319">
        <v>52.17</v>
      </c>
      <c r="AL319" t="s">
        <v>318</v>
      </c>
      <c r="AM319">
        <v>19.97</v>
      </c>
      <c r="AO319" t="s">
        <v>318</v>
      </c>
      <c r="AP319">
        <v>60.52</v>
      </c>
      <c r="AQ319">
        <v>64.27</v>
      </c>
      <c r="AS319" t="s">
        <v>318</v>
      </c>
      <c r="AT319">
        <v>8.92</v>
      </c>
      <c r="AU319">
        <v>8.0399999999999991</v>
      </c>
      <c r="AW319" t="s">
        <v>318</v>
      </c>
      <c r="AX319">
        <v>26.53</v>
      </c>
    </row>
    <row r="320" spans="1:50" x14ac:dyDescent="0.35">
      <c r="A320" t="s">
        <v>319</v>
      </c>
      <c r="B320">
        <v>91.61</v>
      </c>
      <c r="D320" t="s">
        <v>845</v>
      </c>
      <c r="E320">
        <v>53.89</v>
      </c>
      <c r="G320" t="s">
        <v>319</v>
      </c>
      <c r="H320">
        <v>0.77800000000000002</v>
      </c>
      <c r="J320" t="s">
        <v>845</v>
      </c>
      <c r="K320" t="s">
        <v>548</v>
      </c>
      <c r="M320" t="s">
        <v>845</v>
      </c>
      <c r="N320">
        <v>47.51</v>
      </c>
      <c r="P320" t="s">
        <v>339</v>
      </c>
      <c r="Q320">
        <v>18.52</v>
      </c>
      <c r="S320" t="s">
        <v>319</v>
      </c>
      <c r="T320">
        <v>0.182</v>
      </c>
      <c r="V320" t="s">
        <v>845</v>
      </c>
      <c r="W320">
        <v>46.76</v>
      </c>
      <c r="Y320" t="s">
        <v>845</v>
      </c>
      <c r="Z320">
        <v>2.76</v>
      </c>
      <c r="AC320" s="4" t="s">
        <v>405</v>
      </c>
      <c r="AD320" s="5">
        <v>87816630</v>
      </c>
      <c r="AE320" s="5">
        <v>35878396</v>
      </c>
      <c r="AF320" s="5">
        <v>4127475</v>
      </c>
      <c r="AI320" t="s">
        <v>845</v>
      </c>
      <c r="AJ320">
        <v>24.54</v>
      </c>
      <c r="AL320" t="s">
        <v>319</v>
      </c>
      <c r="AM320">
        <v>24.78</v>
      </c>
      <c r="AO320" t="s">
        <v>319</v>
      </c>
      <c r="AP320">
        <v>65.930000000000007</v>
      </c>
      <c r="AQ320">
        <v>69.91</v>
      </c>
      <c r="AS320" t="s">
        <v>319</v>
      </c>
      <c r="AT320">
        <v>9.11</v>
      </c>
      <c r="AU320">
        <v>7.61</v>
      </c>
      <c r="AW320" t="s">
        <v>319</v>
      </c>
      <c r="AX320">
        <v>26</v>
      </c>
    </row>
    <row r="321" spans="1:50" x14ac:dyDescent="0.35">
      <c r="A321" t="s">
        <v>320</v>
      </c>
      <c r="B321">
        <v>91.97</v>
      </c>
      <c r="D321" t="s">
        <v>846</v>
      </c>
      <c r="E321">
        <v>58.26</v>
      </c>
      <c r="G321" t="s">
        <v>320</v>
      </c>
      <c r="H321">
        <v>0.44800000000000001</v>
      </c>
      <c r="J321" t="s">
        <v>846</v>
      </c>
      <c r="K321">
        <v>3.33</v>
      </c>
      <c r="M321" t="s">
        <v>846</v>
      </c>
      <c r="N321">
        <v>54.91</v>
      </c>
      <c r="P321" t="s">
        <v>340</v>
      </c>
      <c r="Q321">
        <v>14.58</v>
      </c>
      <c r="S321" t="s">
        <v>320</v>
      </c>
      <c r="T321">
        <v>0.126</v>
      </c>
      <c r="V321" t="s">
        <v>846</v>
      </c>
      <c r="W321">
        <v>43.61</v>
      </c>
      <c r="Y321" t="s">
        <v>846</v>
      </c>
      <c r="Z321">
        <v>2.58</v>
      </c>
      <c r="AC321" s="4" t="s">
        <v>397</v>
      </c>
      <c r="AD321" s="5">
        <v>63403544</v>
      </c>
      <c r="AE321" s="5">
        <v>20374724</v>
      </c>
      <c r="AF321" s="5">
        <v>11051802</v>
      </c>
      <c r="AI321" t="s">
        <v>846</v>
      </c>
      <c r="AJ321">
        <v>32.6</v>
      </c>
      <c r="AL321" t="s">
        <v>320</v>
      </c>
      <c r="AM321">
        <v>11.77</v>
      </c>
      <c r="AO321" t="s">
        <v>320</v>
      </c>
      <c r="AP321">
        <v>64.069999999999993</v>
      </c>
      <c r="AQ321">
        <v>67.959999999999994</v>
      </c>
      <c r="AS321" t="s">
        <v>320</v>
      </c>
      <c r="AT321">
        <v>8.66</v>
      </c>
      <c r="AU321">
        <v>7.51</v>
      </c>
      <c r="AW321" t="s">
        <v>320</v>
      </c>
      <c r="AX321">
        <v>26.4</v>
      </c>
    </row>
    <row r="322" spans="1:50" x14ac:dyDescent="0.35">
      <c r="A322" t="s">
        <v>321</v>
      </c>
      <c r="B322">
        <v>89.38</v>
      </c>
      <c r="D322" t="s">
        <v>847</v>
      </c>
      <c r="E322">
        <v>65.099999999999994</v>
      </c>
      <c r="G322" t="s">
        <v>321</v>
      </c>
      <c r="H322">
        <v>0.29799999999999999</v>
      </c>
      <c r="J322" t="s">
        <v>847</v>
      </c>
      <c r="K322">
        <v>14.29</v>
      </c>
      <c r="M322" t="s">
        <v>847</v>
      </c>
      <c r="N322">
        <v>52.79</v>
      </c>
      <c r="P322" t="s">
        <v>341</v>
      </c>
      <c r="Q322">
        <v>13.56</v>
      </c>
      <c r="S322" t="s">
        <v>321</v>
      </c>
      <c r="T322">
        <v>0.17799999999999999</v>
      </c>
      <c r="V322" t="s">
        <v>847</v>
      </c>
      <c r="W322">
        <v>36.700000000000003</v>
      </c>
      <c r="Y322" t="s">
        <v>847</v>
      </c>
      <c r="Z322">
        <v>2.2000000000000002</v>
      </c>
      <c r="AC322" s="4" t="s">
        <v>398</v>
      </c>
      <c r="AD322" s="5">
        <v>56826812</v>
      </c>
      <c r="AE322" s="5">
        <v>35857137</v>
      </c>
      <c r="AF322" s="5">
        <v>11924491</v>
      </c>
      <c r="AI322" t="s">
        <v>847</v>
      </c>
      <c r="AJ322">
        <v>23.98</v>
      </c>
      <c r="AL322" t="s">
        <v>321</v>
      </c>
      <c r="AM322">
        <v>12.56</v>
      </c>
      <c r="AO322" t="s">
        <v>321</v>
      </c>
      <c r="AP322">
        <v>66.349999999999994</v>
      </c>
      <c r="AQ322">
        <v>70.34</v>
      </c>
      <c r="AS322" t="s">
        <v>321</v>
      </c>
      <c r="AT322">
        <v>7.31</v>
      </c>
      <c r="AU322">
        <v>6.76</v>
      </c>
      <c r="AW322" t="s">
        <v>321</v>
      </c>
      <c r="AX322">
        <v>25.17</v>
      </c>
    </row>
    <row r="323" spans="1:50" x14ac:dyDescent="0.35">
      <c r="A323" t="s">
        <v>322</v>
      </c>
      <c r="B323">
        <v>96.17</v>
      </c>
      <c r="D323" t="s">
        <v>848</v>
      </c>
      <c r="E323">
        <v>64.989999999999995</v>
      </c>
      <c r="G323" t="s">
        <v>322</v>
      </c>
      <c r="H323">
        <v>0.252</v>
      </c>
      <c r="J323" t="s">
        <v>848</v>
      </c>
      <c r="K323">
        <v>10</v>
      </c>
      <c r="M323" t="s">
        <v>848</v>
      </c>
      <c r="N323">
        <v>61.91</v>
      </c>
      <c r="P323" t="s">
        <v>342</v>
      </c>
      <c r="Q323">
        <v>12.75</v>
      </c>
      <c r="S323" t="s">
        <v>322</v>
      </c>
      <c r="T323">
        <v>0.13100000000000001</v>
      </c>
      <c r="V323" t="s">
        <v>848</v>
      </c>
      <c r="W323">
        <v>51.23</v>
      </c>
      <c r="Y323" t="s">
        <v>848</v>
      </c>
      <c r="Z323">
        <v>2.14</v>
      </c>
      <c r="AC323" s="4" t="s">
        <v>407</v>
      </c>
      <c r="AD323" s="5">
        <v>33639543</v>
      </c>
      <c r="AE323" s="5">
        <v>8345384</v>
      </c>
      <c r="AF323" s="5">
        <v>7363792</v>
      </c>
      <c r="AI323" t="s">
        <v>848</v>
      </c>
      <c r="AJ323">
        <v>30.75</v>
      </c>
      <c r="AL323" t="s">
        <v>322</v>
      </c>
      <c r="AM323">
        <v>22.86</v>
      </c>
      <c r="AO323" t="s">
        <v>322</v>
      </c>
      <c r="AP323">
        <v>64.22</v>
      </c>
      <c r="AQ323">
        <v>68.11</v>
      </c>
      <c r="AS323" t="s">
        <v>322</v>
      </c>
      <c r="AT323">
        <v>8.61</v>
      </c>
      <c r="AU323">
        <v>8.0299999999999994</v>
      </c>
      <c r="AW323" t="s">
        <v>322</v>
      </c>
      <c r="AX323">
        <v>35.270000000000003</v>
      </c>
    </row>
    <row r="324" spans="1:50" x14ac:dyDescent="0.35">
      <c r="A324" t="s">
        <v>323</v>
      </c>
      <c r="B324">
        <v>96.33</v>
      </c>
      <c r="D324" t="s">
        <v>849</v>
      </c>
      <c r="E324">
        <v>55.41</v>
      </c>
      <c r="G324" t="s">
        <v>323</v>
      </c>
      <c r="H324">
        <v>0.67300000000000004</v>
      </c>
      <c r="J324" t="s">
        <v>849</v>
      </c>
      <c r="K324" t="s">
        <v>548</v>
      </c>
      <c r="M324" t="s">
        <v>849</v>
      </c>
      <c r="N324">
        <v>53.82</v>
      </c>
      <c r="P324" t="s">
        <v>343</v>
      </c>
      <c r="Q324">
        <v>20.100000000000001</v>
      </c>
      <c r="S324" t="s">
        <v>323</v>
      </c>
      <c r="T324">
        <v>0.10100000000000001</v>
      </c>
      <c r="V324" t="s">
        <v>849</v>
      </c>
      <c r="W324">
        <v>48.56</v>
      </c>
      <c r="Y324" t="s">
        <v>849</v>
      </c>
      <c r="Z324">
        <v>2.62</v>
      </c>
      <c r="AC324" s="4" t="s">
        <v>399</v>
      </c>
      <c r="AD324" s="5">
        <v>59689553</v>
      </c>
      <c r="AE324" s="5">
        <v>21835077</v>
      </c>
      <c r="AF324" s="5">
        <v>6938786</v>
      </c>
      <c r="AI324" t="s">
        <v>849</v>
      </c>
      <c r="AJ324">
        <v>18.86</v>
      </c>
      <c r="AL324" t="s">
        <v>323</v>
      </c>
      <c r="AM324">
        <v>12.06</v>
      </c>
      <c r="AO324" t="s">
        <v>323</v>
      </c>
      <c r="AP324">
        <v>66.77</v>
      </c>
      <c r="AQ324">
        <v>70.739999999999995</v>
      </c>
      <c r="AS324" t="s">
        <v>323</v>
      </c>
      <c r="AT324">
        <v>8.82</v>
      </c>
      <c r="AU324">
        <v>8.75</v>
      </c>
      <c r="AW324" t="s">
        <v>323</v>
      </c>
      <c r="AX324">
        <v>33.32</v>
      </c>
    </row>
    <row r="325" spans="1:50" x14ac:dyDescent="0.35">
      <c r="A325" t="s">
        <v>324</v>
      </c>
      <c r="B325">
        <v>88.92</v>
      </c>
      <c r="D325" t="s">
        <v>850</v>
      </c>
      <c r="E325">
        <v>67.86</v>
      </c>
      <c r="G325" t="s">
        <v>324</v>
      </c>
      <c r="H325">
        <v>0.46200000000000002</v>
      </c>
      <c r="J325" t="s">
        <v>850</v>
      </c>
      <c r="K325">
        <v>11.43</v>
      </c>
      <c r="M325" t="s">
        <v>850</v>
      </c>
      <c r="N325">
        <v>49.05</v>
      </c>
      <c r="P325" t="s">
        <v>344</v>
      </c>
      <c r="Q325">
        <v>19.73</v>
      </c>
      <c r="S325" t="s">
        <v>324</v>
      </c>
      <c r="T325">
        <v>0.252</v>
      </c>
      <c r="V325" t="s">
        <v>850</v>
      </c>
      <c r="W325">
        <v>45.98</v>
      </c>
      <c r="Y325" t="s">
        <v>850</v>
      </c>
      <c r="Z325">
        <v>2.88</v>
      </c>
      <c r="AC325" s="4" t="s">
        <v>401</v>
      </c>
      <c r="AD325" s="5">
        <v>40837671</v>
      </c>
      <c r="AE325" s="5">
        <v>16268281</v>
      </c>
      <c r="AF325" s="5">
        <v>10620856</v>
      </c>
      <c r="AI325" t="s">
        <v>850</v>
      </c>
      <c r="AJ325">
        <v>27.38</v>
      </c>
      <c r="AL325" t="s">
        <v>324</v>
      </c>
      <c r="AM325">
        <v>19.690000000000001</v>
      </c>
      <c r="AO325" t="s">
        <v>324</v>
      </c>
      <c r="AP325">
        <v>65.69</v>
      </c>
      <c r="AQ325">
        <v>69.66</v>
      </c>
      <c r="AS325" t="s">
        <v>324</v>
      </c>
      <c r="AT325">
        <v>8.26</v>
      </c>
      <c r="AU325">
        <v>7.08</v>
      </c>
      <c r="AW325" t="s">
        <v>324</v>
      </c>
      <c r="AX325">
        <v>24.24</v>
      </c>
    </row>
    <row r="326" spans="1:50" x14ac:dyDescent="0.35">
      <c r="A326" t="s">
        <v>325</v>
      </c>
      <c r="B326">
        <v>85.28</v>
      </c>
      <c r="D326" t="s">
        <v>851</v>
      </c>
      <c r="E326">
        <v>49.07</v>
      </c>
      <c r="G326" t="s">
        <v>325</v>
      </c>
      <c r="H326">
        <v>0.80800000000000005</v>
      </c>
      <c r="J326" t="s">
        <v>851</v>
      </c>
      <c r="K326" t="s">
        <v>548</v>
      </c>
      <c r="M326" t="s">
        <v>851</v>
      </c>
      <c r="N326">
        <v>56.75</v>
      </c>
      <c r="P326" t="s">
        <v>345</v>
      </c>
      <c r="Q326">
        <v>11.9</v>
      </c>
      <c r="S326" t="s">
        <v>325</v>
      </c>
      <c r="T326">
        <v>0.22800000000000001</v>
      </c>
      <c r="V326" t="s">
        <v>851</v>
      </c>
      <c r="W326">
        <v>35.46</v>
      </c>
      <c r="Y326" t="s">
        <v>851</v>
      </c>
      <c r="Z326">
        <v>3.11</v>
      </c>
      <c r="AC326" s="4" t="s">
        <v>408</v>
      </c>
      <c r="AD326" s="5">
        <v>40587972</v>
      </c>
      <c r="AE326" s="5">
        <v>16742170</v>
      </c>
      <c r="AF326" s="5">
        <v>6466933</v>
      </c>
      <c r="AI326" t="s">
        <v>851</v>
      </c>
      <c r="AJ326">
        <v>48.69</v>
      </c>
      <c r="AL326" t="s">
        <v>325</v>
      </c>
      <c r="AM326">
        <v>27.05</v>
      </c>
      <c r="AO326" t="s">
        <v>325</v>
      </c>
      <c r="AP326">
        <v>63.72</v>
      </c>
      <c r="AQ326">
        <v>67.58</v>
      </c>
      <c r="AS326" t="s">
        <v>325</v>
      </c>
      <c r="AT326">
        <v>8.31</v>
      </c>
      <c r="AU326">
        <v>7.69</v>
      </c>
      <c r="AW326" t="s">
        <v>325</v>
      </c>
      <c r="AX326">
        <v>24.76</v>
      </c>
    </row>
    <row r="327" spans="1:50" x14ac:dyDescent="0.35">
      <c r="A327" t="s">
        <v>326</v>
      </c>
      <c r="B327">
        <v>88.43</v>
      </c>
      <c r="D327" t="s">
        <v>852</v>
      </c>
      <c r="E327">
        <v>57.28</v>
      </c>
      <c r="G327" t="s">
        <v>326</v>
      </c>
      <c r="H327">
        <v>0.52300000000000002</v>
      </c>
      <c r="J327" t="s">
        <v>852</v>
      </c>
      <c r="K327">
        <v>6.67</v>
      </c>
      <c r="M327" t="s">
        <v>852</v>
      </c>
      <c r="N327">
        <v>36.85</v>
      </c>
      <c r="P327" t="s">
        <v>346</v>
      </c>
      <c r="Q327">
        <v>19.55</v>
      </c>
      <c r="S327" t="s">
        <v>326</v>
      </c>
      <c r="T327">
        <v>0.245</v>
      </c>
      <c r="V327" t="s">
        <v>852</v>
      </c>
      <c r="W327">
        <v>40.54</v>
      </c>
      <c r="Y327" t="s">
        <v>852</v>
      </c>
      <c r="Z327">
        <v>2.73</v>
      </c>
      <c r="AC327" s="4" t="s">
        <v>400</v>
      </c>
      <c r="AD327" s="5">
        <v>42761107</v>
      </c>
      <c r="AE327" s="5">
        <v>22159390</v>
      </c>
      <c r="AF327" s="5">
        <v>18035751</v>
      </c>
      <c r="AI327" t="s">
        <v>852</v>
      </c>
      <c r="AJ327">
        <v>25.64</v>
      </c>
      <c r="AL327" t="s">
        <v>326</v>
      </c>
      <c r="AM327">
        <v>16.82</v>
      </c>
      <c r="AO327" t="s">
        <v>326</v>
      </c>
      <c r="AP327">
        <v>66.05</v>
      </c>
      <c r="AQ327">
        <v>70.040000000000006</v>
      </c>
      <c r="AS327" t="s">
        <v>326</v>
      </c>
      <c r="AT327">
        <v>8.3800000000000008</v>
      </c>
      <c r="AU327">
        <v>7.6</v>
      </c>
      <c r="AW327" t="s">
        <v>326</v>
      </c>
      <c r="AX327">
        <v>24.86</v>
      </c>
    </row>
    <row r="328" spans="1:50" x14ac:dyDescent="0.35">
      <c r="A328" t="s">
        <v>327</v>
      </c>
      <c r="B328">
        <v>90.74</v>
      </c>
      <c r="D328" t="s">
        <v>853</v>
      </c>
      <c r="E328">
        <v>54.16</v>
      </c>
      <c r="G328" t="s">
        <v>327</v>
      </c>
      <c r="H328">
        <v>0.77500000000000002</v>
      </c>
      <c r="J328" t="s">
        <v>853</v>
      </c>
      <c r="K328" t="s">
        <v>548</v>
      </c>
      <c r="M328" t="s">
        <v>853</v>
      </c>
      <c r="N328">
        <v>52.21</v>
      </c>
      <c r="P328" t="s">
        <v>347</v>
      </c>
      <c r="Q328">
        <v>9.7100000000000009</v>
      </c>
      <c r="S328" t="s">
        <v>327</v>
      </c>
      <c r="T328">
        <v>0.182</v>
      </c>
      <c r="V328" t="s">
        <v>853</v>
      </c>
      <c r="W328">
        <v>42.29</v>
      </c>
      <c r="Y328" t="s">
        <v>853</v>
      </c>
      <c r="Z328">
        <v>3.34</v>
      </c>
      <c r="AC328" s="4" t="s">
        <v>402</v>
      </c>
      <c r="AD328" s="5">
        <v>45952811</v>
      </c>
      <c r="AE328" s="5">
        <v>15747170</v>
      </c>
      <c r="AF328" s="5">
        <v>16478517</v>
      </c>
      <c r="AI328" t="s">
        <v>853</v>
      </c>
      <c r="AJ328">
        <v>28.16</v>
      </c>
      <c r="AL328" t="s">
        <v>327</v>
      </c>
      <c r="AM328">
        <v>31.78</v>
      </c>
      <c r="AO328" t="s">
        <v>327</v>
      </c>
      <c r="AP328">
        <v>66.94</v>
      </c>
      <c r="AQ328">
        <v>70.91</v>
      </c>
      <c r="AS328" t="s">
        <v>327</v>
      </c>
      <c r="AT328">
        <v>7.34</v>
      </c>
      <c r="AU328">
        <v>6.85</v>
      </c>
      <c r="AW328" t="s">
        <v>327</v>
      </c>
      <c r="AX328">
        <v>24.84</v>
      </c>
    </row>
    <row r="329" spans="1:50" ht="28" x14ac:dyDescent="0.35">
      <c r="A329" t="s">
        <v>328</v>
      </c>
      <c r="B329">
        <v>98.26</v>
      </c>
      <c r="D329" t="s">
        <v>854</v>
      </c>
      <c r="E329">
        <v>65.040000000000006</v>
      </c>
      <c r="G329" t="s">
        <v>328</v>
      </c>
      <c r="H329">
        <v>0.49299999999999999</v>
      </c>
      <c r="J329" t="s">
        <v>854</v>
      </c>
      <c r="K329">
        <v>8.57</v>
      </c>
      <c r="M329" t="s">
        <v>854</v>
      </c>
      <c r="N329">
        <v>56.78</v>
      </c>
      <c r="P329" t="s">
        <v>348</v>
      </c>
      <c r="Q329">
        <v>9.2899999999999991</v>
      </c>
      <c r="S329" t="s">
        <v>328</v>
      </c>
      <c r="T329">
        <v>0.161</v>
      </c>
      <c r="V329" t="s">
        <v>854</v>
      </c>
      <c r="W329">
        <v>43.86</v>
      </c>
      <c r="Y329" t="s">
        <v>854</v>
      </c>
      <c r="Z329">
        <v>3.58</v>
      </c>
      <c r="AC329" s="4" t="s">
        <v>404</v>
      </c>
      <c r="AD329" s="5">
        <v>33742216</v>
      </c>
      <c r="AE329" s="5">
        <v>21077583</v>
      </c>
      <c r="AF329" s="5">
        <v>23020981</v>
      </c>
      <c r="AI329" t="s">
        <v>854</v>
      </c>
      <c r="AJ329">
        <v>46.73</v>
      </c>
      <c r="AL329" t="s">
        <v>328</v>
      </c>
      <c r="AM329">
        <v>27.48</v>
      </c>
      <c r="AO329" t="s">
        <v>328</v>
      </c>
      <c r="AP329">
        <v>67.06</v>
      </c>
      <c r="AQ329">
        <v>71.03</v>
      </c>
      <c r="AS329" t="s">
        <v>328</v>
      </c>
      <c r="AT329">
        <v>6.47</v>
      </c>
      <c r="AU329">
        <v>6.25</v>
      </c>
      <c r="AW329" t="s">
        <v>328</v>
      </c>
      <c r="AX329">
        <v>24.08</v>
      </c>
    </row>
    <row r="330" spans="1:50" ht="28" x14ac:dyDescent="0.35">
      <c r="A330" t="s">
        <v>329</v>
      </c>
      <c r="B330">
        <v>97.94</v>
      </c>
      <c r="D330" t="s">
        <v>855</v>
      </c>
      <c r="E330">
        <v>53.21</v>
      </c>
      <c r="G330" t="s">
        <v>329</v>
      </c>
      <c r="H330">
        <v>0.66</v>
      </c>
      <c r="J330" t="s">
        <v>855</v>
      </c>
      <c r="K330" t="s">
        <v>548</v>
      </c>
      <c r="M330" t="s">
        <v>855</v>
      </c>
      <c r="N330">
        <v>58.06</v>
      </c>
      <c r="P330" t="s">
        <v>350</v>
      </c>
      <c r="Q330">
        <v>6.52</v>
      </c>
      <c r="S330" t="s">
        <v>329</v>
      </c>
      <c r="T330">
        <v>0.13</v>
      </c>
      <c r="V330" t="s">
        <v>855</v>
      </c>
      <c r="W330">
        <v>49.97</v>
      </c>
      <c r="Y330" t="s">
        <v>855</v>
      </c>
      <c r="Z330">
        <v>2.4700000000000002</v>
      </c>
      <c r="AC330" s="4" t="s">
        <v>403</v>
      </c>
      <c r="AD330" s="5">
        <v>37883611</v>
      </c>
      <c r="AE330" s="5">
        <v>25247888</v>
      </c>
      <c r="AF330" s="5">
        <v>35497063</v>
      </c>
      <c r="AI330" t="s">
        <v>855</v>
      </c>
      <c r="AJ330">
        <v>24.89</v>
      </c>
      <c r="AL330" t="s">
        <v>329</v>
      </c>
      <c r="AM330">
        <v>12.33</v>
      </c>
      <c r="AO330" t="s">
        <v>329</v>
      </c>
      <c r="AP330">
        <v>65.959999999999994</v>
      </c>
      <c r="AQ330">
        <v>69.95</v>
      </c>
      <c r="AS330" t="s">
        <v>329</v>
      </c>
      <c r="AT330">
        <v>8.4</v>
      </c>
      <c r="AU330">
        <v>7.92</v>
      </c>
      <c r="AW330" t="s">
        <v>329</v>
      </c>
      <c r="AX330">
        <v>27.06</v>
      </c>
    </row>
    <row r="331" spans="1:50" x14ac:dyDescent="0.35">
      <c r="A331" t="s">
        <v>330</v>
      </c>
      <c r="B331">
        <v>91.41</v>
      </c>
      <c r="D331" t="s">
        <v>856</v>
      </c>
      <c r="E331">
        <v>53.62</v>
      </c>
      <c r="G331" t="s">
        <v>330</v>
      </c>
      <c r="H331">
        <v>0.59599999999999997</v>
      </c>
      <c r="J331" t="s">
        <v>856</v>
      </c>
      <c r="K331">
        <v>3.33</v>
      </c>
      <c r="M331" t="s">
        <v>856</v>
      </c>
      <c r="N331">
        <v>48.71</v>
      </c>
      <c r="P331" t="s">
        <v>351</v>
      </c>
      <c r="Q331">
        <v>8.44</v>
      </c>
      <c r="S331" t="s">
        <v>330</v>
      </c>
      <c r="T331">
        <v>0.215</v>
      </c>
      <c r="V331" t="s">
        <v>856</v>
      </c>
      <c r="W331">
        <v>37.06</v>
      </c>
      <c r="Y331" t="s">
        <v>856</v>
      </c>
      <c r="Z331">
        <v>3.01</v>
      </c>
      <c r="AC331" s="4" t="s">
        <v>1128</v>
      </c>
      <c r="AD331" s="5">
        <v>184058488</v>
      </c>
      <c r="AE331" s="5">
        <v>32579126</v>
      </c>
      <c r="AF331" s="5">
        <v>75507358</v>
      </c>
      <c r="AI331" t="s">
        <v>856</v>
      </c>
      <c r="AJ331">
        <v>24.05</v>
      </c>
      <c r="AL331" t="s">
        <v>330</v>
      </c>
      <c r="AM331">
        <v>25.06</v>
      </c>
      <c r="AO331" t="s">
        <v>330</v>
      </c>
      <c r="AP331">
        <v>66.55</v>
      </c>
      <c r="AQ331">
        <v>70.53</v>
      </c>
      <c r="AS331" t="s">
        <v>330</v>
      </c>
      <c r="AT331">
        <v>8.0500000000000007</v>
      </c>
      <c r="AU331">
        <v>7.52</v>
      </c>
      <c r="AW331" t="s">
        <v>330</v>
      </c>
      <c r="AX331">
        <v>21.28</v>
      </c>
    </row>
    <row r="332" spans="1:50" x14ac:dyDescent="0.35">
      <c r="A332" t="s">
        <v>331</v>
      </c>
      <c r="B332">
        <v>92.25</v>
      </c>
      <c r="D332" t="s">
        <v>857</v>
      </c>
      <c r="E332">
        <v>56.5</v>
      </c>
      <c r="G332" t="s">
        <v>331</v>
      </c>
      <c r="H332">
        <v>0.497</v>
      </c>
      <c r="J332" t="s">
        <v>857</v>
      </c>
      <c r="K332">
        <v>10</v>
      </c>
      <c r="M332" t="s">
        <v>857</v>
      </c>
      <c r="N332">
        <v>53.29</v>
      </c>
      <c r="P332" t="s">
        <v>352</v>
      </c>
      <c r="Q332">
        <v>16.09</v>
      </c>
      <c r="S332" t="s">
        <v>331</v>
      </c>
      <c r="T332">
        <v>0.17100000000000001</v>
      </c>
      <c r="V332" t="s">
        <v>857</v>
      </c>
      <c r="W332">
        <v>35.409999999999997</v>
      </c>
      <c r="Y332" t="s">
        <v>857</v>
      </c>
      <c r="Z332">
        <v>3.29</v>
      </c>
      <c r="AC332" s="4" t="s">
        <v>411</v>
      </c>
      <c r="AD332" s="5">
        <v>102728254</v>
      </c>
      <c r="AE332" s="5">
        <v>35173114</v>
      </c>
      <c r="AF332" s="5">
        <v>29851600</v>
      </c>
      <c r="AI332" t="s">
        <v>857</v>
      </c>
      <c r="AJ332">
        <v>57.68</v>
      </c>
      <c r="AL332" t="s">
        <v>331</v>
      </c>
      <c r="AM332">
        <v>28.37</v>
      </c>
      <c r="AO332" t="s">
        <v>331</v>
      </c>
      <c r="AP332">
        <v>59.26</v>
      </c>
      <c r="AQ332">
        <v>62.95</v>
      </c>
      <c r="AS332" t="s">
        <v>331</v>
      </c>
      <c r="AT332">
        <v>7.08</v>
      </c>
      <c r="AU332">
        <v>6.97</v>
      </c>
      <c r="AW332" t="s">
        <v>331</v>
      </c>
      <c r="AX332">
        <v>25.75</v>
      </c>
    </row>
    <row r="333" spans="1:50" x14ac:dyDescent="0.35">
      <c r="A333" t="s">
        <v>332</v>
      </c>
      <c r="B333">
        <v>90.43</v>
      </c>
      <c r="D333" t="s">
        <v>858</v>
      </c>
      <c r="E333">
        <v>59.75</v>
      </c>
      <c r="G333" t="s">
        <v>332</v>
      </c>
      <c r="H333">
        <v>0.45400000000000001</v>
      </c>
      <c r="J333" t="s">
        <v>858</v>
      </c>
      <c r="K333">
        <v>12</v>
      </c>
      <c r="M333" t="s">
        <v>858</v>
      </c>
      <c r="N333">
        <v>51.34</v>
      </c>
      <c r="P333" t="s">
        <v>353</v>
      </c>
      <c r="Q333">
        <v>11.68</v>
      </c>
      <c r="S333" t="s">
        <v>332</v>
      </c>
      <c r="T333">
        <v>0.18</v>
      </c>
      <c r="V333" t="s">
        <v>858</v>
      </c>
      <c r="W333">
        <v>49.87</v>
      </c>
      <c r="Y333" t="s">
        <v>858</v>
      </c>
      <c r="Z333">
        <v>2.69</v>
      </c>
      <c r="AC333" s="4" t="s">
        <v>410</v>
      </c>
      <c r="AD333" s="5">
        <v>55170428</v>
      </c>
      <c r="AE333" s="5">
        <v>33522120</v>
      </c>
      <c r="AF333" s="5">
        <v>42584818</v>
      </c>
      <c r="AI333" t="s">
        <v>858</v>
      </c>
      <c r="AJ333">
        <v>20.32</v>
      </c>
      <c r="AL333" t="s">
        <v>332</v>
      </c>
      <c r="AM333">
        <v>14.42</v>
      </c>
      <c r="AO333" t="s">
        <v>332</v>
      </c>
      <c r="AP333">
        <v>63.78</v>
      </c>
      <c r="AQ333">
        <v>67.650000000000006</v>
      </c>
      <c r="AS333" t="s">
        <v>332</v>
      </c>
      <c r="AT333">
        <v>7.47</v>
      </c>
      <c r="AU333">
        <v>6.91</v>
      </c>
      <c r="AW333" t="s">
        <v>332</v>
      </c>
      <c r="AX333">
        <v>26.38</v>
      </c>
    </row>
    <row r="334" spans="1:50" x14ac:dyDescent="0.35">
      <c r="A334" t="s">
        <v>333</v>
      </c>
      <c r="B334">
        <v>96.39</v>
      </c>
      <c r="D334" t="s">
        <v>859</v>
      </c>
      <c r="E334">
        <v>75.22</v>
      </c>
      <c r="G334" t="s">
        <v>333</v>
      </c>
      <c r="H334">
        <v>0.38800000000000001</v>
      </c>
      <c r="J334" t="s">
        <v>859</v>
      </c>
      <c r="K334">
        <v>20</v>
      </c>
      <c r="M334" t="s">
        <v>859</v>
      </c>
      <c r="N334">
        <v>47.07</v>
      </c>
      <c r="P334" t="s">
        <v>354</v>
      </c>
      <c r="Q334">
        <v>13.2</v>
      </c>
      <c r="S334" t="s">
        <v>333</v>
      </c>
      <c r="T334">
        <v>0.20499999999999999</v>
      </c>
      <c r="V334" t="s">
        <v>859</v>
      </c>
      <c r="W334">
        <v>38.01</v>
      </c>
      <c r="Y334" t="s">
        <v>859</v>
      </c>
      <c r="Z334">
        <v>2.4300000000000002</v>
      </c>
      <c r="AC334" s="4" t="s">
        <v>416</v>
      </c>
      <c r="AD334" s="5">
        <v>59038959</v>
      </c>
      <c r="AE334" s="5">
        <v>27384490</v>
      </c>
      <c r="AF334" s="5">
        <v>45700118</v>
      </c>
      <c r="AI334" t="s">
        <v>859</v>
      </c>
      <c r="AJ334">
        <v>17.68</v>
      </c>
      <c r="AL334" t="s">
        <v>333</v>
      </c>
      <c r="AM334">
        <v>8.61</v>
      </c>
      <c r="AO334" t="s">
        <v>333</v>
      </c>
      <c r="AP334">
        <v>68.599999999999994</v>
      </c>
      <c r="AQ334">
        <v>72.540000000000006</v>
      </c>
      <c r="AS334" t="s">
        <v>333</v>
      </c>
      <c r="AT334">
        <v>12.04</v>
      </c>
      <c r="AU334">
        <v>11.49</v>
      </c>
      <c r="AW334" t="s">
        <v>333</v>
      </c>
      <c r="AX334">
        <v>59.66</v>
      </c>
    </row>
    <row r="335" spans="1:50" x14ac:dyDescent="0.35">
      <c r="A335" t="s">
        <v>334</v>
      </c>
      <c r="B335">
        <v>88.06</v>
      </c>
      <c r="D335" t="s">
        <v>334</v>
      </c>
      <c r="E335">
        <v>73.05</v>
      </c>
      <c r="G335" t="s">
        <v>334</v>
      </c>
      <c r="H335">
        <v>0.51900000000000002</v>
      </c>
      <c r="J335" t="s">
        <v>334</v>
      </c>
      <c r="K335">
        <v>18.46</v>
      </c>
      <c r="M335" t="s">
        <v>334</v>
      </c>
      <c r="N335">
        <v>45.34</v>
      </c>
      <c r="P335" t="s">
        <v>355</v>
      </c>
      <c r="Q335">
        <v>6.43</v>
      </c>
      <c r="S335" t="s">
        <v>334</v>
      </c>
      <c r="T335">
        <v>0.32600000000000001</v>
      </c>
      <c r="V335" t="s">
        <v>334</v>
      </c>
      <c r="W335">
        <v>35.28</v>
      </c>
      <c r="Y335" t="s">
        <v>334</v>
      </c>
      <c r="Z335">
        <v>2.33</v>
      </c>
      <c r="AC335" s="4" t="s">
        <v>415</v>
      </c>
      <c r="AD335" s="5">
        <v>71238090</v>
      </c>
      <c r="AE335" s="5">
        <v>49801602</v>
      </c>
      <c r="AF335" s="5">
        <v>34186705</v>
      </c>
      <c r="AI335" t="s">
        <v>334</v>
      </c>
      <c r="AJ335">
        <v>20.440000000000001</v>
      </c>
      <c r="AL335" t="s">
        <v>334</v>
      </c>
      <c r="AM335">
        <v>6.71</v>
      </c>
      <c r="AO335" t="s">
        <v>334</v>
      </c>
      <c r="AP335">
        <v>69.38</v>
      </c>
      <c r="AQ335">
        <v>73.349999999999994</v>
      </c>
      <c r="AS335" t="s">
        <v>334</v>
      </c>
      <c r="AT335">
        <v>7.99</v>
      </c>
      <c r="AU335">
        <v>7.35</v>
      </c>
      <c r="AW335" t="s">
        <v>334</v>
      </c>
      <c r="AX335">
        <v>30.46</v>
      </c>
    </row>
    <row r="336" spans="1:50" x14ac:dyDescent="0.35">
      <c r="A336" t="s">
        <v>335</v>
      </c>
      <c r="B336">
        <v>88.37</v>
      </c>
      <c r="D336" t="s">
        <v>860</v>
      </c>
      <c r="E336">
        <v>67.2</v>
      </c>
      <c r="G336" t="s">
        <v>335</v>
      </c>
      <c r="H336">
        <v>0.48699999999999999</v>
      </c>
      <c r="J336" t="s">
        <v>860</v>
      </c>
      <c r="K336">
        <v>13.33</v>
      </c>
      <c r="M336" t="s">
        <v>860</v>
      </c>
      <c r="N336">
        <v>38.049999999999997</v>
      </c>
      <c r="P336" t="s">
        <v>356</v>
      </c>
      <c r="Q336">
        <v>7.13</v>
      </c>
      <c r="S336" t="s">
        <v>335</v>
      </c>
      <c r="T336">
        <v>0.23599999999999999</v>
      </c>
      <c r="V336" t="s">
        <v>860</v>
      </c>
      <c r="W336">
        <v>38.67</v>
      </c>
      <c r="Y336" t="s">
        <v>860</v>
      </c>
      <c r="Z336">
        <v>2.5</v>
      </c>
      <c r="AC336" s="4" t="s">
        <v>414</v>
      </c>
      <c r="AD336" s="5">
        <v>89420942</v>
      </c>
      <c r="AE336" s="5">
        <v>52979750</v>
      </c>
      <c r="AF336" s="5">
        <v>31473380</v>
      </c>
      <c r="AI336" t="s">
        <v>860</v>
      </c>
      <c r="AJ336">
        <v>20</v>
      </c>
      <c r="AL336" t="s">
        <v>335</v>
      </c>
      <c r="AM336">
        <v>7.08</v>
      </c>
      <c r="AO336" t="s">
        <v>335</v>
      </c>
      <c r="AP336">
        <v>67.83</v>
      </c>
      <c r="AQ336">
        <v>71.78</v>
      </c>
      <c r="AS336" t="s">
        <v>335</v>
      </c>
      <c r="AT336">
        <v>7.39</v>
      </c>
      <c r="AU336">
        <v>6.14</v>
      </c>
      <c r="AW336" t="s">
        <v>335</v>
      </c>
      <c r="AX336">
        <v>20.18</v>
      </c>
    </row>
    <row r="337" spans="1:50" x14ac:dyDescent="0.35">
      <c r="A337" t="s">
        <v>336</v>
      </c>
      <c r="B337">
        <v>83.68</v>
      </c>
      <c r="D337" t="s">
        <v>861</v>
      </c>
      <c r="E337">
        <v>76.37</v>
      </c>
      <c r="G337" t="s">
        <v>336</v>
      </c>
      <c r="H337">
        <v>0.432</v>
      </c>
      <c r="J337" t="s">
        <v>861</v>
      </c>
      <c r="K337">
        <v>23.33</v>
      </c>
      <c r="M337" t="s">
        <v>861</v>
      </c>
      <c r="N337">
        <v>49.42</v>
      </c>
      <c r="P337" t="s">
        <v>357</v>
      </c>
      <c r="Q337">
        <v>7.11</v>
      </c>
      <c r="S337" t="s">
        <v>336</v>
      </c>
      <c r="T337">
        <v>0.28399999999999997</v>
      </c>
      <c r="V337" t="s">
        <v>861</v>
      </c>
      <c r="W337">
        <v>37.67</v>
      </c>
      <c r="Y337" t="s">
        <v>861</v>
      </c>
      <c r="Z337">
        <v>2.3199999999999998</v>
      </c>
      <c r="AC337" s="4" t="s">
        <v>412</v>
      </c>
      <c r="AD337" s="5">
        <v>64761101</v>
      </c>
      <c r="AE337" s="5">
        <v>28052579</v>
      </c>
      <c r="AF337" s="5">
        <v>26740546</v>
      </c>
      <c r="AI337" t="s">
        <v>861</v>
      </c>
      <c r="AJ337">
        <v>19.37</v>
      </c>
      <c r="AL337" t="s">
        <v>336</v>
      </c>
      <c r="AM337">
        <v>6.28</v>
      </c>
      <c r="AO337" t="s">
        <v>336</v>
      </c>
      <c r="AP337">
        <v>72.41</v>
      </c>
      <c r="AQ337">
        <v>76.739999999999995</v>
      </c>
      <c r="AS337" t="s">
        <v>336</v>
      </c>
      <c r="AT337">
        <v>7.62</v>
      </c>
      <c r="AU337">
        <v>6.68</v>
      </c>
      <c r="AW337" t="s">
        <v>336</v>
      </c>
      <c r="AX337">
        <v>32.81</v>
      </c>
    </row>
    <row r="338" spans="1:50" x14ac:dyDescent="0.35">
      <c r="A338" t="s">
        <v>337</v>
      </c>
      <c r="B338">
        <v>89.45</v>
      </c>
      <c r="D338" t="s">
        <v>862</v>
      </c>
      <c r="E338">
        <v>65.53</v>
      </c>
      <c r="G338" t="s">
        <v>337</v>
      </c>
      <c r="H338">
        <v>0.52400000000000002</v>
      </c>
      <c r="J338" t="s">
        <v>862</v>
      </c>
      <c r="K338">
        <v>11.43</v>
      </c>
      <c r="M338" t="s">
        <v>862</v>
      </c>
      <c r="N338">
        <v>38.72</v>
      </c>
      <c r="P338" t="s">
        <v>358</v>
      </c>
      <c r="Q338">
        <v>7.47</v>
      </c>
      <c r="S338" t="s">
        <v>337</v>
      </c>
      <c r="T338">
        <v>0.45200000000000001</v>
      </c>
      <c r="V338" t="s">
        <v>862</v>
      </c>
      <c r="W338">
        <v>35.299999999999997</v>
      </c>
      <c r="Y338" t="s">
        <v>862</v>
      </c>
      <c r="Z338">
        <v>2.38</v>
      </c>
      <c r="AC338" s="4" t="s">
        <v>413</v>
      </c>
      <c r="AD338" s="5">
        <v>74902888</v>
      </c>
      <c r="AE338" s="5">
        <v>28564561</v>
      </c>
      <c r="AF338" s="5">
        <v>37536973</v>
      </c>
      <c r="AI338" t="s">
        <v>862</v>
      </c>
      <c r="AJ338">
        <v>20.8</v>
      </c>
      <c r="AL338" t="s">
        <v>337</v>
      </c>
      <c r="AM338">
        <v>9.9700000000000006</v>
      </c>
      <c r="AO338" t="s">
        <v>337</v>
      </c>
      <c r="AP338">
        <v>71.510000000000005</v>
      </c>
      <c r="AQ338">
        <v>76.150000000000006</v>
      </c>
      <c r="AS338" t="s">
        <v>337</v>
      </c>
      <c r="AT338">
        <v>8.0399999999999991</v>
      </c>
      <c r="AU338">
        <v>6.96</v>
      </c>
      <c r="AW338" t="s">
        <v>337</v>
      </c>
      <c r="AX338">
        <v>26.94</v>
      </c>
    </row>
    <row r="339" spans="1:50" x14ac:dyDescent="0.35">
      <c r="A339" t="s">
        <v>338</v>
      </c>
      <c r="B339">
        <v>88.9</v>
      </c>
      <c r="D339" t="s">
        <v>863</v>
      </c>
      <c r="E339">
        <v>61.79</v>
      </c>
      <c r="G339" t="s">
        <v>338</v>
      </c>
      <c r="H339">
        <v>0.55500000000000005</v>
      </c>
      <c r="J339" t="s">
        <v>863</v>
      </c>
      <c r="K339">
        <v>8.57</v>
      </c>
      <c r="M339" t="s">
        <v>863</v>
      </c>
      <c r="N339">
        <v>59.83</v>
      </c>
      <c r="P339" t="s">
        <v>359</v>
      </c>
      <c r="Q339">
        <v>10.73</v>
      </c>
      <c r="S339" t="s">
        <v>338</v>
      </c>
      <c r="T339">
        <v>0.28599999999999998</v>
      </c>
      <c r="V339" t="s">
        <v>863</v>
      </c>
      <c r="W339">
        <v>35.520000000000003</v>
      </c>
      <c r="Y339" t="s">
        <v>1080</v>
      </c>
      <c r="Z339">
        <v>2.33</v>
      </c>
      <c r="AC339" s="4" t="s">
        <v>422</v>
      </c>
      <c r="AD339" s="5">
        <v>63924410</v>
      </c>
      <c r="AE339" s="5">
        <v>28985715</v>
      </c>
      <c r="AF339" s="5">
        <v>11540152</v>
      </c>
      <c r="AI339" t="s">
        <v>1080</v>
      </c>
      <c r="AJ339">
        <v>19.899999999999999</v>
      </c>
      <c r="AL339" t="s">
        <v>1167</v>
      </c>
      <c r="AM339">
        <v>5.21</v>
      </c>
      <c r="AO339" t="s">
        <v>338</v>
      </c>
      <c r="AP339">
        <v>69.790000000000006</v>
      </c>
      <c r="AQ339">
        <v>73.78</v>
      </c>
      <c r="AS339" t="s">
        <v>338</v>
      </c>
      <c r="AT339">
        <v>7.59</v>
      </c>
      <c r="AU339">
        <v>6.95</v>
      </c>
      <c r="AW339" t="s">
        <v>338</v>
      </c>
      <c r="AX339">
        <v>25.88</v>
      </c>
    </row>
    <row r="340" spans="1:50" x14ac:dyDescent="0.35">
      <c r="A340" t="s">
        <v>339</v>
      </c>
      <c r="B340">
        <v>82.66</v>
      </c>
      <c r="D340" t="s">
        <v>864</v>
      </c>
      <c r="E340">
        <v>73.86</v>
      </c>
      <c r="G340" t="s">
        <v>339</v>
      </c>
      <c r="H340">
        <v>0.54100000000000004</v>
      </c>
      <c r="J340" t="s">
        <v>864</v>
      </c>
      <c r="K340">
        <v>22.5</v>
      </c>
      <c r="M340" t="s">
        <v>864</v>
      </c>
      <c r="N340">
        <v>41.17</v>
      </c>
      <c r="P340" t="s">
        <v>360</v>
      </c>
      <c r="Q340">
        <v>8.24</v>
      </c>
      <c r="S340" t="s">
        <v>339</v>
      </c>
      <c r="T340">
        <v>0.39700000000000002</v>
      </c>
      <c r="V340" t="s">
        <v>864</v>
      </c>
      <c r="W340">
        <v>32.630000000000003</v>
      </c>
      <c r="Y340" t="s">
        <v>864</v>
      </c>
      <c r="Z340">
        <v>2.33</v>
      </c>
      <c r="AC340" s="4" t="s">
        <v>417</v>
      </c>
      <c r="AD340" s="5">
        <v>118366340</v>
      </c>
      <c r="AE340" s="5">
        <v>65897120</v>
      </c>
      <c r="AF340" s="5">
        <v>32886952</v>
      </c>
      <c r="AI340" t="s">
        <v>864</v>
      </c>
      <c r="AJ340">
        <v>17.93</v>
      </c>
      <c r="AL340" t="s">
        <v>339</v>
      </c>
      <c r="AM340">
        <v>4.79</v>
      </c>
      <c r="AO340" t="s">
        <v>339</v>
      </c>
      <c r="AP340">
        <v>69.819999999999993</v>
      </c>
      <c r="AQ340">
        <v>73.81</v>
      </c>
      <c r="AS340" t="s">
        <v>339</v>
      </c>
      <c r="AT340">
        <v>7.92</v>
      </c>
      <c r="AU340">
        <v>7.14</v>
      </c>
      <c r="AW340" t="s">
        <v>339</v>
      </c>
      <c r="AX340">
        <v>27.13</v>
      </c>
    </row>
    <row r="341" spans="1:50" x14ac:dyDescent="0.35">
      <c r="A341" t="s">
        <v>340</v>
      </c>
      <c r="B341">
        <v>89.46</v>
      </c>
      <c r="D341" t="s">
        <v>865</v>
      </c>
      <c r="E341">
        <v>56.46</v>
      </c>
      <c r="G341" t="s">
        <v>340</v>
      </c>
      <c r="H341">
        <v>0.60199999999999998</v>
      </c>
      <c r="J341" t="s">
        <v>865</v>
      </c>
      <c r="K341">
        <v>8.89</v>
      </c>
      <c r="M341" t="s">
        <v>865</v>
      </c>
      <c r="N341">
        <v>47.81</v>
      </c>
      <c r="P341" t="s">
        <v>361</v>
      </c>
      <c r="Q341">
        <v>10.92</v>
      </c>
      <c r="S341" t="s">
        <v>340</v>
      </c>
      <c r="T341">
        <v>0.34699999999999998</v>
      </c>
      <c r="V341" t="s">
        <v>865</v>
      </c>
      <c r="W341">
        <v>25.85</v>
      </c>
      <c r="Y341" t="s">
        <v>865</v>
      </c>
      <c r="Z341">
        <v>2.2799999999999998</v>
      </c>
      <c r="AC341" s="4" t="s">
        <v>418</v>
      </c>
      <c r="AD341" s="5">
        <v>67691714</v>
      </c>
      <c r="AE341" s="5">
        <v>41687825</v>
      </c>
      <c r="AF341" s="5">
        <v>51343903</v>
      </c>
      <c r="AI341" t="s">
        <v>865</v>
      </c>
      <c r="AJ341">
        <v>20</v>
      </c>
      <c r="AL341" t="s">
        <v>340</v>
      </c>
      <c r="AM341">
        <v>9.25</v>
      </c>
      <c r="AO341" t="s">
        <v>340</v>
      </c>
      <c r="AP341">
        <v>69.52</v>
      </c>
      <c r="AQ341">
        <v>73.489999999999995</v>
      </c>
      <c r="AS341" t="s">
        <v>340</v>
      </c>
      <c r="AT341">
        <v>7.99</v>
      </c>
      <c r="AU341">
        <v>7.5</v>
      </c>
      <c r="AW341" t="s">
        <v>340</v>
      </c>
      <c r="AX341">
        <v>26.05</v>
      </c>
    </row>
    <row r="342" spans="1:50" x14ac:dyDescent="0.35">
      <c r="A342" t="s">
        <v>341</v>
      </c>
      <c r="B342">
        <v>87.74</v>
      </c>
      <c r="D342" t="s">
        <v>866</v>
      </c>
      <c r="E342">
        <v>63.7</v>
      </c>
      <c r="G342" t="s">
        <v>341</v>
      </c>
      <c r="H342">
        <v>0.59099999999999997</v>
      </c>
      <c r="J342" t="s">
        <v>866</v>
      </c>
      <c r="K342">
        <v>12.5</v>
      </c>
      <c r="M342" t="s">
        <v>866</v>
      </c>
      <c r="N342">
        <v>47.34</v>
      </c>
      <c r="P342" t="s">
        <v>362</v>
      </c>
      <c r="Q342">
        <v>8.9700000000000006</v>
      </c>
      <c r="S342" t="s">
        <v>341</v>
      </c>
      <c r="T342">
        <v>0.40300000000000002</v>
      </c>
      <c r="V342" t="s">
        <v>866</v>
      </c>
      <c r="W342">
        <v>31.82</v>
      </c>
      <c r="Y342" t="s">
        <v>866</v>
      </c>
      <c r="Z342">
        <v>2.4</v>
      </c>
      <c r="AC342" s="4" t="s">
        <v>419</v>
      </c>
      <c r="AD342" s="5">
        <v>72323255</v>
      </c>
      <c r="AE342" s="5">
        <v>36652286</v>
      </c>
      <c r="AF342" s="5">
        <v>38029601</v>
      </c>
      <c r="AI342" t="s">
        <v>866</v>
      </c>
      <c r="AJ342">
        <v>19.600000000000001</v>
      </c>
      <c r="AL342" t="s">
        <v>341</v>
      </c>
      <c r="AM342">
        <v>8.18</v>
      </c>
      <c r="AO342" t="s">
        <v>341</v>
      </c>
      <c r="AP342">
        <v>70.45</v>
      </c>
      <c r="AQ342">
        <v>74.47</v>
      </c>
      <c r="AS342" t="s">
        <v>341</v>
      </c>
      <c r="AT342">
        <v>7.98</v>
      </c>
      <c r="AU342">
        <v>7.15</v>
      </c>
      <c r="AW342" t="s">
        <v>341</v>
      </c>
      <c r="AX342">
        <v>25.76</v>
      </c>
    </row>
    <row r="343" spans="1:50" x14ac:dyDescent="0.35">
      <c r="A343" t="s">
        <v>342</v>
      </c>
      <c r="B343">
        <v>86.52</v>
      </c>
      <c r="D343" t="s">
        <v>867</v>
      </c>
      <c r="E343">
        <v>63.76</v>
      </c>
      <c r="G343" t="s">
        <v>342</v>
      </c>
      <c r="H343">
        <v>0.498</v>
      </c>
      <c r="J343" t="s">
        <v>867</v>
      </c>
      <c r="K343">
        <v>6.67</v>
      </c>
      <c r="M343" t="s">
        <v>867</v>
      </c>
      <c r="N343">
        <v>45.74</v>
      </c>
      <c r="P343" t="s">
        <v>363</v>
      </c>
      <c r="Q343">
        <v>6.34</v>
      </c>
      <c r="S343" t="s">
        <v>342</v>
      </c>
      <c r="T343">
        <v>0.36799999999999999</v>
      </c>
      <c r="V343" t="s">
        <v>867</v>
      </c>
      <c r="W343">
        <v>40.909999999999997</v>
      </c>
      <c r="Y343" t="s">
        <v>867</v>
      </c>
      <c r="Z343">
        <v>2.33</v>
      </c>
      <c r="AC343" s="4" t="s">
        <v>420</v>
      </c>
      <c r="AD343" s="5">
        <v>51404276</v>
      </c>
      <c r="AE343" s="5">
        <v>30136352</v>
      </c>
      <c r="AF343" s="5">
        <v>31880247</v>
      </c>
      <c r="AI343" t="s">
        <v>867</v>
      </c>
      <c r="AJ343">
        <v>21.06</v>
      </c>
      <c r="AL343" t="s">
        <v>342</v>
      </c>
      <c r="AM343">
        <v>8.16</v>
      </c>
      <c r="AO343" t="s">
        <v>342</v>
      </c>
      <c r="AP343">
        <v>70.91</v>
      </c>
      <c r="AQ343">
        <v>74.94</v>
      </c>
      <c r="AS343" t="s">
        <v>342</v>
      </c>
      <c r="AT343">
        <v>8.2200000000000006</v>
      </c>
      <c r="AU343">
        <v>7.52</v>
      </c>
      <c r="AW343" t="s">
        <v>342</v>
      </c>
      <c r="AX343">
        <v>29.64</v>
      </c>
    </row>
    <row r="344" spans="1:50" x14ac:dyDescent="0.35">
      <c r="A344" t="s">
        <v>343</v>
      </c>
      <c r="B344">
        <v>84.07</v>
      </c>
      <c r="D344" t="s">
        <v>868</v>
      </c>
      <c r="E344">
        <v>57.74</v>
      </c>
      <c r="G344" t="s">
        <v>343</v>
      </c>
      <c r="H344">
        <v>0.66100000000000003</v>
      </c>
      <c r="J344" t="s">
        <v>868</v>
      </c>
      <c r="K344">
        <v>3.33</v>
      </c>
      <c r="M344" t="s">
        <v>868</v>
      </c>
      <c r="N344">
        <v>42.21</v>
      </c>
      <c r="P344" t="s">
        <v>365</v>
      </c>
      <c r="Q344">
        <v>4.0599999999999996</v>
      </c>
      <c r="S344" t="s">
        <v>343</v>
      </c>
      <c r="T344">
        <v>0.39600000000000002</v>
      </c>
      <c r="V344" t="s">
        <v>868</v>
      </c>
      <c r="W344">
        <v>39.67</v>
      </c>
      <c r="Y344" t="s">
        <v>868</v>
      </c>
      <c r="Z344">
        <v>2.36</v>
      </c>
      <c r="AC344" s="4" t="s">
        <v>421</v>
      </c>
      <c r="AD344" s="5">
        <v>63648999</v>
      </c>
      <c r="AE344" s="5">
        <v>31511080</v>
      </c>
      <c r="AF344" s="5">
        <v>48354259</v>
      </c>
      <c r="AI344" t="s">
        <v>868</v>
      </c>
      <c r="AJ344">
        <v>20.92</v>
      </c>
      <c r="AL344" t="s">
        <v>343</v>
      </c>
      <c r="AM344">
        <v>5.9</v>
      </c>
      <c r="AO344" t="s">
        <v>343</v>
      </c>
      <c r="AP344">
        <v>70.77</v>
      </c>
      <c r="AQ344">
        <v>74.8</v>
      </c>
      <c r="AS344" t="s">
        <v>343</v>
      </c>
      <c r="AT344">
        <v>7.64</v>
      </c>
      <c r="AU344">
        <v>6.59</v>
      </c>
      <c r="AW344" t="s">
        <v>343</v>
      </c>
      <c r="AX344">
        <v>20.94</v>
      </c>
    </row>
    <row r="345" spans="1:50" x14ac:dyDescent="0.35">
      <c r="A345" t="s">
        <v>344</v>
      </c>
      <c r="B345">
        <v>81.22</v>
      </c>
      <c r="D345" t="s">
        <v>869</v>
      </c>
      <c r="E345">
        <v>73.59</v>
      </c>
      <c r="G345" t="s">
        <v>344</v>
      </c>
      <c r="H345">
        <v>0.56100000000000005</v>
      </c>
      <c r="J345" t="s">
        <v>869</v>
      </c>
      <c r="K345">
        <v>20</v>
      </c>
      <c r="M345" t="s">
        <v>869</v>
      </c>
      <c r="N345">
        <v>43.3</v>
      </c>
      <c r="P345" t="s">
        <v>1065</v>
      </c>
      <c r="Q345">
        <v>4.43</v>
      </c>
      <c r="S345" t="s">
        <v>344</v>
      </c>
      <c r="T345">
        <v>0.41199999999999998</v>
      </c>
      <c r="V345" t="s">
        <v>869</v>
      </c>
      <c r="W345">
        <v>36.43</v>
      </c>
      <c r="Y345" t="s">
        <v>869</v>
      </c>
      <c r="Z345">
        <v>2.37</v>
      </c>
      <c r="AC345" s="4" t="s">
        <v>1129</v>
      </c>
      <c r="AD345" s="5">
        <v>338227577</v>
      </c>
      <c r="AE345" s="5">
        <v>30975305</v>
      </c>
      <c r="AF345" s="5">
        <v>19604609</v>
      </c>
      <c r="AI345" t="s">
        <v>869</v>
      </c>
      <c r="AJ345">
        <v>19.25</v>
      </c>
      <c r="AL345" t="s">
        <v>344</v>
      </c>
      <c r="AM345">
        <v>11.12</v>
      </c>
      <c r="AO345" t="s">
        <v>344</v>
      </c>
      <c r="AP345">
        <v>71.22</v>
      </c>
      <c r="AQ345">
        <v>75.540000000000006</v>
      </c>
      <c r="AS345" t="s">
        <v>344</v>
      </c>
      <c r="AT345">
        <v>7.99</v>
      </c>
      <c r="AU345">
        <v>7.1</v>
      </c>
      <c r="AW345" t="s">
        <v>344</v>
      </c>
      <c r="AX345">
        <v>26.24</v>
      </c>
    </row>
    <row r="346" spans="1:50" x14ac:dyDescent="0.35">
      <c r="A346" t="s">
        <v>345</v>
      </c>
      <c r="B346">
        <v>86.8</v>
      </c>
      <c r="D346" t="s">
        <v>870</v>
      </c>
      <c r="E346">
        <v>47.36</v>
      </c>
      <c r="G346" t="s">
        <v>345</v>
      </c>
      <c r="H346">
        <v>0.84099999999999997</v>
      </c>
      <c r="J346" t="s">
        <v>870</v>
      </c>
      <c r="K346" t="s">
        <v>548</v>
      </c>
      <c r="M346" t="s">
        <v>870</v>
      </c>
      <c r="N346">
        <v>54.32</v>
      </c>
      <c r="P346" t="s">
        <v>366</v>
      </c>
      <c r="Q346">
        <v>5.61</v>
      </c>
      <c r="S346" t="s">
        <v>345</v>
      </c>
      <c r="T346">
        <v>0.36899999999999999</v>
      </c>
      <c r="V346" t="s">
        <v>870</v>
      </c>
      <c r="W346">
        <v>30.17</v>
      </c>
      <c r="Y346" t="s">
        <v>870</v>
      </c>
      <c r="Z346">
        <v>2.4300000000000002</v>
      </c>
      <c r="AC346" s="4" t="s">
        <v>426</v>
      </c>
      <c r="AD346" s="5">
        <v>56836405</v>
      </c>
      <c r="AE346" s="5">
        <v>20972392</v>
      </c>
      <c r="AF346" s="5">
        <v>10840565</v>
      </c>
      <c r="AI346" t="s">
        <v>870</v>
      </c>
      <c r="AJ346">
        <v>28.99</v>
      </c>
      <c r="AL346" t="s">
        <v>345</v>
      </c>
      <c r="AM346">
        <v>9.1300000000000008</v>
      </c>
      <c r="AO346" t="s">
        <v>345</v>
      </c>
      <c r="AP346">
        <v>67.290000000000006</v>
      </c>
      <c r="AQ346">
        <v>71.25</v>
      </c>
      <c r="AS346" t="s">
        <v>345</v>
      </c>
      <c r="AT346">
        <v>6.83</v>
      </c>
      <c r="AU346">
        <v>5.86</v>
      </c>
      <c r="AW346" t="s">
        <v>345</v>
      </c>
      <c r="AX346">
        <v>22.54</v>
      </c>
    </row>
    <row r="347" spans="1:50" x14ac:dyDescent="0.35">
      <c r="A347" t="s">
        <v>346</v>
      </c>
      <c r="B347">
        <v>85.45</v>
      </c>
      <c r="D347" t="s">
        <v>871</v>
      </c>
      <c r="E347">
        <v>77.63</v>
      </c>
      <c r="G347" t="s">
        <v>346</v>
      </c>
      <c r="H347">
        <v>0.52400000000000002</v>
      </c>
      <c r="J347" t="s">
        <v>871</v>
      </c>
      <c r="K347">
        <v>25</v>
      </c>
      <c r="M347" t="s">
        <v>871</v>
      </c>
      <c r="N347">
        <v>41.65</v>
      </c>
      <c r="P347" t="s">
        <v>367</v>
      </c>
      <c r="Q347">
        <v>6.73</v>
      </c>
      <c r="S347" t="s">
        <v>346</v>
      </c>
      <c r="T347">
        <v>0.30399999999999999</v>
      </c>
      <c r="V347" t="s">
        <v>871</v>
      </c>
      <c r="W347">
        <v>36.61</v>
      </c>
      <c r="Y347" t="s">
        <v>871</v>
      </c>
      <c r="Z347">
        <v>2.34</v>
      </c>
      <c r="AC347" s="4" t="s">
        <v>433</v>
      </c>
      <c r="AD347" s="5">
        <v>55274353</v>
      </c>
      <c r="AE347" s="5">
        <v>31387227</v>
      </c>
      <c r="AF347" s="5">
        <v>6604122</v>
      </c>
      <c r="AI347" t="s">
        <v>871</v>
      </c>
      <c r="AJ347">
        <v>22.71</v>
      </c>
      <c r="AL347" t="s">
        <v>346</v>
      </c>
      <c r="AM347">
        <v>4.2300000000000004</v>
      </c>
      <c r="AO347" t="s">
        <v>346</v>
      </c>
      <c r="AP347">
        <v>69.319999999999993</v>
      </c>
      <c r="AQ347">
        <v>73.290000000000006</v>
      </c>
      <c r="AS347" t="s">
        <v>346</v>
      </c>
      <c r="AT347">
        <v>7.76</v>
      </c>
      <c r="AU347">
        <v>6.85</v>
      </c>
      <c r="AW347" t="s">
        <v>346</v>
      </c>
      <c r="AX347">
        <v>27.43</v>
      </c>
    </row>
    <row r="348" spans="1:50" x14ac:dyDescent="0.35">
      <c r="A348" t="s">
        <v>347</v>
      </c>
      <c r="B348">
        <v>94.65</v>
      </c>
      <c r="D348" t="s">
        <v>872</v>
      </c>
      <c r="E348">
        <v>66.989999999999995</v>
      </c>
      <c r="G348" t="s">
        <v>347</v>
      </c>
      <c r="H348">
        <v>0.28599999999999998</v>
      </c>
      <c r="J348" t="s">
        <v>872</v>
      </c>
      <c r="K348">
        <v>13.33</v>
      </c>
      <c r="M348" t="s">
        <v>872</v>
      </c>
      <c r="N348">
        <v>45.35</v>
      </c>
      <c r="P348" t="s">
        <v>368</v>
      </c>
      <c r="Q348">
        <v>4.0999999999999996</v>
      </c>
      <c r="S348" t="s">
        <v>347</v>
      </c>
      <c r="T348">
        <v>0.186</v>
      </c>
      <c r="V348" t="s">
        <v>872</v>
      </c>
      <c r="W348">
        <v>34.51</v>
      </c>
      <c r="Y348" t="s">
        <v>872</v>
      </c>
      <c r="Z348">
        <v>2.06</v>
      </c>
      <c r="AC348" s="4" t="s">
        <v>434</v>
      </c>
      <c r="AD348" s="5">
        <v>96821394</v>
      </c>
      <c r="AE348" s="5">
        <v>105317367</v>
      </c>
      <c r="AF348" s="5">
        <v>17944846</v>
      </c>
      <c r="AI348" t="s">
        <v>872</v>
      </c>
      <c r="AJ348">
        <v>15.18</v>
      </c>
      <c r="AL348" t="s">
        <v>347</v>
      </c>
      <c r="AM348">
        <v>4.45</v>
      </c>
      <c r="AO348" t="s">
        <v>347</v>
      </c>
      <c r="AP348">
        <v>71.569999999999993</v>
      </c>
      <c r="AQ348">
        <v>76.28</v>
      </c>
      <c r="AS348" t="s">
        <v>347</v>
      </c>
      <c r="AT348">
        <v>10.71</v>
      </c>
      <c r="AU348">
        <v>10.15</v>
      </c>
      <c r="AW348" t="s">
        <v>347</v>
      </c>
      <c r="AX348">
        <v>56.3</v>
      </c>
    </row>
    <row r="349" spans="1:50" x14ac:dyDescent="0.35">
      <c r="A349" t="s">
        <v>348</v>
      </c>
      <c r="B349">
        <v>93.05</v>
      </c>
      <c r="D349" t="s">
        <v>873</v>
      </c>
      <c r="E349">
        <v>69.66</v>
      </c>
      <c r="G349" t="s">
        <v>348</v>
      </c>
      <c r="H349">
        <v>0.372</v>
      </c>
      <c r="J349" t="s">
        <v>873</v>
      </c>
      <c r="K349">
        <v>20</v>
      </c>
      <c r="M349" t="s">
        <v>873</v>
      </c>
      <c r="N349">
        <v>52.03</v>
      </c>
      <c r="P349" t="s">
        <v>369</v>
      </c>
      <c r="Q349">
        <v>6.26</v>
      </c>
      <c r="S349" t="s">
        <v>348</v>
      </c>
      <c r="T349">
        <v>0.21199999999999999</v>
      </c>
      <c r="V349" t="s">
        <v>873</v>
      </c>
      <c r="W349">
        <v>29.44</v>
      </c>
      <c r="Y349" t="s">
        <v>873</v>
      </c>
      <c r="Z349">
        <v>2.4500000000000002</v>
      </c>
      <c r="AC349" s="4" t="s">
        <v>425</v>
      </c>
      <c r="AD349" s="5">
        <v>86134079</v>
      </c>
      <c r="AE349" s="5">
        <v>49049457</v>
      </c>
      <c r="AF349" s="5">
        <v>15108091</v>
      </c>
      <c r="AI349" t="s">
        <v>873</v>
      </c>
      <c r="AJ349">
        <v>17.52</v>
      </c>
      <c r="AL349" t="s">
        <v>348</v>
      </c>
      <c r="AM349">
        <v>4.7</v>
      </c>
      <c r="AO349" t="s">
        <v>348</v>
      </c>
      <c r="AP349">
        <v>70.849999999999994</v>
      </c>
      <c r="AQ349">
        <v>74.88</v>
      </c>
      <c r="AS349" t="s">
        <v>348</v>
      </c>
      <c r="AT349">
        <v>8.34</v>
      </c>
      <c r="AU349">
        <v>8.06</v>
      </c>
      <c r="AW349" t="s">
        <v>348</v>
      </c>
      <c r="AX349">
        <v>37.07</v>
      </c>
    </row>
    <row r="350" spans="1:50" x14ac:dyDescent="0.35">
      <c r="A350" t="s">
        <v>349</v>
      </c>
      <c r="B350">
        <v>89.49</v>
      </c>
      <c r="D350" t="s">
        <v>349</v>
      </c>
      <c r="E350">
        <v>79.989999999999995</v>
      </c>
      <c r="G350" t="s">
        <v>349</v>
      </c>
      <c r="H350">
        <v>0.54100000000000004</v>
      </c>
      <c r="J350" t="s">
        <v>349</v>
      </c>
      <c r="K350">
        <v>28.89</v>
      </c>
      <c r="M350" t="s">
        <v>349</v>
      </c>
      <c r="N350">
        <v>50.86</v>
      </c>
      <c r="P350" t="s">
        <v>370</v>
      </c>
      <c r="Q350">
        <v>5.55</v>
      </c>
      <c r="S350" t="s">
        <v>349</v>
      </c>
      <c r="T350">
        <v>0.371</v>
      </c>
      <c r="V350" t="s">
        <v>349</v>
      </c>
      <c r="W350">
        <v>33.130000000000003</v>
      </c>
      <c r="Y350" t="s">
        <v>349</v>
      </c>
      <c r="Z350">
        <v>2.31</v>
      </c>
      <c r="AC350" s="4" t="s">
        <v>439</v>
      </c>
      <c r="AD350" s="5">
        <v>45190087</v>
      </c>
      <c r="AE350" s="5">
        <v>20953558</v>
      </c>
      <c r="AF350" s="5">
        <v>28000733</v>
      </c>
      <c r="AI350" t="s">
        <v>349</v>
      </c>
      <c r="AJ350">
        <v>21.19</v>
      </c>
      <c r="AL350" t="s">
        <v>349</v>
      </c>
      <c r="AM350">
        <v>5.1100000000000003</v>
      </c>
      <c r="AO350" t="s">
        <v>349</v>
      </c>
      <c r="AP350">
        <v>68.36</v>
      </c>
      <c r="AQ350">
        <v>72.290000000000006</v>
      </c>
      <c r="AS350" t="s">
        <v>349</v>
      </c>
      <c r="AT350">
        <v>8.98</v>
      </c>
      <c r="AU350">
        <v>8.5500000000000007</v>
      </c>
      <c r="AW350" t="s">
        <v>349</v>
      </c>
      <c r="AX350">
        <v>30.86</v>
      </c>
    </row>
    <row r="351" spans="1:50" x14ac:dyDescent="0.35">
      <c r="A351" t="s">
        <v>350</v>
      </c>
      <c r="B351">
        <v>92.05</v>
      </c>
      <c r="D351" t="s">
        <v>874</v>
      </c>
      <c r="E351">
        <v>66.180000000000007</v>
      </c>
      <c r="G351" t="s">
        <v>350</v>
      </c>
      <c r="H351">
        <v>0.52400000000000002</v>
      </c>
      <c r="J351" t="s">
        <v>874</v>
      </c>
      <c r="K351">
        <v>20</v>
      </c>
      <c r="M351" t="s">
        <v>874</v>
      </c>
      <c r="N351">
        <v>50.28</v>
      </c>
      <c r="P351" t="s">
        <v>371</v>
      </c>
      <c r="Q351">
        <v>5.63</v>
      </c>
      <c r="S351" t="s">
        <v>350</v>
      </c>
      <c r="T351">
        <v>0.31900000000000001</v>
      </c>
      <c r="V351" t="s">
        <v>874</v>
      </c>
      <c r="W351">
        <v>24.47</v>
      </c>
      <c r="Y351" t="s">
        <v>874</v>
      </c>
      <c r="Z351">
        <v>2.2999999999999998</v>
      </c>
      <c r="AC351" s="4" t="s">
        <v>429</v>
      </c>
      <c r="AD351" s="5">
        <v>114172658</v>
      </c>
      <c r="AE351" s="5">
        <v>42139947</v>
      </c>
      <c r="AF351" s="5">
        <v>11684943</v>
      </c>
      <c r="AI351" t="s">
        <v>874</v>
      </c>
      <c r="AJ351">
        <v>21.94</v>
      </c>
      <c r="AL351" t="s">
        <v>350</v>
      </c>
      <c r="AM351">
        <v>4.18</v>
      </c>
      <c r="AO351" t="s">
        <v>350</v>
      </c>
      <c r="AP351">
        <v>69.34</v>
      </c>
      <c r="AQ351">
        <v>73.31</v>
      </c>
      <c r="AS351" t="s">
        <v>350</v>
      </c>
      <c r="AT351">
        <v>8.9499999999999993</v>
      </c>
      <c r="AU351">
        <v>8.32</v>
      </c>
      <c r="AW351" t="s">
        <v>350</v>
      </c>
      <c r="AX351">
        <v>33.64</v>
      </c>
    </row>
    <row r="352" spans="1:50" x14ac:dyDescent="0.35">
      <c r="A352" t="s">
        <v>351</v>
      </c>
      <c r="B352">
        <v>88.34</v>
      </c>
      <c r="D352" t="s">
        <v>875</v>
      </c>
      <c r="E352">
        <v>70.8</v>
      </c>
      <c r="G352" t="s">
        <v>351</v>
      </c>
      <c r="H352">
        <v>0.53800000000000003</v>
      </c>
      <c r="J352" t="s">
        <v>875</v>
      </c>
      <c r="K352">
        <v>22.5</v>
      </c>
      <c r="M352" t="s">
        <v>875</v>
      </c>
      <c r="N352">
        <v>52.65</v>
      </c>
      <c r="P352" t="s">
        <v>372</v>
      </c>
      <c r="Q352">
        <v>4.1500000000000004</v>
      </c>
      <c r="S352" t="s">
        <v>351</v>
      </c>
      <c r="T352">
        <v>0.4</v>
      </c>
      <c r="V352" t="s">
        <v>875</v>
      </c>
      <c r="W352">
        <v>25.93</v>
      </c>
      <c r="Y352" t="s">
        <v>875</v>
      </c>
      <c r="Z352">
        <v>2.25</v>
      </c>
      <c r="AC352" s="4" t="s">
        <v>427</v>
      </c>
      <c r="AD352" s="5">
        <v>81965342</v>
      </c>
      <c r="AE352" s="5">
        <v>60093124</v>
      </c>
      <c r="AF352" s="5">
        <v>10646060</v>
      </c>
      <c r="AI352" t="s">
        <v>875</v>
      </c>
      <c r="AJ352">
        <v>17.16</v>
      </c>
      <c r="AL352" t="s">
        <v>351</v>
      </c>
      <c r="AM352">
        <v>5.69</v>
      </c>
      <c r="AO352" t="s">
        <v>351</v>
      </c>
      <c r="AP352">
        <v>68.47</v>
      </c>
      <c r="AQ352">
        <v>72.400000000000006</v>
      </c>
      <c r="AS352" t="s">
        <v>351</v>
      </c>
      <c r="AT352">
        <v>8.56</v>
      </c>
      <c r="AU352">
        <v>7.73</v>
      </c>
      <c r="AW352" t="s">
        <v>351</v>
      </c>
      <c r="AX352">
        <v>23.45</v>
      </c>
    </row>
    <row r="353" spans="1:50" x14ac:dyDescent="0.35">
      <c r="A353" t="s">
        <v>352</v>
      </c>
      <c r="B353">
        <v>95.51</v>
      </c>
      <c r="D353" t="s">
        <v>876</v>
      </c>
      <c r="E353">
        <v>74.37</v>
      </c>
      <c r="G353" t="s">
        <v>352</v>
      </c>
      <c r="H353">
        <v>0.56399999999999995</v>
      </c>
      <c r="J353" t="s">
        <v>876</v>
      </c>
      <c r="K353">
        <v>27.5</v>
      </c>
      <c r="M353" t="s">
        <v>876</v>
      </c>
      <c r="N353">
        <v>49.9</v>
      </c>
      <c r="P353" t="s">
        <v>373</v>
      </c>
      <c r="Q353">
        <v>2.31</v>
      </c>
      <c r="S353" t="s">
        <v>352</v>
      </c>
      <c r="T353">
        <v>0.40100000000000002</v>
      </c>
      <c r="V353" t="s">
        <v>876</v>
      </c>
      <c r="W353">
        <v>27.92</v>
      </c>
      <c r="Y353" t="s">
        <v>876</v>
      </c>
      <c r="Z353">
        <v>2.4500000000000002</v>
      </c>
      <c r="AC353" s="4" t="s">
        <v>440</v>
      </c>
      <c r="AD353" s="5">
        <v>81182726</v>
      </c>
      <c r="AE353" s="5">
        <v>29011096</v>
      </c>
      <c r="AF353" s="5">
        <v>42187102</v>
      </c>
      <c r="AI353" t="s">
        <v>876</v>
      </c>
      <c r="AJ353">
        <v>23.98</v>
      </c>
      <c r="AL353" t="s">
        <v>352</v>
      </c>
      <c r="AM353">
        <v>5.21</v>
      </c>
      <c r="AO353" t="s">
        <v>352</v>
      </c>
      <c r="AP353">
        <v>67.3</v>
      </c>
      <c r="AQ353">
        <v>71.260000000000005</v>
      </c>
      <c r="AS353" t="s">
        <v>352</v>
      </c>
      <c r="AT353">
        <v>8.09</v>
      </c>
      <c r="AU353">
        <v>7.78</v>
      </c>
      <c r="AW353" t="s">
        <v>352</v>
      </c>
      <c r="AX353">
        <v>25.33</v>
      </c>
    </row>
    <row r="354" spans="1:50" x14ac:dyDescent="0.35">
      <c r="A354" t="s">
        <v>353</v>
      </c>
      <c r="B354">
        <v>92.29</v>
      </c>
      <c r="D354" t="s">
        <v>877</v>
      </c>
      <c r="E354">
        <v>86.33</v>
      </c>
      <c r="G354" t="s">
        <v>353</v>
      </c>
      <c r="H354">
        <v>0.52900000000000003</v>
      </c>
      <c r="J354" t="s">
        <v>877</v>
      </c>
      <c r="K354">
        <v>44</v>
      </c>
      <c r="M354" t="s">
        <v>877</v>
      </c>
      <c r="N354">
        <v>56.78</v>
      </c>
      <c r="P354" t="s">
        <v>374</v>
      </c>
      <c r="Q354">
        <v>6.04</v>
      </c>
      <c r="S354" t="s">
        <v>353</v>
      </c>
      <c r="T354">
        <v>0.38</v>
      </c>
      <c r="V354" t="s">
        <v>877</v>
      </c>
      <c r="W354">
        <v>37.049999999999997</v>
      </c>
      <c r="Y354" t="s">
        <v>877</v>
      </c>
      <c r="Z354">
        <v>2.2200000000000002</v>
      </c>
      <c r="AC354" s="4" t="s">
        <v>442</v>
      </c>
      <c r="AD354" s="5">
        <v>52013782</v>
      </c>
      <c r="AE354" s="5">
        <v>40092641</v>
      </c>
      <c r="AF354" s="5">
        <v>29100831</v>
      </c>
      <c r="AI354" t="s">
        <v>877</v>
      </c>
      <c r="AJ354">
        <v>24.32</v>
      </c>
      <c r="AL354" t="s">
        <v>353</v>
      </c>
      <c r="AM354">
        <v>4.72</v>
      </c>
      <c r="AO354" t="s">
        <v>353</v>
      </c>
      <c r="AP354">
        <v>65.81</v>
      </c>
      <c r="AQ354">
        <v>69.790000000000006</v>
      </c>
      <c r="AS354" t="s">
        <v>353</v>
      </c>
      <c r="AT354">
        <v>9.51</v>
      </c>
      <c r="AU354">
        <v>8.89</v>
      </c>
      <c r="AW354" t="s">
        <v>353</v>
      </c>
      <c r="AX354">
        <v>32.15</v>
      </c>
    </row>
    <row r="355" spans="1:50" x14ac:dyDescent="0.35">
      <c r="A355" t="s">
        <v>354</v>
      </c>
      <c r="B355">
        <v>87.72</v>
      </c>
      <c r="D355" t="s">
        <v>878</v>
      </c>
      <c r="E355">
        <v>87.08</v>
      </c>
      <c r="G355" t="s">
        <v>354</v>
      </c>
      <c r="H355">
        <v>0.53300000000000003</v>
      </c>
      <c r="J355" t="s">
        <v>878</v>
      </c>
      <c r="K355">
        <v>36</v>
      </c>
      <c r="M355" t="s">
        <v>878</v>
      </c>
      <c r="N355">
        <v>48.91</v>
      </c>
      <c r="P355" t="s">
        <v>375</v>
      </c>
      <c r="Q355">
        <v>3.56</v>
      </c>
      <c r="S355" t="s">
        <v>354</v>
      </c>
      <c r="T355">
        <v>0.378</v>
      </c>
      <c r="V355" t="s">
        <v>878</v>
      </c>
      <c r="W355">
        <v>41.35</v>
      </c>
      <c r="Y355" t="s">
        <v>878</v>
      </c>
      <c r="Z355">
        <v>2.25</v>
      </c>
      <c r="AC355" s="4" t="s">
        <v>431</v>
      </c>
      <c r="AD355" s="5">
        <v>92394610</v>
      </c>
      <c r="AE355" s="5">
        <v>45011080</v>
      </c>
      <c r="AF355" s="5">
        <v>14017920</v>
      </c>
      <c r="AI355" t="s">
        <v>878</v>
      </c>
      <c r="AJ355">
        <v>20.64</v>
      </c>
      <c r="AL355" t="s">
        <v>354</v>
      </c>
      <c r="AM355">
        <v>5.35</v>
      </c>
      <c r="AO355" t="s">
        <v>354</v>
      </c>
      <c r="AP355">
        <v>69.73</v>
      </c>
      <c r="AQ355">
        <v>73.72</v>
      </c>
      <c r="AS355" t="s">
        <v>354</v>
      </c>
      <c r="AT355">
        <v>9.11</v>
      </c>
      <c r="AU355">
        <v>8.61</v>
      </c>
      <c r="AW355" t="s">
        <v>354</v>
      </c>
      <c r="AX355">
        <v>30</v>
      </c>
    </row>
    <row r="356" spans="1:50" x14ac:dyDescent="0.35">
      <c r="A356" t="s">
        <v>355</v>
      </c>
      <c r="B356">
        <v>91.96</v>
      </c>
      <c r="D356" t="s">
        <v>879</v>
      </c>
      <c r="E356">
        <v>67.53</v>
      </c>
      <c r="G356" t="s">
        <v>355</v>
      </c>
      <c r="H356">
        <v>0.499</v>
      </c>
      <c r="J356" t="s">
        <v>879</v>
      </c>
      <c r="K356">
        <v>25</v>
      </c>
      <c r="M356" t="s">
        <v>879</v>
      </c>
      <c r="N356">
        <v>47.61</v>
      </c>
      <c r="P356" t="s">
        <v>376</v>
      </c>
      <c r="Q356">
        <v>2.31</v>
      </c>
      <c r="S356" t="s">
        <v>355</v>
      </c>
      <c r="T356">
        <v>0.35499999999999998</v>
      </c>
      <c r="V356" t="s">
        <v>879</v>
      </c>
      <c r="W356">
        <v>20.48</v>
      </c>
      <c r="Y356" t="s">
        <v>879</v>
      </c>
      <c r="Z356">
        <v>2.1800000000000002</v>
      </c>
      <c r="AC356" s="4" t="s">
        <v>432</v>
      </c>
      <c r="AD356" s="5">
        <v>100459798</v>
      </c>
      <c r="AE356" s="5">
        <v>63355018</v>
      </c>
      <c r="AF356" s="5">
        <v>13044878</v>
      </c>
      <c r="AI356" t="s">
        <v>879</v>
      </c>
      <c r="AJ356">
        <v>17.34</v>
      </c>
      <c r="AL356" t="s">
        <v>355</v>
      </c>
      <c r="AM356">
        <v>3.96</v>
      </c>
      <c r="AO356" t="s">
        <v>355</v>
      </c>
      <c r="AP356">
        <v>70.069999999999993</v>
      </c>
      <c r="AQ356">
        <v>74.069999999999993</v>
      </c>
      <c r="AS356" t="s">
        <v>355</v>
      </c>
      <c r="AT356">
        <v>8.6</v>
      </c>
      <c r="AU356">
        <v>7.88</v>
      </c>
      <c r="AW356" t="s">
        <v>355</v>
      </c>
      <c r="AX356">
        <v>25.91</v>
      </c>
    </row>
    <row r="357" spans="1:50" x14ac:dyDescent="0.35">
      <c r="A357" t="s">
        <v>356</v>
      </c>
      <c r="B357">
        <v>91.68</v>
      </c>
      <c r="D357" t="s">
        <v>880</v>
      </c>
      <c r="E357">
        <v>71.400000000000006</v>
      </c>
      <c r="G357" t="s">
        <v>356</v>
      </c>
      <c r="H357">
        <v>0.56399999999999995</v>
      </c>
      <c r="J357" t="s">
        <v>880</v>
      </c>
      <c r="K357">
        <v>20</v>
      </c>
      <c r="M357" t="s">
        <v>880</v>
      </c>
      <c r="N357">
        <v>46.9</v>
      </c>
      <c r="P357" t="s">
        <v>1088</v>
      </c>
      <c r="Q357">
        <v>11.99</v>
      </c>
      <c r="S357" t="s">
        <v>356</v>
      </c>
      <c r="T357">
        <v>0.35699999999999998</v>
      </c>
      <c r="V357" t="s">
        <v>880</v>
      </c>
      <c r="W357">
        <v>28.57</v>
      </c>
      <c r="Y357" t="s">
        <v>880</v>
      </c>
      <c r="Z357">
        <v>2.2400000000000002</v>
      </c>
      <c r="AC357" s="4" t="s">
        <v>446</v>
      </c>
      <c r="AD357" s="5">
        <v>52606396</v>
      </c>
      <c r="AE357" s="5">
        <v>21893356</v>
      </c>
      <c r="AF357" s="5">
        <v>4703768</v>
      </c>
      <c r="AI357" t="s">
        <v>880</v>
      </c>
      <c r="AJ357">
        <v>21.27</v>
      </c>
      <c r="AL357" t="s">
        <v>356</v>
      </c>
      <c r="AM357">
        <v>3.12</v>
      </c>
      <c r="AO357" t="s">
        <v>356</v>
      </c>
      <c r="AP357">
        <v>67.92</v>
      </c>
      <c r="AQ357">
        <v>71.86</v>
      </c>
      <c r="AS357" t="s">
        <v>356</v>
      </c>
      <c r="AT357">
        <v>9.02</v>
      </c>
      <c r="AU357">
        <v>8.24</v>
      </c>
      <c r="AW357" t="s">
        <v>356</v>
      </c>
      <c r="AX357">
        <v>25.86</v>
      </c>
    </row>
    <row r="358" spans="1:50" x14ac:dyDescent="0.35">
      <c r="A358" t="s">
        <v>357</v>
      </c>
      <c r="B358">
        <v>89.31</v>
      </c>
      <c r="D358" t="s">
        <v>881</v>
      </c>
      <c r="E358">
        <v>66.83</v>
      </c>
      <c r="G358" t="s">
        <v>357</v>
      </c>
      <c r="H358">
        <v>0.61599999999999999</v>
      </c>
      <c r="J358" t="s">
        <v>881</v>
      </c>
      <c r="K358">
        <v>16</v>
      </c>
      <c r="M358" t="s">
        <v>881</v>
      </c>
      <c r="N358">
        <v>54.98</v>
      </c>
      <c r="P358" t="s">
        <v>378</v>
      </c>
      <c r="Q358">
        <v>12.63</v>
      </c>
      <c r="S358" t="s">
        <v>357</v>
      </c>
      <c r="T358">
        <v>0.39700000000000002</v>
      </c>
      <c r="V358" t="s">
        <v>881</v>
      </c>
      <c r="W358">
        <v>27.33</v>
      </c>
      <c r="Y358" t="s">
        <v>881</v>
      </c>
      <c r="Z358">
        <v>2.2000000000000002</v>
      </c>
      <c r="AC358" s="4" t="s">
        <v>443</v>
      </c>
      <c r="AD358" s="5">
        <v>48032521</v>
      </c>
      <c r="AE358" s="5">
        <v>21468900</v>
      </c>
      <c r="AF358" s="5">
        <v>23289143</v>
      </c>
      <c r="AI358" t="s">
        <v>881</v>
      </c>
      <c r="AJ358">
        <v>21.71</v>
      </c>
      <c r="AL358" t="s">
        <v>357</v>
      </c>
      <c r="AM358">
        <v>7.12</v>
      </c>
      <c r="AO358" t="s">
        <v>357</v>
      </c>
      <c r="AP358">
        <v>67.709999999999994</v>
      </c>
      <c r="AQ358">
        <v>71.66</v>
      </c>
      <c r="AS358" t="s">
        <v>357</v>
      </c>
      <c r="AT358">
        <v>8.43</v>
      </c>
      <c r="AU358">
        <v>7.56</v>
      </c>
      <c r="AW358" t="s">
        <v>357</v>
      </c>
      <c r="AX358">
        <v>19.7</v>
      </c>
    </row>
    <row r="359" spans="1:50" x14ac:dyDescent="0.35">
      <c r="A359" t="s">
        <v>358</v>
      </c>
      <c r="B359">
        <v>86.36</v>
      </c>
      <c r="D359" t="s">
        <v>882</v>
      </c>
      <c r="E359">
        <v>68.19</v>
      </c>
      <c r="G359" t="s">
        <v>358</v>
      </c>
      <c r="H359">
        <v>0.59299999999999997</v>
      </c>
      <c r="J359" t="s">
        <v>882</v>
      </c>
      <c r="K359">
        <v>16</v>
      </c>
      <c r="M359" t="s">
        <v>882</v>
      </c>
      <c r="N359">
        <v>50.4</v>
      </c>
      <c r="P359" t="s">
        <v>379</v>
      </c>
      <c r="Q359">
        <v>10.59</v>
      </c>
      <c r="S359" t="s">
        <v>358</v>
      </c>
      <c r="T359">
        <v>0.39400000000000002</v>
      </c>
      <c r="V359" t="s">
        <v>882</v>
      </c>
      <c r="W359">
        <v>29.98</v>
      </c>
      <c r="Y359" t="s">
        <v>882</v>
      </c>
      <c r="Z359">
        <v>2.48</v>
      </c>
      <c r="AC359" s="4" t="s">
        <v>438</v>
      </c>
      <c r="AD359" s="5">
        <v>87465784</v>
      </c>
      <c r="AE359" s="5">
        <v>48477503</v>
      </c>
      <c r="AF359" s="5">
        <v>11993848</v>
      </c>
      <c r="AI359" t="s">
        <v>882</v>
      </c>
      <c r="AJ359">
        <v>17.899999999999999</v>
      </c>
      <c r="AL359" t="s">
        <v>358</v>
      </c>
      <c r="AM359">
        <v>4.99</v>
      </c>
      <c r="AO359" t="s">
        <v>358</v>
      </c>
      <c r="AP359">
        <v>64.52</v>
      </c>
      <c r="AQ359">
        <v>68.430000000000007</v>
      </c>
      <c r="AS359" t="s">
        <v>358</v>
      </c>
      <c r="AT359">
        <v>9.02</v>
      </c>
      <c r="AU359">
        <v>8.6999999999999993</v>
      </c>
      <c r="AW359" t="s">
        <v>358</v>
      </c>
      <c r="AX359">
        <v>26.17</v>
      </c>
    </row>
    <row r="360" spans="1:50" x14ac:dyDescent="0.35">
      <c r="A360" t="s">
        <v>359</v>
      </c>
      <c r="B360">
        <v>92.3</v>
      </c>
      <c r="D360" t="s">
        <v>883</v>
      </c>
      <c r="E360">
        <v>71.010000000000005</v>
      </c>
      <c r="G360" t="s">
        <v>359</v>
      </c>
      <c r="H360">
        <v>0.501</v>
      </c>
      <c r="J360" t="s">
        <v>883</v>
      </c>
      <c r="K360">
        <v>28</v>
      </c>
      <c r="M360" t="s">
        <v>883</v>
      </c>
      <c r="N360">
        <v>49.35</v>
      </c>
      <c r="P360" t="s">
        <v>380</v>
      </c>
      <c r="Q360">
        <v>8.6999999999999993</v>
      </c>
      <c r="S360" t="s">
        <v>359</v>
      </c>
      <c r="T360">
        <v>0.39100000000000001</v>
      </c>
      <c r="V360" t="s">
        <v>883</v>
      </c>
      <c r="W360">
        <v>22.66</v>
      </c>
      <c r="Y360" t="s">
        <v>883</v>
      </c>
      <c r="Z360">
        <v>2.2400000000000002</v>
      </c>
      <c r="AC360" s="4" t="s">
        <v>430</v>
      </c>
      <c r="AD360" s="5">
        <v>33847045</v>
      </c>
      <c r="AE360" s="5">
        <v>45843423</v>
      </c>
      <c r="AF360" s="5">
        <v>18944630</v>
      </c>
      <c r="AI360" t="s">
        <v>883</v>
      </c>
      <c r="AJ360">
        <v>23.18</v>
      </c>
      <c r="AL360" t="s">
        <v>359</v>
      </c>
      <c r="AM360">
        <v>4.58</v>
      </c>
      <c r="AO360" t="s">
        <v>359</v>
      </c>
      <c r="AP360">
        <v>66.66</v>
      </c>
      <c r="AQ360">
        <v>70.64</v>
      </c>
      <c r="AS360" t="s">
        <v>359</v>
      </c>
      <c r="AT360">
        <v>8.41</v>
      </c>
      <c r="AU360">
        <v>8.18</v>
      </c>
      <c r="AW360" t="s">
        <v>359</v>
      </c>
      <c r="AX360">
        <v>28.18</v>
      </c>
    </row>
    <row r="361" spans="1:50" x14ac:dyDescent="0.35">
      <c r="A361" t="s">
        <v>360</v>
      </c>
      <c r="B361">
        <v>92.38</v>
      </c>
      <c r="D361" t="s">
        <v>884</v>
      </c>
      <c r="E361">
        <v>89.29</v>
      </c>
      <c r="G361" t="s">
        <v>360</v>
      </c>
      <c r="H361">
        <v>0.57199999999999995</v>
      </c>
      <c r="J361" t="s">
        <v>884</v>
      </c>
      <c r="K361">
        <v>44</v>
      </c>
      <c r="M361" t="s">
        <v>884</v>
      </c>
      <c r="N361">
        <v>49.28</v>
      </c>
      <c r="P361" t="s">
        <v>381</v>
      </c>
      <c r="Q361">
        <v>7.86</v>
      </c>
      <c r="S361" t="s">
        <v>360</v>
      </c>
      <c r="T361">
        <v>0.46</v>
      </c>
      <c r="V361" t="s">
        <v>884</v>
      </c>
      <c r="W361">
        <v>49.94</v>
      </c>
      <c r="Y361" t="s">
        <v>884</v>
      </c>
      <c r="Z361">
        <v>2.42</v>
      </c>
      <c r="AC361" s="4" t="s">
        <v>424</v>
      </c>
      <c r="AD361" s="5">
        <v>67648489</v>
      </c>
      <c r="AE361" s="5">
        <v>33375369</v>
      </c>
      <c r="AF361" s="5">
        <v>36589374</v>
      </c>
      <c r="AI361" t="s">
        <v>884</v>
      </c>
      <c r="AJ361">
        <v>21.5</v>
      </c>
      <c r="AL361" t="s">
        <v>360</v>
      </c>
      <c r="AM361">
        <v>5.47</v>
      </c>
      <c r="AO361" t="s">
        <v>360</v>
      </c>
      <c r="AP361">
        <v>69.03</v>
      </c>
      <c r="AQ361">
        <v>72.98</v>
      </c>
      <c r="AS361" t="s">
        <v>360</v>
      </c>
      <c r="AT361">
        <v>9.31</v>
      </c>
      <c r="AU361">
        <v>9.18</v>
      </c>
      <c r="AW361" t="s">
        <v>360</v>
      </c>
      <c r="AX361">
        <v>31.07</v>
      </c>
    </row>
    <row r="362" spans="1:50" x14ac:dyDescent="0.35">
      <c r="A362" t="s">
        <v>361</v>
      </c>
      <c r="B362">
        <v>89.2</v>
      </c>
      <c r="D362" t="s">
        <v>885</v>
      </c>
      <c r="E362">
        <v>81.48</v>
      </c>
      <c r="G362" t="s">
        <v>361</v>
      </c>
      <c r="H362">
        <v>0.48199999999999998</v>
      </c>
      <c r="J362" t="s">
        <v>885</v>
      </c>
      <c r="K362">
        <v>28</v>
      </c>
      <c r="M362" t="s">
        <v>885</v>
      </c>
      <c r="N362">
        <v>59.16</v>
      </c>
      <c r="P362" t="s">
        <v>382</v>
      </c>
      <c r="Q362">
        <v>16.34</v>
      </c>
      <c r="S362" t="s">
        <v>361</v>
      </c>
      <c r="T362">
        <v>0.32900000000000001</v>
      </c>
      <c r="V362" t="s">
        <v>885</v>
      </c>
      <c r="W362">
        <v>42.85</v>
      </c>
      <c r="Y362" t="s">
        <v>885</v>
      </c>
      <c r="Z362">
        <v>2.2000000000000002</v>
      </c>
      <c r="AC362" s="4" t="s">
        <v>437</v>
      </c>
      <c r="AD362" s="5">
        <v>72960780</v>
      </c>
      <c r="AE362" s="5">
        <v>25331571</v>
      </c>
      <c r="AF362" s="5">
        <v>18046001</v>
      </c>
      <c r="AI362" t="s">
        <v>885</v>
      </c>
      <c r="AJ362">
        <v>26.79</v>
      </c>
      <c r="AL362" t="s">
        <v>361</v>
      </c>
      <c r="AM362">
        <v>6.63</v>
      </c>
      <c r="AO362" t="s">
        <v>361</v>
      </c>
      <c r="AP362">
        <v>66.97</v>
      </c>
      <c r="AQ362">
        <v>70.94</v>
      </c>
      <c r="AS362" t="s">
        <v>361</v>
      </c>
      <c r="AT362">
        <v>9.9</v>
      </c>
      <c r="AU362">
        <v>9.24</v>
      </c>
      <c r="AW362" t="s">
        <v>361</v>
      </c>
      <c r="AX362">
        <v>39.520000000000003</v>
      </c>
    </row>
    <row r="363" spans="1:50" x14ac:dyDescent="0.35">
      <c r="A363" t="s">
        <v>362</v>
      </c>
      <c r="B363">
        <v>84.25</v>
      </c>
      <c r="D363" t="s">
        <v>886</v>
      </c>
      <c r="E363">
        <v>66.69</v>
      </c>
      <c r="G363" t="s">
        <v>362</v>
      </c>
      <c r="H363">
        <v>0.59799999999999998</v>
      </c>
      <c r="J363" t="s">
        <v>886</v>
      </c>
      <c r="K363">
        <v>16</v>
      </c>
      <c r="M363" t="s">
        <v>886</v>
      </c>
      <c r="N363">
        <v>58.68</v>
      </c>
      <c r="P363" t="s">
        <v>383</v>
      </c>
      <c r="Q363">
        <v>13.82</v>
      </c>
      <c r="S363" t="s">
        <v>362</v>
      </c>
      <c r="T363">
        <v>0.42499999999999999</v>
      </c>
      <c r="V363" t="s">
        <v>886</v>
      </c>
      <c r="W363">
        <v>29.79</v>
      </c>
      <c r="Y363" t="s">
        <v>886</v>
      </c>
      <c r="Z363">
        <v>2.4500000000000002</v>
      </c>
      <c r="AC363" s="4" t="s">
        <v>435</v>
      </c>
      <c r="AD363" s="5">
        <v>45334406</v>
      </c>
      <c r="AE363" s="5">
        <v>39271245</v>
      </c>
      <c r="AF363" s="5">
        <v>17465002</v>
      </c>
      <c r="AI363" t="s">
        <v>886</v>
      </c>
      <c r="AJ363">
        <v>21.46</v>
      </c>
      <c r="AL363" t="s">
        <v>362</v>
      </c>
      <c r="AM363">
        <v>6.44</v>
      </c>
      <c r="AO363" t="s">
        <v>362</v>
      </c>
      <c r="AP363">
        <v>68.010000000000005</v>
      </c>
      <c r="AQ363">
        <v>71.959999999999994</v>
      </c>
      <c r="AS363" t="s">
        <v>362</v>
      </c>
      <c r="AT363">
        <v>8.48</v>
      </c>
      <c r="AU363">
        <v>7.63</v>
      </c>
      <c r="AW363" t="s">
        <v>362</v>
      </c>
      <c r="AX363">
        <v>25.82</v>
      </c>
    </row>
    <row r="364" spans="1:50" x14ac:dyDescent="0.35">
      <c r="A364" t="s">
        <v>363</v>
      </c>
      <c r="B364">
        <v>95.51</v>
      </c>
      <c r="D364" t="s">
        <v>887</v>
      </c>
      <c r="E364">
        <v>81.849999999999994</v>
      </c>
      <c r="G364" t="s">
        <v>363</v>
      </c>
      <c r="H364">
        <v>0.41499999999999998</v>
      </c>
      <c r="J364" t="s">
        <v>887</v>
      </c>
      <c r="K364">
        <v>36.67</v>
      </c>
      <c r="M364" t="s">
        <v>887</v>
      </c>
      <c r="N364">
        <v>47.89</v>
      </c>
      <c r="P364" t="s">
        <v>384</v>
      </c>
      <c r="Q364">
        <v>6.98</v>
      </c>
      <c r="S364" t="s">
        <v>363</v>
      </c>
      <c r="T364">
        <v>0.26200000000000001</v>
      </c>
      <c r="V364" t="s">
        <v>887</v>
      </c>
      <c r="W364">
        <v>32.159999999999997</v>
      </c>
      <c r="Y364" t="s">
        <v>887</v>
      </c>
      <c r="Z364">
        <v>2.16</v>
      </c>
      <c r="AC364" s="4" t="s">
        <v>428</v>
      </c>
      <c r="AD364" s="5">
        <v>78059338</v>
      </c>
      <c r="AE364" s="5">
        <v>52599816</v>
      </c>
      <c r="AF364" s="5">
        <v>10996969</v>
      </c>
      <c r="AI364" t="s">
        <v>887</v>
      </c>
      <c r="AJ364">
        <v>16.559999999999999</v>
      </c>
      <c r="AL364" t="s">
        <v>363</v>
      </c>
      <c r="AM364">
        <v>3.44</v>
      </c>
      <c r="AO364" t="s">
        <v>363</v>
      </c>
      <c r="AP364">
        <v>71.459999999999994</v>
      </c>
      <c r="AQ364">
        <v>76.05</v>
      </c>
      <c r="AS364" t="s">
        <v>363</v>
      </c>
      <c r="AT364">
        <v>11.75</v>
      </c>
      <c r="AU364">
        <v>11.55</v>
      </c>
      <c r="AW364" t="s">
        <v>363</v>
      </c>
      <c r="AX364">
        <v>58.1</v>
      </c>
    </row>
    <row r="365" spans="1:50" x14ac:dyDescent="0.35">
      <c r="A365" t="s">
        <v>364</v>
      </c>
      <c r="B365">
        <v>89.65</v>
      </c>
      <c r="D365" t="s">
        <v>364</v>
      </c>
      <c r="E365">
        <v>75.97</v>
      </c>
      <c r="G365" t="s">
        <v>364</v>
      </c>
      <c r="H365">
        <v>0.50700000000000001</v>
      </c>
      <c r="J365" t="s">
        <v>364</v>
      </c>
      <c r="K365">
        <v>21.82</v>
      </c>
      <c r="M365" t="s">
        <v>364</v>
      </c>
      <c r="N365">
        <v>52.97</v>
      </c>
      <c r="P365" t="s">
        <v>385</v>
      </c>
      <c r="Q365">
        <v>7.87</v>
      </c>
      <c r="S365" t="s">
        <v>364</v>
      </c>
      <c r="T365">
        <v>0.307</v>
      </c>
      <c r="V365" t="s">
        <v>364</v>
      </c>
      <c r="W365">
        <v>36.15</v>
      </c>
      <c r="Y365" t="s">
        <v>364</v>
      </c>
      <c r="Z365">
        <v>2.31</v>
      </c>
      <c r="AC365" s="4" t="s">
        <v>441</v>
      </c>
      <c r="AD365" s="5">
        <v>55581811</v>
      </c>
      <c r="AE365" s="5">
        <v>11394966</v>
      </c>
      <c r="AF365" s="5">
        <v>29735466</v>
      </c>
      <c r="AI365" t="s">
        <v>364</v>
      </c>
      <c r="AJ365">
        <v>20.100000000000001</v>
      </c>
      <c r="AL365" t="s">
        <v>364</v>
      </c>
      <c r="AM365">
        <v>4.29</v>
      </c>
      <c r="AO365" t="s">
        <v>364</v>
      </c>
      <c r="AP365">
        <v>67.489999999999995</v>
      </c>
      <c r="AQ365">
        <v>71.45</v>
      </c>
      <c r="AS365" t="s">
        <v>364</v>
      </c>
      <c r="AT365">
        <v>8.91</v>
      </c>
      <c r="AU365">
        <v>8.19</v>
      </c>
      <c r="AW365" t="s">
        <v>364</v>
      </c>
      <c r="AX365">
        <v>31.86</v>
      </c>
    </row>
    <row r="366" spans="1:50" x14ac:dyDescent="0.35">
      <c r="A366" t="s">
        <v>365</v>
      </c>
      <c r="B366">
        <v>87.53</v>
      </c>
      <c r="D366" t="s">
        <v>888</v>
      </c>
      <c r="E366">
        <v>76.45</v>
      </c>
      <c r="G366" t="s">
        <v>365</v>
      </c>
      <c r="H366">
        <v>0.42099999999999999</v>
      </c>
      <c r="J366" t="s">
        <v>888</v>
      </c>
      <c r="K366">
        <v>31.43</v>
      </c>
      <c r="M366" t="s">
        <v>888</v>
      </c>
      <c r="N366">
        <v>56.3</v>
      </c>
      <c r="P366" t="s">
        <v>386</v>
      </c>
      <c r="Q366">
        <v>6.95</v>
      </c>
      <c r="S366" t="s">
        <v>365</v>
      </c>
      <c r="T366">
        <v>0.35299999999999998</v>
      </c>
      <c r="V366" t="s">
        <v>888</v>
      </c>
      <c r="W366">
        <v>28.66</v>
      </c>
      <c r="Y366" t="s">
        <v>888</v>
      </c>
      <c r="Z366">
        <v>2.2000000000000002</v>
      </c>
      <c r="AC366" s="4" t="s">
        <v>436</v>
      </c>
      <c r="AD366" s="5">
        <v>86081344</v>
      </c>
      <c r="AE366" s="5">
        <v>48910317</v>
      </c>
      <c r="AF366" s="5">
        <v>14498803</v>
      </c>
      <c r="AI366" t="s">
        <v>888</v>
      </c>
      <c r="AJ366">
        <v>17.53</v>
      </c>
      <c r="AL366" t="s">
        <v>365</v>
      </c>
      <c r="AM366">
        <v>3.73</v>
      </c>
      <c r="AO366" t="s">
        <v>365</v>
      </c>
      <c r="AP366">
        <v>68.19</v>
      </c>
      <c r="AQ366">
        <v>72.13</v>
      </c>
      <c r="AS366" t="s">
        <v>365</v>
      </c>
      <c r="AT366">
        <v>8.3699999999999992</v>
      </c>
      <c r="AU366">
        <v>7.36</v>
      </c>
      <c r="AW366" t="s">
        <v>365</v>
      </c>
      <c r="AX366">
        <v>24.74</v>
      </c>
    </row>
    <row r="367" spans="1:50" x14ac:dyDescent="0.35">
      <c r="A367" t="s">
        <v>1087</v>
      </c>
      <c r="B367">
        <v>85.05</v>
      </c>
      <c r="D367" t="s">
        <v>889</v>
      </c>
      <c r="E367">
        <v>75.95</v>
      </c>
      <c r="G367" t="s">
        <v>1087</v>
      </c>
      <c r="H367">
        <v>0.57099999999999995</v>
      </c>
      <c r="J367" t="s">
        <v>889</v>
      </c>
      <c r="K367">
        <v>28.57</v>
      </c>
      <c r="M367" t="s">
        <v>889</v>
      </c>
      <c r="N367">
        <v>55.32</v>
      </c>
      <c r="P367" t="s">
        <v>388</v>
      </c>
      <c r="Q367">
        <v>16.440000000000001</v>
      </c>
      <c r="S367" t="s">
        <v>889</v>
      </c>
      <c r="T367">
        <v>0.35799999999999998</v>
      </c>
      <c r="V367" t="s">
        <v>889</v>
      </c>
      <c r="W367">
        <v>27.8</v>
      </c>
      <c r="Y367" t="s">
        <v>889</v>
      </c>
      <c r="Z367">
        <v>2.57</v>
      </c>
      <c r="AC367" s="4" t="s">
        <v>1090</v>
      </c>
      <c r="AD367" s="5">
        <v>40762950</v>
      </c>
      <c r="AE367" s="5">
        <v>19845254</v>
      </c>
      <c r="AF367" s="5">
        <v>3401394</v>
      </c>
      <c r="AI367" t="s">
        <v>1065</v>
      </c>
      <c r="AJ367">
        <v>20.43</v>
      </c>
      <c r="AL367" t="s">
        <v>1065</v>
      </c>
      <c r="AM367">
        <v>4.32</v>
      </c>
      <c r="AO367" t="s">
        <v>1065</v>
      </c>
      <c r="AP367">
        <v>67.84</v>
      </c>
      <c r="AQ367">
        <v>71.790000000000006</v>
      </c>
      <c r="AS367" t="s">
        <v>1065</v>
      </c>
      <c r="AT367">
        <v>8.09</v>
      </c>
      <c r="AU367">
        <v>7.23</v>
      </c>
      <c r="AW367" t="s">
        <v>1065</v>
      </c>
      <c r="AX367">
        <v>22.23</v>
      </c>
    </row>
    <row r="368" spans="1:50" x14ac:dyDescent="0.35">
      <c r="A368" t="s">
        <v>366</v>
      </c>
      <c r="B368">
        <v>92.49</v>
      </c>
      <c r="D368" t="s">
        <v>890</v>
      </c>
      <c r="E368">
        <v>80.86</v>
      </c>
      <c r="G368" t="s">
        <v>366</v>
      </c>
      <c r="H368">
        <v>0.53</v>
      </c>
      <c r="J368" t="s">
        <v>890</v>
      </c>
      <c r="K368">
        <v>31.11</v>
      </c>
      <c r="M368" t="s">
        <v>890</v>
      </c>
      <c r="N368">
        <v>54.49</v>
      </c>
      <c r="P368" t="s">
        <v>389</v>
      </c>
      <c r="Q368">
        <v>15.43</v>
      </c>
      <c r="S368" t="s">
        <v>366</v>
      </c>
      <c r="T368">
        <v>0.32300000000000001</v>
      </c>
      <c r="V368" t="s">
        <v>890</v>
      </c>
      <c r="W368">
        <v>33.44</v>
      </c>
      <c r="Y368" t="s">
        <v>890</v>
      </c>
      <c r="Z368">
        <v>2.2999999999999998</v>
      </c>
      <c r="AC368" s="4" t="s">
        <v>1089</v>
      </c>
      <c r="AD368" s="5">
        <v>92841905</v>
      </c>
      <c r="AE368" s="5">
        <v>34833427</v>
      </c>
      <c r="AF368" s="5">
        <v>3014756</v>
      </c>
      <c r="AI368" t="s">
        <v>890</v>
      </c>
      <c r="AJ368">
        <v>23.58</v>
      </c>
      <c r="AL368" t="s">
        <v>366</v>
      </c>
      <c r="AM368">
        <v>2.44</v>
      </c>
      <c r="AO368" t="s">
        <v>366</v>
      </c>
      <c r="AP368">
        <v>66.069999999999993</v>
      </c>
      <c r="AQ368">
        <v>70.06</v>
      </c>
      <c r="AS368" t="s">
        <v>366</v>
      </c>
      <c r="AT368">
        <v>8.2799999999999994</v>
      </c>
      <c r="AU368">
        <v>7.58</v>
      </c>
      <c r="AW368" t="s">
        <v>366</v>
      </c>
      <c r="AX368">
        <v>28.09</v>
      </c>
    </row>
    <row r="369" spans="1:50" x14ac:dyDescent="0.35">
      <c r="A369" t="s">
        <v>367</v>
      </c>
      <c r="B369">
        <v>89.8</v>
      </c>
      <c r="D369" t="s">
        <v>891</v>
      </c>
      <c r="E369">
        <v>79.239999999999995</v>
      </c>
      <c r="G369" t="s">
        <v>367</v>
      </c>
      <c r="H369">
        <v>0.51600000000000001</v>
      </c>
      <c r="J369" t="s">
        <v>891</v>
      </c>
      <c r="K369">
        <v>22.86</v>
      </c>
      <c r="M369" t="s">
        <v>891</v>
      </c>
      <c r="N369">
        <v>48.21</v>
      </c>
      <c r="P369" t="s">
        <v>390</v>
      </c>
      <c r="Q369">
        <v>16.78</v>
      </c>
      <c r="S369" t="s">
        <v>367</v>
      </c>
      <c r="T369">
        <v>0.27600000000000002</v>
      </c>
      <c r="V369" t="s">
        <v>891</v>
      </c>
      <c r="W369">
        <v>41.98</v>
      </c>
      <c r="Y369" t="s">
        <v>891</v>
      </c>
      <c r="Z369">
        <v>2.37</v>
      </c>
      <c r="AC369" s="4" t="s">
        <v>444</v>
      </c>
      <c r="AD369" s="5">
        <v>75781168</v>
      </c>
      <c r="AE369" s="5">
        <v>10934439</v>
      </c>
      <c r="AF369" s="5">
        <v>16794414</v>
      </c>
      <c r="AI369" t="s">
        <v>891</v>
      </c>
      <c r="AJ369">
        <v>28.73</v>
      </c>
      <c r="AL369" t="s">
        <v>367</v>
      </c>
      <c r="AM369">
        <v>4.5999999999999996</v>
      </c>
      <c r="AO369" t="s">
        <v>367</v>
      </c>
      <c r="AP369">
        <v>64.89</v>
      </c>
      <c r="AQ369">
        <v>68.819999999999993</v>
      </c>
      <c r="AS369" t="s">
        <v>367</v>
      </c>
      <c r="AT369">
        <v>8.16</v>
      </c>
      <c r="AU369">
        <v>7.32</v>
      </c>
      <c r="AW369" t="s">
        <v>367</v>
      </c>
      <c r="AX369">
        <v>23.7</v>
      </c>
    </row>
    <row r="370" spans="1:50" x14ac:dyDescent="0.35">
      <c r="A370" t="s">
        <v>368</v>
      </c>
      <c r="B370">
        <v>85.13</v>
      </c>
      <c r="D370" t="s">
        <v>892</v>
      </c>
      <c r="E370">
        <v>73.53</v>
      </c>
      <c r="G370" t="s">
        <v>368</v>
      </c>
      <c r="H370">
        <v>0.56299999999999994</v>
      </c>
      <c r="J370" t="s">
        <v>892</v>
      </c>
      <c r="K370">
        <v>16</v>
      </c>
      <c r="M370" t="s">
        <v>892</v>
      </c>
      <c r="N370">
        <v>45.84</v>
      </c>
      <c r="P370" t="s">
        <v>391</v>
      </c>
      <c r="Q370">
        <v>19.75</v>
      </c>
      <c r="S370" t="s">
        <v>368</v>
      </c>
      <c r="T370">
        <v>0.37</v>
      </c>
      <c r="V370" t="s">
        <v>892</v>
      </c>
      <c r="W370">
        <v>48.25</v>
      </c>
      <c r="Y370" t="s">
        <v>892</v>
      </c>
      <c r="Z370">
        <v>2.21</v>
      </c>
      <c r="AC370" s="4" t="s">
        <v>1130</v>
      </c>
      <c r="AD370" s="5">
        <v>216726133</v>
      </c>
      <c r="AE370" s="5">
        <v>15630544</v>
      </c>
      <c r="AF370" s="5">
        <v>16988516</v>
      </c>
      <c r="AI370" t="s">
        <v>892</v>
      </c>
      <c r="AJ370">
        <v>17.21</v>
      </c>
      <c r="AL370" t="s">
        <v>368</v>
      </c>
      <c r="AM370">
        <v>3.19</v>
      </c>
      <c r="AO370" t="s">
        <v>368</v>
      </c>
      <c r="AP370">
        <v>69.23</v>
      </c>
      <c r="AQ370">
        <v>73.19</v>
      </c>
      <c r="AS370" t="s">
        <v>368</v>
      </c>
      <c r="AT370">
        <v>8.59</v>
      </c>
      <c r="AU370">
        <v>7.68</v>
      </c>
      <c r="AW370" t="s">
        <v>368</v>
      </c>
      <c r="AX370">
        <v>21.46</v>
      </c>
    </row>
    <row r="371" spans="1:50" x14ac:dyDescent="0.35">
      <c r="A371" t="s">
        <v>369</v>
      </c>
      <c r="B371">
        <v>89.62</v>
      </c>
      <c r="D371" t="s">
        <v>893</v>
      </c>
      <c r="E371">
        <v>55.12</v>
      </c>
      <c r="G371" t="s">
        <v>369</v>
      </c>
      <c r="H371">
        <v>0.53100000000000003</v>
      </c>
      <c r="J371" t="s">
        <v>893</v>
      </c>
      <c r="K371">
        <v>6.67</v>
      </c>
      <c r="M371" t="s">
        <v>893</v>
      </c>
      <c r="N371">
        <v>52.2</v>
      </c>
      <c r="P371" t="s">
        <v>392</v>
      </c>
      <c r="Q371">
        <v>12.82</v>
      </c>
      <c r="S371" t="s">
        <v>369</v>
      </c>
      <c r="T371">
        <v>0.33700000000000002</v>
      </c>
      <c r="V371" t="s">
        <v>893</v>
      </c>
      <c r="W371">
        <v>27.25</v>
      </c>
      <c r="Y371" t="s">
        <v>893</v>
      </c>
      <c r="Z371">
        <v>2.33</v>
      </c>
      <c r="AC371" s="4" t="s">
        <v>448</v>
      </c>
      <c r="AD371" s="5">
        <v>59527588</v>
      </c>
      <c r="AE371" s="5">
        <v>23716604</v>
      </c>
      <c r="AF371" s="5">
        <v>16951370</v>
      </c>
      <c r="AI371" t="s">
        <v>893</v>
      </c>
      <c r="AJ371">
        <v>27.29</v>
      </c>
      <c r="AL371" t="s">
        <v>369</v>
      </c>
      <c r="AM371">
        <v>4.01</v>
      </c>
      <c r="AO371" t="s">
        <v>369</v>
      </c>
      <c r="AP371">
        <v>64.98</v>
      </c>
      <c r="AQ371">
        <v>68.91</v>
      </c>
      <c r="AS371" t="s">
        <v>369</v>
      </c>
      <c r="AT371">
        <v>8.35</v>
      </c>
      <c r="AU371">
        <v>7.8</v>
      </c>
      <c r="AW371" t="s">
        <v>369</v>
      </c>
      <c r="AX371">
        <v>28.23</v>
      </c>
    </row>
    <row r="372" spans="1:50" x14ac:dyDescent="0.35">
      <c r="A372" t="s">
        <v>370</v>
      </c>
      <c r="B372">
        <v>96.07</v>
      </c>
      <c r="D372" t="s">
        <v>894</v>
      </c>
      <c r="E372">
        <v>77.73</v>
      </c>
      <c r="G372" t="s">
        <v>370</v>
      </c>
      <c r="H372">
        <v>0.36</v>
      </c>
      <c r="J372" t="s">
        <v>894</v>
      </c>
      <c r="K372">
        <v>20</v>
      </c>
      <c r="M372" t="s">
        <v>894</v>
      </c>
      <c r="N372">
        <v>56.62</v>
      </c>
      <c r="P372" t="s">
        <v>394</v>
      </c>
      <c r="Q372">
        <v>6.38</v>
      </c>
      <c r="S372" t="s">
        <v>370</v>
      </c>
      <c r="T372">
        <v>0.248</v>
      </c>
      <c r="V372" t="s">
        <v>894</v>
      </c>
      <c r="W372">
        <v>49.32</v>
      </c>
      <c r="Y372" t="s">
        <v>894</v>
      </c>
      <c r="Z372">
        <v>2.3199999999999998</v>
      </c>
      <c r="AC372" s="4" t="s">
        <v>450</v>
      </c>
      <c r="AD372" s="5">
        <v>88576506</v>
      </c>
      <c r="AE372" s="5">
        <v>28208788</v>
      </c>
      <c r="AF372" s="5">
        <v>15060309</v>
      </c>
      <c r="AI372" t="s">
        <v>894</v>
      </c>
      <c r="AJ372">
        <v>28.33</v>
      </c>
      <c r="AL372" t="s">
        <v>370</v>
      </c>
      <c r="AM372">
        <v>5.84</v>
      </c>
      <c r="AO372" t="s">
        <v>370</v>
      </c>
      <c r="AP372">
        <v>64.94</v>
      </c>
      <c r="AQ372">
        <v>68.87</v>
      </c>
      <c r="AS372" t="s">
        <v>370</v>
      </c>
      <c r="AT372">
        <v>8.73</v>
      </c>
      <c r="AU372">
        <v>8.01</v>
      </c>
      <c r="AW372" t="s">
        <v>370</v>
      </c>
      <c r="AX372">
        <v>28.1</v>
      </c>
    </row>
    <row r="373" spans="1:50" x14ac:dyDescent="0.35">
      <c r="A373" t="s">
        <v>371</v>
      </c>
      <c r="B373">
        <v>91.69</v>
      </c>
      <c r="D373" t="s">
        <v>895</v>
      </c>
      <c r="E373">
        <v>70.650000000000006</v>
      </c>
      <c r="G373" t="s">
        <v>371</v>
      </c>
      <c r="H373">
        <v>0.45800000000000002</v>
      </c>
      <c r="J373" t="s">
        <v>895</v>
      </c>
      <c r="K373">
        <v>23.33</v>
      </c>
      <c r="M373" t="s">
        <v>895</v>
      </c>
      <c r="N373">
        <v>55.67</v>
      </c>
      <c r="P373" t="s">
        <v>395</v>
      </c>
      <c r="Q373">
        <v>5.42</v>
      </c>
      <c r="S373" t="s">
        <v>371</v>
      </c>
      <c r="T373">
        <v>0.24099999999999999</v>
      </c>
      <c r="V373" t="s">
        <v>895</v>
      </c>
      <c r="W373">
        <v>29.94</v>
      </c>
      <c r="Y373" t="s">
        <v>895</v>
      </c>
      <c r="Z373">
        <v>2.4500000000000002</v>
      </c>
      <c r="AC373" s="4" t="s">
        <v>451</v>
      </c>
      <c r="AD373" s="5">
        <v>71437897</v>
      </c>
      <c r="AE373" s="5">
        <v>23060613</v>
      </c>
      <c r="AF373" s="5">
        <v>22031039</v>
      </c>
      <c r="AI373" t="s">
        <v>895</v>
      </c>
      <c r="AJ373">
        <v>29.67</v>
      </c>
      <c r="AL373" t="s">
        <v>371</v>
      </c>
      <c r="AM373">
        <v>6.25</v>
      </c>
      <c r="AO373" t="s">
        <v>371</v>
      </c>
      <c r="AP373">
        <v>63.09</v>
      </c>
      <c r="AQ373">
        <v>66.94</v>
      </c>
      <c r="AS373" t="s">
        <v>371</v>
      </c>
      <c r="AT373">
        <v>8.4</v>
      </c>
      <c r="AU373">
        <v>7.51</v>
      </c>
      <c r="AW373" t="s">
        <v>371</v>
      </c>
      <c r="AX373">
        <v>24.22</v>
      </c>
    </row>
    <row r="374" spans="1:50" x14ac:dyDescent="0.35">
      <c r="A374" t="s">
        <v>372</v>
      </c>
      <c r="B374">
        <v>86.47</v>
      </c>
      <c r="D374" t="s">
        <v>896</v>
      </c>
      <c r="E374">
        <v>72.540000000000006</v>
      </c>
      <c r="G374" t="s">
        <v>372</v>
      </c>
      <c r="H374">
        <v>0.503</v>
      </c>
      <c r="J374" t="s">
        <v>896</v>
      </c>
      <c r="K374">
        <v>23.33</v>
      </c>
      <c r="M374" t="s">
        <v>896</v>
      </c>
      <c r="N374">
        <v>53.48</v>
      </c>
      <c r="P374" t="s">
        <v>396</v>
      </c>
      <c r="Q374">
        <v>11.12</v>
      </c>
      <c r="S374" t="s">
        <v>372</v>
      </c>
      <c r="T374">
        <v>0.29799999999999999</v>
      </c>
      <c r="V374" t="s">
        <v>896</v>
      </c>
      <c r="W374">
        <v>28.71</v>
      </c>
      <c r="Y374" t="s">
        <v>896</v>
      </c>
      <c r="Z374">
        <v>2.23</v>
      </c>
      <c r="AC374" s="4" t="s">
        <v>449</v>
      </c>
      <c r="AD374" s="5">
        <v>47303572</v>
      </c>
      <c r="AE374" s="5">
        <v>23849564</v>
      </c>
      <c r="AF374" s="5">
        <v>26883462</v>
      </c>
      <c r="AI374" t="s">
        <v>896</v>
      </c>
      <c r="AJ374">
        <v>16.63</v>
      </c>
      <c r="AL374" t="s">
        <v>372</v>
      </c>
      <c r="AM374">
        <v>5.77</v>
      </c>
      <c r="AO374" t="s">
        <v>372</v>
      </c>
      <c r="AP374">
        <v>69.34</v>
      </c>
      <c r="AQ374">
        <v>73.31</v>
      </c>
      <c r="AS374" t="s">
        <v>372</v>
      </c>
      <c r="AT374">
        <v>9.6</v>
      </c>
      <c r="AU374">
        <v>8.77</v>
      </c>
      <c r="AW374" t="s">
        <v>372</v>
      </c>
      <c r="AX374">
        <v>35.119999999999997</v>
      </c>
    </row>
    <row r="375" spans="1:50" x14ac:dyDescent="0.35">
      <c r="A375" t="s">
        <v>373</v>
      </c>
      <c r="B375">
        <v>85.74</v>
      </c>
      <c r="D375" t="s">
        <v>897</v>
      </c>
      <c r="E375">
        <v>67.75</v>
      </c>
      <c r="G375" t="s">
        <v>373</v>
      </c>
      <c r="H375">
        <v>0.55700000000000005</v>
      </c>
      <c r="J375" t="s">
        <v>897</v>
      </c>
      <c r="K375">
        <v>17.14</v>
      </c>
      <c r="M375" t="s">
        <v>897</v>
      </c>
      <c r="N375">
        <v>60.52</v>
      </c>
      <c r="P375" t="s">
        <v>397</v>
      </c>
      <c r="Q375">
        <v>7.34</v>
      </c>
      <c r="S375" t="s">
        <v>373</v>
      </c>
      <c r="T375">
        <v>0.39</v>
      </c>
      <c r="V375" t="s">
        <v>897</v>
      </c>
      <c r="W375">
        <v>31.25</v>
      </c>
      <c r="Y375" t="s">
        <v>897</v>
      </c>
      <c r="Z375">
        <v>2.5099999999999998</v>
      </c>
      <c r="AC375" s="4" t="s">
        <v>463</v>
      </c>
      <c r="AD375" s="5">
        <v>85545280</v>
      </c>
      <c r="AE375" s="5">
        <v>14419762</v>
      </c>
      <c r="AF375" s="5">
        <v>3626913</v>
      </c>
      <c r="AI375" t="s">
        <v>897</v>
      </c>
      <c r="AJ375">
        <v>17.93</v>
      </c>
      <c r="AL375" t="s">
        <v>373</v>
      </c>
      <c r="AM375">
        <v>4.12</v>
      </c>
      <c r="AO375" t="s">
        <v>373</v>
      </c>
      <c r="AP375">
        <v>69.010000000000005</v>
      </c>
      <c r="AQ375">
        <v>72.959999999999994</v>
      </c>
      <c r="AS375" t="s">
        <v>373</v>
      </c>
      <c r="AT375">
        <v>8.74</v>
      </c>
      <c r="AU375">
        <v>7.92</v>
      </c>
      <c r="AW375" t="s">
        <v>373</v>
      </c>
      <c r="AX375">
        <v>26.45</v>
      </c>
    </row>
    <row r="376" spans="1:50" x14ac:dyDescent="0.35">
      <c r="A376" t="s">
        <v>374</v>
      </c>
      <c r="B376">
        <v>93.21</v>
      </c>
      <c r="D376" t="s">
        <v>898</v>
      </c>
      <c r="E376">
        <v>73.27</v>
      </c>
      <c r="G376" t="s">
        <v>374</v>
      </c>
      <c r="H376">
        <v>0.57399999999999995</v>
      </c>
      <c r="J376" t="s">
        <v>898</v>
      </c>
      <c r="K376">
        <v>20</v>
      </c>
      <c r="M376" t="s">
        <v>898</v>
      </c>
      <c r="N376">
        <v>49.64</v>
      </c>
      <c r="P376" t="s">
        <v>398</v>
      </c>
      <c r="Q376">
        <v>9.15</v>
      </c>
      <c r="S376" t="s">
        <v>374</v>
      </c>
      <c r="T376">
        <v>0.36499999999999999</v>
      </c>
      <c r="V376" t="s">
        <v>898</v>
      </c>
      <c r="W376">
        <v>37.94</v>
      </c>
      <c r="Y376" t="s">
        <v>898</v>
      </c>
      <c r="Z376">
        <v>2.36</v>
      </c>
      <c r="AC376" s="4" t="s">
        <v>464</v>
      </c>
      <c r="AD376" s="5">
        <v>52738430</v>
      </c>
      <c r="AE376" s="5">
        <v>21054451</v>
      </c>
      <c r="AF376" s="5">
        <v>4676825</v>
      </c>
      <c r="AI376" t="s">
        <v>898</v>
      </c>
      <c r="AJ376">
        <v>21.36</v>
      </c>
      <c r="AL376" t="s">
        <v>374</v>
      </c>
      <c r="AM376">
        <v>5.22</v>
      </c>
      <c r="AO376" t="s">
        <v>374</v>
      </c>
      <c r="AP376">
        <v>66.45</v>
      </c>
      <c r="AQ376">
        <v>70.430000000000007</v>
      </c>
      <c r="AS376" t="s">
        <v>374</v>
      </c>
      <c r="AT376">
        <v>8.7799999999999994</v>
      </c>
      <c r="AU376">
        <v>7.61</v>
      </c>
      <c r="AW376" t="s">
        <v>374</v>
      </c>
      <c r="AX376">
        <v>26.81</v>
      </c>
    </row>
    <row r="377" spans="1:50" x14ac:dyDescent="0.35">
      <c r="A377" t="s">
        <v>375</v>
      </c>
      <c r="B377">
        <v>93.88</v>
      </c>
      <c r="D377" t="s">
        <v>899</v>
      </c>
      <c r="E377">
        <v>79.48</v>
      </c>
      <c r="G377" t="s">
        <v>375</v>
      </c>
      <c r="H377">
        <v>0.4</v>
      </c>
      <c r="J377" t="s">
        <v>899</v>
      </c>
      <c r="K377">
        <v>24.44</v>
      </c>
      <c r="M377" t="s">
        <v>899</v>
      </c>
      <c r="N377">
        <v>52.77</v>
      </c>
      <c r="P377" t="s">
        <v>399</v>
      </c>
      <c r="Q377">
        <v>7.11</v>
      </c>
      <c r="S377" t="s">
        <v>375</v>
      </c>
      <c r="T377">
        <v>0.246</v>
      </c>
      <c r="V377" t="s">
        <v>899</v>
      </c>
      <c r="W377">
        <v>37.799999999999997</v>
      </c>
      <c r="Y377" t="s">
        <v>899</v>
      </c>
      <c r="Z377">
        <v>2.17</v>
      </c>
      <c r="AC377" s="4" t="s">
        <v>452</v>
      </c>
      <c r="AD377" s="5">
        <v>91073444</v>
      </c>
      <c r="AE377" s="5">
        <v>28301689</v>
      </c>
      <c r="AF377" s="5">
        <v>16277664</v>
      </c>
      <c r="AI377" t="s">
        <v>899</v>
      </c>
      <c r="AJ377">
        <v>15.72</v>
      </c>
      <c r="AL377" t="s">
        <v>375</v>
      </c>
      <c r="AM377">
        <v>4.63</v>
      </c>
      <c r="AO377" t="s">
        <v>375</v>
      </c>
      <c r="AP377">
        <v>69.95</v>
      </c>
      <c r="AQ377">
        <v>73.94</v>
      </c>
      <c r="AS377" t="s">
        <v>375</v>
      </c>
      <c r="AT377">
        <v>11.13</v>
      </c>
      <c r="AU377">
        <v>9.7100000000000009</v>
      </c>
      <c r="AW377" t="s">
        <v>375</v>
      </c>
      <c r="AX377">
        <v>47.37</v>
      </c>
    </row>
    <row r="378" spans="1:50" x14ac:dyDescent="0.35">
      <c r="A378" t="s">
        <v>376</v>
      </c>
      <c r="B378">
        <v>92.99</v>
      </c>
      <c r="D378" t="s">
        <v>900</v>
      </c>
      <c r="E378">
        <v>70.2</v>
      </c>
      <c r="G378" t="s">
        <v>376</v>
      </c>
      <c r="H378">
        <v>0.36099999999999999</v>
      </c>
      <c r="J378" t="s">
        <v>900</v>
      </c>
      <c r="K378">
        <v>16.670000000000002</v>
      </c>
      <c r="M378" t="s">
        <v>900</v>
      </c>
      <c r="N378">
        <v>45.49</v>
      </c>
      <c r="P378" t="s">
        <v>400</v>
      </c>
      <c r="Q378">
        <v>8.5399999999999991</v>
      </c>
      <c r="S378" t="s">
        <v>376</v>
      </c>
      <c r="T378">
        <v>0.20300000000000001</v>
      </c>
      <c r="V378" t="s">
        <v>900</v>
      </c>
      <c r="W378">
        <v>32.450000000000003</v>
      </c>
      <c r="Y378" t="s">
        <v>900</v>
      </c>
      <c r="Z378">
        <v>2.15</v>
      </c>
      <c r="AC378" s="4" t="s">
        <v>453</v>
      </c>
      <c r="AD378" s="5">
        <v>61556247</v>
      </c>
      <c r="AE378" s="5">
        <v>26900408</v>
      </c>
      <c r="AF378" s="5">
        <v>23505177</v>
      </c>
      <c r="AI378" t="s">
        <v>900</v>
      </c>
      <c r="AJ378">
        <v>15.22</v>
      </c>
      <c r="AL378" t="s">
        <v>376</v>
      </c>
      <c r="AM378">
        <v>3.92</v>
      </c>
      <c r="AO378" t="s">
        <v>376</v>
      </c>
      <c r="AP378">
        <v>70.66</v>
      </c>
      <c r="AQ378">
        <v>74.69</v>
      </c>
      <c r="AS378" t="s">
        <v>376</v>
      </c>
      <c r="AT378">
        <v>11.43</v>
      </c>
      <c r="AU378">
        <v>10.79</v>
      </c>
      <c r="AW378" t="s">
        <v>376</v>
      </c>
      <c r="AX378">
        <v>57.86</v>
      </c>
    </row>
    <row r="379" spans="1:50" x14ac:dyDescent="0.35">
      <c r="A379" t="s">
        <v>377</v>
      </c>
      <c r="B379">
        <v>87.13</v>
      </c>
      <c r="D379" t="s">
        <v>377</v>
      </c>
      <c r="E379">
        <v>68.959999999999994</v>
      </c>
      <c r="G379" t="s">
        <v>377</v>
      </c>
      <c r="H379">
        <v>0.41399999999999998</v>
      </c>
      <c r="J379" t="s">
        <v>377</v>
      </c>
      <c r="K379">
        <v>21.82</v>
      </c>
      <c r="M379" t="s">
        <v>377</v>
      </c>
      <c r="N379">
        <v>48.03</v>
      </c>
      <c r="P379" t="s">
        <v>401</v>
      </c>
      <c r="Q379">
        <v>8.85</v>
      </c>
      <c r="S379" t="s">
        <v>377</v>
      </c>
      <c r="T379">
        <v>0.255</v>
      </c>
      <c r="V379" t="s">
        <v>377</v>
      </c>
      <c r="W379">
        <v>24.57</v>
      </c>
      <c r="Y379" t="s">
        <v>377</v>
      </c>
      <c r="Z379">
        <v>2.1800000000000002</v>
      </c>
      <c r="AC379" s="4" t="s">
        <v>454</v>
      </c>
      <c r="AD379" s="5">
        <v>58366064</v>
      </c>
      <c r="AE379" s="5">
        <v>18170001</v>
      </c>
      <c r="AF379" s="5">
        <v>13650439</v>
      </c>
      <c r="AI379" t="s">
        <v>377</v>
      </c>
      <c r="AJ379">
        <v>18.04</v>
      </c>
      <c r="AL379" t="s">
        <v>377</v>
      </c>
      <c r="AM379">
        <v>6.11</v>
      </c>
      <c r="AO379" t="s">
        <v>377</v>
      </c>
      <c r="AP379">
        <v>72.959999999999994</v>
      </c>
      <c r="AQ379">
        <v>76.62</v>
      </c>
      <c r="AS379" t="s">
        <v>377</v>
      </c>
      <c r="AT379">
        <v>10.26</v>
      </c>
      <c r="AU379">
        <v>9.7899999999999991</v>
      </c>
      <c r="AW379" t="s">
        <v>377</v>
      </c>
      <c r="AX379">
        <v>50.68</v>
      </c>
    </row>
    <row r="380" spans="1:50" x14ac:dyDescent="0.35">
      <c r="A380" t="s">
        <v>1088</v>
      </c>
      <c r="B380">
        <v>72.84</v>
      </c>
      <c r="D380" t="s">
        <v>901</v>
      </c>
      <c r="E380">
        <v>68.349999999999994</v>
      </c>
      <c r="G380" t="s">
        <v>1088</v>
      </c>
      <c r="H380">
        <v>0.48899999999999999</v>
      </c>
      <c r="J380" t="s">
        <v>901</v>
      </c>
      <c r="K380">
        <v>23.33</v>
      </c>
      <c r="M380" t="s">
        <v>901</v>
      </c>
      <c r="N380">
        <v>51.44</v>
      </c>
      <c r="P380" t="s">
        <v>402</v>
      </c>
      <c r="Q380">
        <v>7.35</v>
      </c>
      <c r="S380" t="s">
        <v>1088</v>
      </c>
      <c r="T380">
        <v>0.32200000000000001</v>
      </c>
      <c r="V380" t="s">
        <v>901</v>
      </c>
      <c r="W380">
        <v>23.75</v>
      </c>
      <c r="Y380" t="s">
        <v>1088</v>
      </c>
      <c r="Z380">
        <v>2.27</v>
      </c>
      <c r="AC380" s="4" t="s">
        <v>455</v>
      </c>
      <c r="AD380" s="5">
        <v>56482759</v>
      </c>
      <c r="AE380" s="5">
        <v>19700362</v>
      </c>
      <c r="AF380" s="5">
        <v>18933121</v>
      </c>
      <c r="AI380" t="s">
        <v>1088</v>
      </c>
      <c r="AJ380">
        <v>19.079999999999998</v>
      </c>
      <c r="AL380" t="s">
        <v>1088</v>
      </c>
      <c r="AM380">
        <v>9.11</v>
      </c>
      <c r="AO380" t="s">
        <v>1088</v>
      </c>
      <c r="AP380">
        <v>71</v>
      </c>
      <c r="AQ380">
        <v>75.08</v>
      </c>
      <c r="AS380" t="s">
        <v>1088</v>
      </c>
      <c r="AT380">
        <v>9.17</v>
      </c>
      <c r="AU380">
        <v>8.75</v>
      </c>
      <c r="AW380" t="s">
        <v>1088</v>
      </c>
      <c r="AX380">
        <v>39.81</v>
      </c>
    </row>
    <row r="381" spans="1:50" x14ac:dyDescent="0.35">
      <c r="A381" t="s">
        <v>378</v>
      </c>
      <c r="B381">
        <v>85.29</v>
      </c>
      <c r="D381" t="s">
        <v>902</v>
      </c>
      <c r="E381">
        <v>66.900000000000006</v>
      </c>
      <c r="G381" t="s">
        <v>378</v>
      </c>
      <c r="H381">
        <v>0.49099999999999999</v>
      </c>
      <c r="J381" t="s">
        <v>902</v>
      </c>
      <c r="K381">
        <v>16</v>
      </c>
      <c r="M381" t="s">
        <v>902</v>
      </c>
      <c r="N381">
        <v>47.73</v>
      </c>
      <c r="P381" t="s">
        <v>403</v>
      </c>
      <c r="Q381">
        <v>6.57</v>
      </c>
      <c r="S381" t="s">
        <v>378</v>
      </c>
      <c r="T381">
        <v>0.40200000000000002</v>
      </c>
      <c r="V381" t="s">
        <v>902</v>
      </c>
      <c r="W381">
        <v>27.17</v>
      </c>
      <c r="Y381" t="s">
        <v>902</v>
      </c>
      <c r="Z381">
        <v>2.2799999999999998</v>
      </c>
      <c r="AC381" s="4" t="s">
        <v>457</v>
      </c>
      <c r="AD381" s="5">
        <v>55313679</v>
      </c>
      <c r="AE381" s="5">
        <v>22189924</v>
      </c>
      <c r="AF381" s="5">
        <v>47792487</v>
      </c>
      <c r="AI381" t="s">
        <v>902</v>
      </c>
      <c r="AJ381">
        <v>19.61</v>
      </c>
      <c r="AL381" t="s">
        <v>378</v>
      </c>
      <c r="AM381">
        <v>9.7200000000000006</v>
      </c>
      <c r="AO381" t="s">
        <v>378</v>
      </c>
      <c r="AP381">
        <v>71.37</v>
      </c>
      <c r="AQ381">
        <v>75.16</v>
      </c>
      <c r="AS381" t="s">
        <v>378</v>
      </c>
      <c r="AT381">
        <v>9.41</v>
      </c>
      <c r="AU381">
        <v>8.36</v>
      </c>
      <c r="AW381" t="s">
        <v>378</v>
      </c>
      <c r="AX381">
        <v>39.36</v>
      </c>
    </row>
    <row r="382" spans="1:50" x14ac:dyDescent="0.35">
      <c r="A382" t="s">
        <v>379</v>
      </c>
      <c r="B382">
        <v>80.64</v>
      </c>
      <c r="D382" t="s">
        <v>903</v>
      </c>
      <c r="E382">
        <v>63.55</v>
      </c>
      <c r="G382" t="s">
        <v>379</v>
      </c>
      <c r="H382">
        <v>0.49</v>
      </c>
      <c r="J382" t="s">
        <v>903</v>
      </c>
      <c r="K382">
        <v>15.56</v>
      </c>
      <c r="M382" t="s">
        <v>903</v>
      </c>
      <c r="N382">
        <v>52.45</v>
      </c>
      <c r="P382" t="s">
        <v>404</v>
      </c>
      <c r="Q382">
        <v>6.55</v>
      </c>
      <c r="S382" t="s">
        <v>379</v>
      </c>
      <c r="T382">
        <v>0.315</v>
      </c>
      <c r="V382" t="s">
        <v>903</v>
      </c>
      <c r="W382">
        <v>24.34</v>
      </c>
      <c r="Y382" t="s">
        <v>903</v>
      </c>
      <c r="Z382">
        <v>2.16</v>
      </c>
      <c r="AC382" s="4" t="s">
        <v>456</v>
      </c>
      <c r="AD382" s="5">
        <v>52866505</v>
      </c>
      <c r="AE382" s="5">
        <v>13438274</v>
      </c>
      <c r="AF382" s="5">
        <v>42526963</v>
      </c>
      <c r="AI382" t="s">
        <v>903</v>
      </c>
      <c r="AJ382">
        <v>18.329999999999998</v>
      </c>
      <c r="AL382" t="s">
        <v>379</v>
      </c>
      <c r="AM382">
        <v>7.61</v>
      </c>
      <c r="AO382" t="s">
        <v>379</v>
      </c>
      <c r="AP382">
        <v>70.78</v>
      </c>
      <c r="AQ382">
        <v>74.81</v>
      </c>
      <c r="AS382" t="s">
        <v>379</v>
      </c>
      <c r="AT382">
        <v>9.61</v>
      </c>
      <c r="AU382">
        <v>8.82</v>
      </c>
      <c r="AW382" t="s">
        <v>379</v>
      </c>
      <c r="AX382">
        <v>37.69</v>
      </c>
    </row>
    <row r="383" spans="1:50" x14ac:dyDescent="0.35">
      <c r="A383" t="s">
        <v>380</v>
      </c>
      <c r="B383">
        <v>77.83</v>
      </c>
      <c r="D383" t="s">
        <v>904</v>
      </c>
      <c r="E383">
        <v>53.99</v>
      </c>
      <c r="G383" t="s">
        <v>380</v>
      </c>
      <c r="H383">
        <v>0.53200000000000003</v>
      </c>
      <c r="J383" t="s">
        <v>904</v>
      </c>
      <c r="K383">
        <v>12.5</v>
      </c>
      <c r="M383" t="s">
        <v>904</v>
      </c>
      <c r="N383">
        <v>45.65</v>
      </c>
      <c r="P383" t="s">
        <v>405</v>
      </c>
      <c r="Q383">
        <v>4.63</v>
      </c>
      <c r="S383" t="s">
        <v>380</v>
      </c>
      <c r="T383">
        <v>0.32300000000000001</v>
      </c>
      <c r="V383" t="s">
        <v>904</v>
      </c>
      <c r="W383">
        <v>18.7</v>
      </c>
      <c r="Y383" t="s">
        <v>904</v>
      </c>
      <c r="Z383">
        <v>2.2400000000000002</v>
      </c>
      <c r="AC383" s="4" t="s">
        <v>459</v>
      </c>
      <c r="AD383" s="5">
        <v>42246696</v>
      </c>
      <c r="AE383" s="5">
        <v>17440382</v>
      </c>
      <c r="AF383" s="5">
        <v>18780516</v>
      </c>
      <c r="AI383" t="s">
        <v>904</v>
      </c>
      <c r="AJ383">
        <v>17.350000000000001</v>
      </c>
      <c r="AL383" t="s">
        <v>380</v>
      </c>
      <c r="AM383">
        <v>9.06</v>
      </c>
      <c r="AO383" t="s">
        <v>380</v>
      </c>
      <c r="AP383">
        <v>71.77</v>
      </c>
      <c r="AQ383">
        <v>75.52</v>
      </c>
      <c r="AS383" t="s">
        <v>380</v>
      </c>
      <c r="AT383">
        <v>9.91</v>
      </c>
      <c r="AU383">
        <v>8.98</v>
      </c>
      <c r="AW383" t="s">
        <v>380</v>
      </c>
      <c r="AX383">
        <v>40.26</v>
      </c>
    </row>
    <row r="384" spans="1:50" x14ac:dyDescent="0.35">
      <c r="A384" t="s">
        <v>381</v>
      </c>
      <c r="B384">
        <v>88.2</v>
      </c>
      <c r="D384" t="s">
        <v>905</v>
      </c>
      <c r="E384">
        <v>57.53</v>
      </c>
      <c r="G384" t="s">
        <v>381</v>
      </c>
      <c r="H384">
        <v>0.502</v>
      </c>
      <c r="J384" t="s">
        <v>905</v>
      </c>
      <c r="K384">
        <v>16.670000000000002</v>
      </c>
      <c r="M384" t="s">
        <v>905</v>
      </c>
      <c r="N384">
        <v>44.77</v>
      </c>
      <c r="P384" t="s">
        <v>406</v>
      </c>
      <c r="Q384">
        <v>3.91</v>
      </c>
      <c r="S384" t="s">
        <v>381</v>
      </c>
      <c r="T384">
        <v>0.35</v>
      </c>
      <c r="V384" t="s">
        <v>905</v>
      </c>
      <c r="W384">
        <v>17.88</v>
      </c>
      <c r="Y384" t="s">
        <v>905</v>
      </c>
      <c r="Z384">
        <v>2.37</v>
      </c>
      <c r="AC384" s="4" t="s">
        <v>458</v>
      </c>
      <c r="AD384" s="5">
        <v>30574362</v>
      </c>
      <c r="AE384" s="5">
        <v>7295113</v>
      </c>
      <c r="AF384" s="5">
        <v>21313235</v>
      </c>
      <c r="AI384" t="s">
        <v>905</v>
      </c>
      <c r="AJ384">
        <v>21.15</v>
      </c>
      <c r="AL384" t="s">
        <v>381</v>
      </c>
      <c r="AM384">
        <v>5.54</v>
      </c>
      <c r="AO384" t="s">
        <v>381</v>
      </c>
      <c r="AP384">
        <v>70.45</v>
      </c>
      <c r="AQ384">
        <v>74.47</v>
      </c>
      <c r="AS384" t="s">
        <v>381</v>
      </c>
      <c r="AT384">
        <v>9.93</v>
      </c>
      <c r="AU384">
        <v>9.2799999999999994</v>
      </c>
      <c r="AW384" t="s">
        <v>381</v>
      </c>
      <c r="AX384">
        <v>43.73</v>
      </c>
    </row>
    <row r="385" spans="1:50" x14ac:dyDescent="0.35">
      <c r="A385" t="s">
        <v>382</v>
      </c>
      <c r="B385">
        <v>86.93</v>
      </c>
      <c r="D385" t="s">
        <v>906</v>
      </c>
      <c r="E385">
        <v>72.55</v>
      </c>
      <c r="G385" t="s">
        <v>382</v>
      </c>
      <c r="H385">
        <v>0.54400000000000004</v>
      </c>
      <c r="J385" t="s">
        <v>906</v>
      </c>
      <c r="K385">
        <v>20</v>
      </c>
      <c r="M385" t="s">
        <v>906</v>
      </c>
      <c r="N385">
        <v>45.63</v>
      </c>
      <c r="P385" t="s">
        <v>407</v>
      </c>
      <c r="Q385">
        <v>3.75</v>
      </c>
      <c r="S385" t="s">
        <v>382</v>
      </c>
      <c r="T385">
        <v>0.29799999999999999</v>
      </c>
      <c r="V385" t="s">
        <v>906</v>
      </c>
      <c r="W385">
        <v>28.98</v>
      </c>
      <c r="Y385" t="s">
        <v>909</v>
      </c>
      <c r="Z385">
        <v>2.36</v>
      </c>
      <c r="AC385" s="4" t="s">
        <v>460</v>
      </c>
      <c r="AD385" s="5">
        <v>40844309</v>
      </c>
      <c r="AE385" s="5">
        <v>12616375</v>
      </c>
      <c r="AF385" s="5">
        <v>20291451</v>
      </c>
      <c r="AI385" t="s">
        <v>909</v>
      </c>
      <c r="AJ385">
        <v>18.63</v>
      </c>
      <c r="AL385" t="s">
        <v>382</v>
      </c>
      <c r="AM385">
        <v>6.97</v>
      </c>
      <c r="AO385" t="s">
        <v>382</v>
      </c>
      <c r="AP385">
        <v>70.099999999999994</v>
      </c>
      <c r="AQ385">
        <v>74.09</v>
      </c>
      <c r="AS385" t="s">
        <v>382</v>
      </c>
      <c r="AT385">
        <v>8.85</v>
      </c>
      <c r="AU385">
        <v>8.19</v>
      </c>
      <c r="AW385" t="s">
        <v>382</v>
      </c>
      <c r="AX385">
        <v>37.85</v>
      </c>
    </row>
    <row r="386" spans="1:50" x14ac:dyDescent="0.35">
      <c r="A386" t="s">
        <v>383</v>
      </c>
      <c r="B386">
        <v>83.07</v>
      </c>
      <c r="D386" t="s">
        <v>907</v>
      </c>
      <c r="E386">
        <v>65.55</v>
      </c>
      <c r="G386" t="s">
        <v>383</v>
      </c>
      <c r="H386">
        <v>0.36199999999999999</v>
      </c>
      <c r="J386" t="s">
        <v>907</v>
      </c>
      <c r="K386">
        <v>20</v>
      </c>
      <c r="M386" t="s">
        <v>907</v>
      </c>
      <c r="N386">
        <v>46.16</v>
      </c>
      <c r="P386" t="s">
        <v>408</v>
      </c>
      <c r="Q386">
        <v>4.6100000000000003</v>
      </c>
      <c r="S386" t="s">
        <v>383</v>
      </c>
      <c r="T386">
        <v>0.35299999999999998</v>
      </c>
      <c r="V386" t="s">
        <v>907</v>
      </c>
      <c r="W386">
        <v>22.1</v>
      </c>
      <c r="Y386" t="s">
        <v>911</v>
      </c>
      <c r="Z386">
        <v>2.42</v>
      </c>
      <c r="AC386" s="4" t="s">
        <v>461</v>
      </c>
      <c r="AD386" s="5">
        <v>49996455</v>
      </c>
      <c r="AE386" s="5">
        <v>22135858</v>
      </c>
      <c r="AF386" s="5">
        <v>6244152</v>
      </c>
      <c r="AI386" t="s">
        <v>911</v>
      </c>
      <c r="AJ386">
        <v>21.12</v>
      </c>
      <c r="AL386" t="s">
        <v>1179</v>
      </c>
      <c r="AM386">
        <v>11.38</v>
      </c>
      <c r="AO386" t="s">
        <v>383</v>
      </c>
      <c r="AP386">
        <v>70.5</v>
      </c>
      <c r="AQ386">
        <v>74.52</v>
      </c>
      <c r="AS386" t="s">
        <v>383</v>
      </c>
      <c r="AT386">
        <v>8.9499999999999993</v>
      </c>
      <c r="AU386">
        <v>8.4499999999999993</v>
      </c>
      <c r="AW386" t="s">
        <v>383</v>
      </c>
      <c r="AX386">
        <v>43.45</v>
      </c>
    </row>
    <row r="387" spans="1:50" x14ac:dyDescent="0.35">
      <c r="A387" t="s">
        <v>384</v>
      </c>
      <c r="B387">
        <v>90.13</v>
      </c>
      <c r="D387" t="s">
        <v>908</v>
      </c>
      <c r="E387">
        <v>78.680000000000007</v>
      </c>
      <c r="G387" t="s">
        <v>384</v>
      </c>
      <c r="H387">
        <v>0.17799999999999999</v>
      </c>
      <c r="J387" t="s">
        <v>908</v>
      </c>
      <c r="K387">
        <v>32</v>
      </c>
      <c r="M387" t="s">
        <v>908</v>
      </c>
      <c r="N387">
        <v>49.12</v>
      </c>
      <c r="P387" t="s">
        <v>410</v>
      </c>
      <c r="Q387">
        <v>16.559999999999999</v>
      </c>
      <c r="S387" t="s">
        <v>384</v>
      </c>
      <c r="T387">
        <v>0.16800000000000001</v>
      </c>
      <c r="V387" t="s">
        <v>908</v>
      </c>
      <c r="W387">
        <v>27.25</v>
      </c>
      <c r="Y387" t="s">
        <v>912</v>
      </c>
      <c r="Z387">
        <v>2.13</v>
      </c>
      <c r="AC387" s="4" t="s">
        <v>462</v>
      </c>
      <c r="AD387" s="5">
        <v>45272235</v>
      </c>
      <c r="AE387" s="5">
        <v>28184517</v>
      </c>
      <c r="AF387" s="5">
        <v>7539730</v>
      </c>
      <c r="AI387" t="s">
        <v>912</v>
      </c>
      <c r="AJ387">
        <v>14.47</v>
      </c>
      <c r="AL387" t="s">
        <v>384</v>
      </c>
      <c r="AM387">
        <v>2.31</v>
      </c>
      <c r="AO387" t="s">
        <v>384</v>
      </c>
      <c r="AP387">
        <v>73.13</v>
      </c>
      <c r="AQ387">
        <v>76.78</v>
      </c>
      <c r="AS387" t="s">
        <v>384</v>
      </c>
      <c r="AT387">
        <v>11.38</v>
      </c>
      <c r="AU387">
        <v>10.71</v>
      </c>
      <c r="AW387" t="s">
        <v>384</v>
      </c>
      <c r="AX387">
        <v>60.69</v>
      </c>
    </row>
    <row r="388" spans="1:50" x14ac:dyDescent="0.35">
      <c r="A388" t="s">
        <v>385</v>
      </c>
      <c r="B388">
        <v>90.07</v>
      </c>
      <c r="D388" t="s">
        <v>909</v>
      </c>
      <c r="E388">
        <v>50.02</v>
      </c>
      <c r="G388" t="s">
        <v>385</v>
      </c>
      <c r="H388">
        <v>0.23699999999999999</v>
      </c>
      <c r="J388" t="s">
        <v>909</v>
      </c>
      <c r="K388">
        <v>4</v>
      </c>
      <c r="M388" t="s">
        <v>909</v>
      </c>
      <c r="N388">
        <v>58.37</v>
      </c>
      <c r="P388" t="s">
        <v>411</v>
      </c>
      <c r="Q388">
        <v>9.9499999999999993</v>
      </c>
      <c r="S388" t="s">
        <v>385</v>
      </c>
      <c r="T388">
        <v>0.14899999999999999</v>
      </c>
      <c r="V388" t="s">
        <v>909</v>
      </c>
      <c r="W388">
        <v>25.53</v>
      </c>
      <c r="Y388" t="s">
        <v>913</v>
      </c>
      <c r="Z388">
        <v>2.06</v>
      </c>
      <c r="AC388" s="4" t="s">
        <v>1131</v>
      </c>
      <c r="AD388" s="5">
        <v>7853643</v>
      </c>
      <c r="AE388" s="5">
        <v>12463802</v>
      </c>
      <c r="AF388" s="6" t="s">
        <v>548</v>
      </c>
      <c r="AI388" t="s">
        <v>913</v>
      </c>
      <c r="AJ388">
        <v>15.63</v>
      </c>
      <c r="AL388" t="s">
        <v>385</v>
      </c>
      <c r="AM388">
        <v>4.8099999999999996</v>
      </c>
      <c r="AO388" t="s">
        <v>385</v>
      </c>
      <c r="AP388">
        <v>72.930000000000007</v>
      </c>
      <c r="AQ388">
        <v>76.599999999999994</v>
      </c>
      <c r="AS388" t="s">
        <v>385</v>
      </c>
      <c r="AT388">
        <v>11.32</v>
      </c>
      <c r="AU388">
        <v>10.6</v>
      </c>
      <c r="AW388" t="s">
        <v>385</v>
      </c>
      <c r="AX388">
        <v>65.98</v>
      </c>
    </row>
    <row r="389" spans="1:50" x14ac:dyDescent="0.35">
      <c r="A389" t="s">
        <v>386</v>
      </c>
      <c r="B389">
        <v>87.89</v>
      </c>
      <c r="D389" t="s">
        <v>910</v>
      </c>
      <c r="E389">
        <v>61.54</v>
      </c>
      <c r="G389" t="s">
        <v>386</v>
      </c>
      <c r="H389">
        <v>0.314</v>
      </c>
      <c r="J389" t="s">
        <v>910</v>
      </c>
      <c r="K389">
        <v>15</v>
      </c>
      <c r="M389" t="s">
        <v>910</v>
      </c>
      <c r="N389">
        <v>50.45</v>
      </c>
      <c r="P389" t="s">
        <v>412</v>
      </c>
      <c r="Q389">
        <v>7.9</v>
      </c>
      <c r="S389" t="s">
        <v>386</v>
      </c>
      <c r="T389">
        <v>0.19900000000000001</v>
      </c>
      <c r="V389" t="s">
        <v>910</v>
      </c>
      <c r="W389">
        <v>24.22</v>
      </c>
      <c r="Y389" t="s">
        <v>915</v>
      </c>
      <c r="Z389">
        <v>2.15</v>
      </c>
      <c r="AC389" s="4" t="s">
        <v>293</v>
      </c>
      <c r="AD389" s="5">
        <v>15722469</v>
      </c>
      <c r="AE389" s="5">
        <v>6629963</v>
      </c>
      <c r="AF389" s="6" t="s">
        <v>548</v>
      </c>
      <c r="AI389" t="s">
        <v>915</v>
      </c>
      <c r="AJ389">
        <v>17.14</v>
      </c>
      <c r="AL389" t="s">
        <v>386</v>
      </c>
      <c r="AM389">
        <v>4.1100000000000003</v>
      </c>
      <c r="AO389" t="s">
        <v>386</v>
      </c>
      <c r="AP389">
        <v>72.92</v>
      </c>
      <c r="AQ389">
        <v>76.59</v>
      </c>
      <c r="AS389" t="s">
        <v>386</v>
      </c>
      <c r="AT389">
        <v>11.14</v>
      </c>
      <c r="AU389">
        <v>10.92</v>
      </c>
      <c r="AW389" t="s">
        <v>386</v>
      </c>
      <c r="AX389">
        <v>64.069999999999993</v>
      </c>
    </row>
    <row r="390" spans="1:50" x14ac:dyDescent="0.35">
      <c r="A390" t="s">
        <v>387</v>
      </c>
      <c r="B390">
        <v>88.46</v>
      </c>
      <c r="D390" t="s">
        <v>911</v>
      </c>
      <c r="E390">
        <v>82.42</v>
      </c>
      <c r="G390" t="s">
        <v>387</v>
      </c>
      <c r="H390">
        <v>0.45200000000000001</v>
      </c>
      <c r="J390" t="s">
        <v>911</v>
      </c>
      <c r="K390">
        <v>45</v>
      </c>
      <c r="M390" t="s">
        <v>911</v>
      </c>
      <c r="N390">
        <v>47.76</v>
      </c>
      <c r="P390" t="s">
        <v>413</v>
      </c>
      <c r="Q390">
        <v>7.36</v>
      </c>
      <c r="S390" t="s">
        <v>387</v>
      </c>
      <c r="T390">
        <v>0.28899999999999998</v>
      </c>
      <c r="V390" t="s">
        <v>911</v>
      </c>
      <c r="W390">
        <v>28.15</v>
      </c>
      <c r="Y390" t="s">
        <v>387</v>
      </c>
      <c r="Z390">
        <v>2.35</v>
      </c>
      <c r="AC390" s="4" t="s">
        <v>296</v>
      </c>
      <c r="AD390" s="5">
        <v>22226780</v>
      </c>
      <c r="AE390" s="5">
        <v>18661347</v>
      </c>
      <c r="AF390" s="5">
        <v>38081952</v>
      </c>
      <c r="AI390" t="s">
        <v>387</v>
      </c>
      <c r="AJ390">
        <v>19.43</v>
      </c>
      <c r="AL390" t="s">
        <v>387</v>
      </c>
      <c r="AM390">
        <v>6.45</v>
      </c>
      <c r="AO390" t="s">
        <v>387</v>
      </c>
      <c r="AP390">
        <v>70.72</v>
      </c>
      <c r="AQ390">
        <v>74.75</v>
      </c>
      <c r="AS390" t="s">
        <v>387</v>
      </c>
      <c r="AT390">
        <v>9.7799999999999994</v>
      </c>
      <c r="AU390">
        <v>9.17</v>
      </c>
      <c r="AW390" t="s">
        <v>387</v>
      </c>
      <c r="AX390">
        <v>41.95</v>
      </c>
    </row>
    <row r="391" spans="1:50" x14ac:dyDescent="0.35">
      <c r="A391" t="s">
        <v>388</v>
      </c>
      <c r="B391">
        <v>82.86</v>
      </c>
      <c r="D391" t="s">
        <v>912</v>
      </c>
      <c r="E391">
        <v>72</v>
      </c>
      <c r="G391" t="s">
        <v>388</v>
      </c>
      <c r="H391">
        <v>0.49099999999999999</v>
      </c>
      <c r="J391" t="s">
        <v>912</v>
      </c>
      <c r="K391">
        <v>22.73</v>
      </c>
      <c r="M391" t="s">
        <v>912</v>
      </c>
      <c r="N391">
        <v>47.64</v>
      </c>
      <c r="P391" t="s">
        <v>414</v>
      </c>
      <c r="Q391">
        <v>11.36</v>
      </c>
      <c r="S391" t="s">
        <v>388</v>
      </c>
      <c r="T391">
        <v>0.35899999999999999</v>
      </c>
      <c r="V391" t="s">
        <v>912</v>
      </c>
      <c r="W391">
        <v>27.13</v>
      </c>
      <c r="Y391" t="s">
        <v>906</v>
      </c>
      <c r="Z391">
        <v>2.3199999999999998</v>
      </c>
      <c r="AC391" s="4" t="s">
        <v>298</v>
      </c>
      <c r="AD391" s="5">
        <v>84955616</v>
      </c>
      <c r="AE391" s="5">
        <v>38798884</v>
      </c>
      <c r="AF391" s="5">
        <v>13508673</v>
      </c>
      <c r="AI391" t="s">
        <v>906</v>
      </c>
      <c r="AJ391">
        <v>20.71</v>
      </c>
      <c r="AL391" t="s">
        <v>388</v>
      </c>
      <c r="AM391">
        <v>6.54</v>
      </c>
      <c r="AO391" t="s">
        <v>388</v>
      </c>
      <c r="AP391">
        <v>71.3</v>
      </c>
      <c r="AQ391">
        <v>71.75</v>
      </c>
      <c r="AS391" t="s">
        <v>388</v>
      </c>
      <c r="AT391">
        <v>9.6300000000000008</v>
      </c>
      <c r="AU391">
        <v>8.9</v>
      </c>
      <c r="AW391" t="s">
        <v>388</v>
      </c>
      <c r="AX391">
        <v>43.08</v>
      </c>
    </row>
    <row r="392" spans="1:50" x14ac:dyDescent="0.35">
      <c r="A392" t="s">
        <v>389</v>
      </c>
      <c r="B392">
        <v>85.73</v>
      </c>
      <c r="D392" t="s">
        <v>913</v>
      </c>
      <c r="E392">
        <v>68.709999999999994</v>
      </c>
      <c r="G392" t="s">
        <v>389</v>
      </c>
      <c r="H392">
        <v>0.38800000000000001</v>
      </c>
      <c r="J392" t="s">
        <v>913</v>
      </c>
      <c r="K392">
        <v>15.56</v>
      </c>
      <c r="M392" t="s">
        <v>913</v>
      </c>
      <c r="N392">
        <v>45.26</v>
      </c>
      <c r="P392" t="s">
        <v>415</v>
      </c>
      <c r="Q392">
        <v>13.66</v>
      </c>
      <c r="S392" t="s">
        <v>389</v>
      </c>
      <c r="T392">
        <v>0.33</v>
      </c>
      <c r="V392" t="s">
        <v>913</v>
      </c>
      <c r="W392">
        <v>30.93</v>
      </c>
      <c r="Y392" t="s">
        <v>907</v>
      </c>
      <c r="Z392">
        <v>2.36</v>
      </c>
      <c r="AC392" s="4" t="s">
        <v>294</v>
      </c>
      <c r="AD392" s="5">
        <v>10612507</v>
      </c>
      <c r="AE392" s="5">
        <v>13639958</v>
      </c>
      <c r="AF392" s="5">
        <v>8069204</v>
      </c>
      <c r="AI392" t="s">
        <v>907</v>
      </c>
      <c r="AJ392">
        <v>18.13</v>
      </c>
      <c r="AL392" t="s">
        <v>389</v>
      </c>
      <c r="AM392">
        <v>8.99</v>
      </c>
      <c r="AO392" t="s">
        <v>389</v>
      </c>
      <c r="AP392">
        <v>71.72</v>
      </c>
      <c r="AQ392">
        <v>73.739999999999995</v>
      </c>
      <c r="AS392" t="s">
        <v>389</v>
      </c>
      <c r="AT392">
        <v>9.7799999999999994</v>
      </c>
      <c r="AU392">
        <v>8.83</v>
      </c>
      <c r="AW392" t="s">
        <v>389</v>
      </c>
      <c r="AX392">
        <v>41.29</v>
      </c>
    </row>
    <row r="393" spans="1:50" x14ac:dyDescent="0.35">
      <c r="A393" t="s">
        <v>390</v>
      </c>
      <c r="B393">
        <v>78.989999999999995</v>
      </c>
      <c r="D393" t="s">
        <v>914</v>
      </c>
      <c r="E393">
        <v>58.61</v>
      </c>
      <c r="G393" t="s">
        <v>390</v>
      </c>
      <c r="H393">
        <v>0.48</v>
      </c>
      <c r="J393" t="s">
        <v>914</v>
      </c>
      <c r="K393">
        <v>10</v>
      </c>
      <c r="M393" t="s">
        <v>914</v>
      </c>
      <c r="N393">
        <v>45.92</v>
      </c>
      <c r="P393" t="s">
        <v>416</v>
      </c>
      <c r="Q393">
        <v>8.48</v>
      </c>
      <c r="S393" t="s">
        <v>390</v>
      </c>
      <c r="T393">
        <v>0.29699999999999999</v>
      </c>
      <c r="V393" t="s">
        <v>914</v>
      </c>
      <c r="W393">
        <v>25.89</v>
      </c>
      <c r="Y393" t="s">
        <v>910</v>
      </c>
      <c r="Z393">
        <v>2.99</v>
      </c>
      <c r="AC393" s="4" t="s">
        <v>291</v>
      </c>
      <c r="AD393" s="5">
        <v>14766338</v>
      </c>
      <c r="AE393" s="5">
        <v>9680995</v>
      </c>
      <c r="AF393" s="5">
        <v>36778597</v>
      </c>
      <c r="AI393" t="s">
        <v>910</v>
      </c>
      <c r="AJ393">
        <v>19.84</v>
      </c>
      <c r="AL393" t="s">
        <v>390</v>
      </c>
      <c r="AM393">
        <v>4.62</v>
      </c>
      <c r="AO393" t="s">
        <v>390</v>
      </c>
      <c r="AP393">
        <v>70.77</v>
      </c>
      <c r="AQ393">
        <v>71.7</v>
      </c>
      <c r="AS393" t="s">
        <v>390</v>
      </c>
      <c r="AT393">
        <v>9.6300000000000008</v>
      </c>
      <c r="AU393">
        <v>8.51</v>
      </c>
      <c r="AW393" t="s">
        <v>390</v>
      </c>
      <c r="AX393">
        <v>38.64</v>
      </c>
    </row>
    <row r="394" spans="1:50" x14ac:dyDescent="0.35">
      <c r="A394" t="s">
        <v>391</v>
      </c>
      <c r="B394">
        <v>83.97</v>
      </c>
      <c r="D394" t="s">
        <v>915</v>
      </c>
      <c r="E394">
        <v>47.2</v>
      </c>
      <c r="G394" t="s">
        <v>391</v>
      </c>
      <c r="H394">
        <v>0.37</v>
      </c>
      <c r="J394" t="s">
        <v>915</v>
      </c>
      <c r="K394">
        <v>8</v>
      </c>
      <c r="M394" t="s">
        <v>915</v>
      </c>
      <c r="N394">
        <v>50.14</v>
      </c>
      <c r="P394" t="s">
        <v>417</v>
      </c>
      <c r="Q394">
        <v>9.92</v>
      </c>
      <c r="S394" t="s">
        <v>391</v>
      </c>
      <c r="T394">
        <v>0.33500000000000002</v>
      </c>
      <c r="V394" t="s">
        <v>915</v>
      </c>
      <c r="W394">
        <v>17.899999999999999</v>
      </c>
      <c r="Y394" t="s">
        <v>908</v>
      </c>
      <c r="Z394">
        <v>2.38</v>
      </c>
      <c r="AC394" s="4" t="s">
        <v>297</v>
      </c>
      <c r="AD394" s="5">
        <v>72309805</v>
      </c>
      <c r="AE394" s="5">
        <v>27686227</v>
      </c>
      <c r="AF394" s="5">
        <v>18140982</v>
      </c>
      <c r="AI394" t="s">
        <v>908</v>
      </c>
      <c r="AJ394">
        <v>21.43</v>
      </c>
      <c r="AL394" t="s">
        <v>391</v>
      </c>
      <c r="AM394">
        <v>5.53</v>
      </c>
      <c r="AO394" t="s">
        <v>391</v>
      </c>
      <c r="AP394">
        <v>70.650000000000006</v>
      </c>
      <c r="AQ394">
        <v>72.239999999999995</v>
      </c>
      <c r="AS394" t="s">
        <v>391</v>
      </c>
      <c r="AT394">
        <v>8.6199999999999992</v>
      </c>
      <c r="AU394">
        <v>8.1999999999999993</v>
      </c>
      <c r="AW394" t="s">
        <v>391</v>
      </c>
      <c r="AX394">
        <v>32.869999999999997</v>
      </c>
    </row>
    <row r="395" spans="1:50" x14ac:dyDescent="0.35">
      <c r="A395" t="s">
        <v>392</v>
      </c>
      <c r="B395">
        <v>92.73</v>
      </c>
      <c r="D395" t="s">
        <v>387</v>
      </c>
      <c r="E395">
        <v>58.86</v>
      </c>
      <c r="G395" t="s">
        <v>392</v>
      </c>
      <c r="H395">
        <v>0.36699999999999999</v>
      </c>
      <c r="J395" t="s">
        <v>387</v>
      </c>
      <c r="K395">
        <v>8.57</v>
      </c>
      <c r="M395" t="s">
        <v>387</v>
      </c>
      <c r="N395">
        <v>46.97</v>
      </c>
      <c r="P395" t="s">
        <v>418</v>
      </c>
      <c r="Q395">
        <v>10.78</v>
      </c>
      <c r="S395" t="s">
        <v>392</v>
      </c>
      <c r="T395">
        <v>0.20899999999999999</v>
      </c>
      <c r="V395" t="s">
        <v>387</v>
      </c>
      <c r="W395">
        <v>26.88</v>
      </c>
      <c r="Y395" t="s">
        <v>914</v>
      </c>
      <c r="Z395">
        <v>2.29</v>
      </c>
      <c r="AC395" s="4" t="s">
        <v>295</v>
      </c>
      <c r="AD395" s="5">
        <v>17521517</v>
      </c>
      <c r="AE395" s="5">
        <v>20060656</v>
      </c>
      <c r="AF395" s="5">
        <v>11935479</v>
      </c>
      <c r="AI395" t="s">
        <v>914</v>
      </c>
      <c r="AJ395">
        <v>16.16</v>
      </c>
      <c r="AL395" t="s">
        <v>392</v>
      </c>
      <c r="AM395">
        <v>6.1</v>
      </c>
      <c r="AO395" t="s">
        <v>392</v>
      </c>
      <c r="AP395">
        <v>73.510000000000005</v>
      </c>
      <c r="AQ395">
        <v>74.63</v>
      </c>
      <c r="AS395" t="s">
        <v>392</v>
      </c>
      <c r="AT395">
        <v>10.65</v>
      </c>
      <c r="AU395">
        <v>10.29</v>
      </c>
      <c r="AW395" t="s">
        <v>392</v>
      </c>
      <c r="AX395">
        <v>49.47</v>
      </c>
    </row>
    <row r="396" spans="1:50" x14ac:dyDescent="0.35">
      <c r="A396" t="s">
        <v>393</v>
      </c>
      <c r="B396">
        <v>95.06</v>
      </c>
      <c r="D396" t="s">
        <v>906</v>
      </c>
      <c r="E396">
        <v>72.55</v>
      </c>
      <c r="G396" t="s">
        <v>393</v>
      </c>
      <c r="H396">
        <v>0.42199999999999999</v>
      </c>
      <c r="J396" t="s">
        <v>906</v>
      </c>
      <c r="K396">
        <v>20</v>
      </c>
      <c r="M396" t="s">
        <v>906</v>
      </c>
      <c r="N396">
        <v>45.63</v>
      </c>
      <c r="P396" t="s">
        <v>419</v>
      </c>
      <c r="Q396">
        <v>14.11</v>
      </c>
      <c r="S396" t="s">
        <v>393</v>
      </c>
      <c r="T396">
        <v>0.30399999999999999</v>
      </c>
      <c r="V396" t="s">
        <v>906</v>
      </c>
      <c r="W396">
        <v>28.98</v>
      </c>
      <c r="Y396" t="s">
        <v>393</v>
      </c>
      <c r="Z396">
        <v>2.1</v>
      </c>
      <c r="AC396" s="4" t="s">
        <v>292</v>
      </c>
      <c r="AD396" s="5">
        <v>25267344</v>
      </c>
      <c r="AE396" s="5">
        <v>15638231</v>
      </c>
      <c r="AF396" s="5">
        <v>16558679</v>
      </c>
      <c r="AI396" t="s">
        <v>393</v>
      </c>
      <c r="AJ396">
        <v>20.399999999999999</v>
      </c>
      <c r="AL396" t="s">
        <v>393</v>
      </c>
      <c r="AM396">
        <v>7.38</v>
      </c>
      <c r="AO396" t="s">
        <v>393</v>
      </c>
      <c r="AP396">
        <v>70.44</v>
      </c>
      <c r="AQ396">
        <v>74.459999999999994</v>
      </c>
      <c r="AS396" t="s">
        <v>393</v>
      </c>
      <c r="AT396">
        <v>9.6999999999999993</v>
      </c>
      <c r="AU396">
        <v>9.85</v>
      </c>
      <c r="AW396" t="s">
        <v>393</v>
      </c>
      <c r="AX396">
        <v>48.69</v>
      </c>
    </row>
    <row r="397" spans="1:50" x14ac:dyDescent="0.35">
      <c r="A397" t="s">
        <v>394</v>
      </c>
      <c r="B397">
        <v>88.55</v>
      </c>
      <c r="D397" t="s">
        <v>916</v>
      </c>
      <c r="E397">
        <v>65.55</v>
      </c>
      <c r="G397" t="s">
        <v>394</v>
      </c>
      <c r="H397">
        <v>0.52800000000000002</v>
      </c>
      <c r="J397" t="s">
        <v>916</v>
      </c>
      <c r="K397">
        <v>20</v>
      </c>
      <c r="M397" t="s">
        <v>916</v>
      </c>
      <c r="N397">
        <v>46.16</v>
      </c>
      <c r="P397" t="s">
        <v>420</v>
      </c>
      <c r="Q397">
        <v>13.42</v>
      </c>
      <c r="S397" t="s">
        <v>394</v>
      </c>
      <c r="T397">
        <v>0.40300000000000002</v>
      </c>
      <c r="V397" t="s">
        <v>916</v>
      </c>
      <c r="W397">
        <v>22.1</v>
      </c>
      <c r="Y397" t="s">
        <v>917</v>
      </c>
      <c r="Z397">
        <v>2.17</v>
      </c>
      <c r="AC397" s="4" t="s">
        <v>299</v>
      </c>
      <c r="AD397" s="5">
        <v>30731021</v>
      </c>
      <c r="AE397" s="5">
        <v>12343312</v>
      </c>
      <c r="AF397" s="5">
        <v>5248930</v>
      </c>
      <c r="AI397" t="s">
        <v>917</v>
      </c>
      <c r="AJ397">
        <v>28.86</v>
      </c>
      <c r="AL397" t="s">
        <v>394</v>
      </c>
      <c r="AM397">
        <v>7.37</v>
      </c>
      <c r="AO397" t="s">
        <v>394</v>
      </c>
      <c r="AP397">
        <v>68.150000000000006</v>
      </c>
      <c r="AQ397">
        <v>72.09</v>
      </c>
      <c r="AS397" t="s">
        <v>394</v>
      </c>
      <c r="AT397">
        <v>8.2899999999999991</v>
      </c>
      <c r="AU397">
        <v>8.44</v>
      </c>
      <c r="AW397" t="s">
        <v>394</v>
      </c>
      <c r="AX397">
        <v>30.48</v>
      </c>
    </row>
    <row r="398" spans="1:50" x14ac:dyDescent="0.35">
      <c r="A398" t="s">
        <v>395</v>
      </c>
      <c r="B398">
        <v>96.47</v>
      </c>
      <c r="D398" t="s">
        <v>910</v>
      </c>
      <c r="E398">
        <v>61.54</v>
      </c>
      <c r="G398" t="s">
        <v>395</v>
      </c>
      <c r="H398">
        <v>0.35899999999999999</v>
      </c>
      <c r="J398" t="s">
        <v>910</v>
      </c>
      <c r="K398">
        <v>15</v>
      </c>
      <c r="M398" t="s">
        <v>910</v>
      </c>
      <c r="N398">
        <v>50.45</v>
      </c>
      <c r="P398" t="s">
        <v>421</v>
      </c>
      <c r="Q398">
        <v>7.1</v>
      </c>
      <c r="S398" t="s">
        <v>395</v>
      </c>
      <c r="T398">
        <v>0.27</v>
      </c>
      <c r="V398" t="s">
        <v>910</v>
      </c>
      <c r="W398">
        <v>24.22</v>
      </c>
      <c r="Y398" t="s">
        <v>918</v>
      </c>
      <c r="Z398">
        <v>1.98</v>
      </c>
      <c r="AC398" s="4" t="s">
        <v>1132</v>
      </c>
      <c r="AD398" s="5">
        <v>116938449</v>
      </c>
      <c r="AE398" s="5">
        <v>45260025</v>
      </c>
      <c r="AF398" s="5">
        <v>11897823</v>
      </c>
      <c r="AI398" t="s">
        <v>918</v>
      </c>
      <c r="AJ398">
        <v>15.22</v>
      </c>
      <c r="AL398" t="s">
        <v>395</v>
      </c>
      <c r="AM398">
        <v>6.87</v>
      </c>
      <c r="AO398" t="s">
        <v>395</v>
      </c>
      <c r="AP398">
        <v>69.87</v>
      </c>
      <c r="AQ398">
        <v>73.86</v>
      </c>
      <c r="AS398" t="s">
        <v>395</v>
      </c>
      <c r="AT398">
        <v>10.050000000000001</v>
      </c>
      <c r="AU398">
        <v>10.15</v>
      </c>
      <c r="AW398" t="s">
        <v>395</v>
      </c>
      <c r="AX398">
        <v>54.97</v>
      </c>
    </row>
    <row r="399" spans="1:50" x14ac:dyDescent="0.35">
      <c r="A399" t="s">
        <v>396</v>
      </c>
      <c r="B399">
        <v>95.53</v>
      </c>
      <c r="D399" t="s">
        <v>908</v>
      </c>
      <c r="E399">
        <v>78.680000000000007</v>
      </c>
      <c r="G399" t="s">
        <v>396</v>
      </c>
      <c r="H399">
        <v>0.47699999999999998</v>
      </c>
      <c r="J399" t="s">
        <v>908</v>
      </c>
      <c r="K399">
        <v>32</v>
      </c>
      <c r="M399" t="s">
        <v>908</v>
      </c>
      <c r="N399">
        <v>49.12</v>
      </c>
      <c r="P399" t="s">
        <v>422</v>
      </c>
      <c r="Q399">
        <v>6</v>
      </c>
      <c r="S399" t="s">
        <v>396</v>
      </c>
      <c r="T399">
        <v>0.218</v>
      </c>
      <c r="V399" t="s">
        <v>908</v>
      </c>
      <c r="W399">
        <v>27.25</v>
      </c>
      <c r="Y399" t="s">
        <v>919</v>
      </c>
      <c r="Z399">
        <v>2.08</v>
      </c>
      <c r="AC399" s="4" t="s">
        <v>306</v>
      </c>
      <c r="AD399" s="5">
        <v>86472780</v>
      </c>
      <c r="AE399" s="5">
        <v>72319906</v>
      </c>
      <c r="AF399" s="5">
        <v>13213335</v>
      </c>
      <c r="AI399" t="s">
        <v>919</v>
      </c>
      <c r="AJ399">
        <v>17.36</v>
      </c>
      <c r="AL399" t="s">
        <v>396</v>
      </c>
      <c r="AM399">
        <v>11.01</v>
      </c>
      <c r="AO399" t="s">
        <v>396</v>
      </c>
      <c r="AP399">
        <v>68.849999999999994</v>
      </c>
      <c r="AQ399">
        <v>72.8</v>
      </c>
      <c r="AS399" t="s">
        <v>396</v>
      </c>
      <c r="AT399">
        <v>8.43</v>
      </c>
      <c r="AU399">
        <v>8.81</v>
      </c>
      <c r="AW399" t="s">
        <v>396</v>
      </c>
      <c r="AX399">
        <v>41.2</v>
      </c>
    </row>
    <row r="400" spans="1:50" x14ac:dyDescent="0.35">
      <c r="A400" t="s">
        <v>397</v>
      </c>
      <c r="B400">
        <v>98.05</v>
      </c>
      <c r="D400" t="s">
        <v>914</v>
      </c>
      <c r="E400">
        <v>58.61</v>
      </c>
      <c r="G400" t="s">
        <v>397</v>
      </c>
      <c r="H400">
        <v>0.49399999999999999</v>
      </c>
      <c r="J400" t="s">
        <v>914</v>
      </c>
      <c r="K400">
        <v>10</v>
      </c>
      <c r="M400" t="s">
        <v>914</v>
      </c>
      <c r="N400">
        <v>45.92</v>
      </c>
      <c r="P400" t="s">
        <v>424</v>
      </c>
      <c r="Q400">
        <v>8.14</v>
      </c>
      <c r="S400" t="s">
        <v>397</v>
      </c>
      <c r="T400">
        <v>0.27700000000000002</v>
      </c>
      <c r="V400" t="s">
        <v>914</v>
      </c>
      <c r="W400">
        <v>25.89</v>
      </c>
      <c r="Y400" t="s">
        <v>920</v>
      </c>
      <c r="Z400">
        <v>2.1800000000000002</v>
      </c>
      <c r="AC400" s="4" t="s">
        <v>305</v>
      </c>
      <c r="AD400" s="5">
        <v>58233009</v>
      </c>
      <c r="AE400" s="5">
        <v>43057391</v>
      </c>
      <c r="AF400" s="5">
        <v>10308021</v>
      </c>
      <c r="AI400" t="s">
        <v>920</v>
      </c>
      <c r="AJ400">
        <v>23.05</v>
      </c>
      <c r="AL400" t="s">
        <v>397</v>
      </c>
      <c r="AM400">
        <v>8.4600000000000009</v>
      </c>
      <c r="AO400" t="s">
        <v>397</v>
      </c>
      <c r="AP400">
        <v>68.98</v>
      </c>
      <c r="AQ400">
        <v>72.930000000000007</v>
      </c>
      <c r="AS400" t="s">
        <v>397</v>
      </c>
      <c r="AT400">
        <v>10.06</v>
      </c>
      <c r="AU400">
        <v>9.85</v>
      </c>
      <c r="AW400" t="s">
        <v>397</v>
      </c>
      <c r="AX400">
        <v>45.9</v>
      </c>
    </row>
    <row r="401" spans="1:50" x14ac:dyDescent="0.35">
      <c r="A401" t="s">
        <v>398</v>
      </c>
      <c r="B401">
        <v>89.26</v>
      </c>
      <c r="D401" t="s">
        <v>393</v>
      </c>
      <c r="E401">
        <v>80.56</v>
      </c>
      <c r="G401" t="s">
        <v>398</v>
      </c>
      <c r="H401">
        <v>0.44500000000000001</v>
      </c>
      <c r="J401" t="s">
        <v>393</v>
      </c>
      <c r="K401">
        <v>32.56</v>
      </c>
      <c r="M401" t="s">
        <v>393</v>
      </c>
      <c r="N401">
        <v>52.3</v>
      </c>
      <c r="P401" t="s">
        <v>425</v>
      </c>
      <c r="Q401">
        <v>10.71</v>
      </c>
      <c r="S401" t="s">
        <v>398</v>
      </c>
      <c r="T401">
        <v>0.30099999999999999</v>
      </c>
      <c r="V401" t="s">
        <v>393</v>
      </c>
      <c r="W401">
        <v>31.72</v>
      </c>
      <c r="Y401" t="s">
        <v>921</v>
      </c>
      <c r="Z401">
        <v>2.08</v>
      </c>
      <c r="AC401" s="4" t="s">
        <v>301</v>
      </c>
      <c r="AD401" s="5">
        <v>76330268</v>
      </c>
      <c r="AE401" s="5">
        <v>70587317</v>
      </c>
      <c r="AF401" s="5">
        <v>4291084</v>
      </c>
      <c r="AI401" t="s">
        <v>921</v>
      </c>
      <c r="AJ401">
        <v>20.41</v>
      </c>
      <c r="AL401" t="s">
        <v>398</v>
      </c>
      <c r="AM401">
        <v>8.89</v>
      </c>
      <c r="AO401" t="s">
        <v>398</v>
      </c>
      <c r="AP401">
        <v>68.790000000000006</v>
      </c>
      <c r="AQ401">
        <v>72.73</v>
      </c>
      <c r="AS401" t="s">
        <v>398</v>
      </c>
      <c r="AT401">
        <v>9.4</v>
      </c>
      <c r="AU401">
        <v>9.4700000000000006</v>
      </c>
      <c r="AW401" t="s">
        <v>398</v>
      </c>
      <c r="AX401">
        <v>44.72</v>
      </c>
    </row>
    <row r="402" spans="1:50" x14ac:dyDescent="0.35">
      <c r="A402" t="s">
        <v>399</v>
      </c>
      <c r="B402">
        <v>96.53</v>
      </c>
      <c r="D402" t="s">
        <v>917</v>
      </c>
      <c r="E402">
        <v>76.790000000000006</v>
      </c>
      <c r="G402" t="s">
        <v>399</v>
      </c>
      <c r="H402">
        <v>0.48499999999999999</v>
      </c>
      <c r="J402" t="s">
        <v>917</v>
      </c>
      <c r="K402">
        <v>34.479999999999997</v>
      </c>
      <c r="M402" t="s">
        <v>917</v>
      </c>
      <c r="N402">
        <v>60.18</v>
      </c>
      <c r="P402" t="s">
        <v>426</v>
      </c>
      <c r="Q402">
        <v>8.9700000000000006</v>
      </c>
      <c r="S402" t="s">
        <v>399</v>
      </c>
      <c r="T402">
        <v>0.29099999999999998</v>
      </c>
      <c r="V402" t="s">
        <v>917</v>
      </c>
      <c r="W402">
        <v>27.92</v>
      </c>
      <c r="Y402" t="s">
        <v>922</v>
      </c>
      <c r="Z402">
        <v>2.0299999999999998</v>
      </c>
      <c r="AC402" s="4" t="s">
        <v>302</v>
      </c>
      <c r="AD402" s="5">
        <v>108198288</v>
      </c>
      <c r="AE402" s="5">
        <v>94850184</v>
      </c>
      <c r="AF402" s="5">
        <v>5521002</v>
      </c>
      <c r="AI402" t="s">
        <v>922</v>
      </c>
      <c r="AJ402">
        <v>16.77</v>
      </c>
      <c r="AL402" t="s">
        <v>399</v>
      </c>
      <c r="AM402">
        <v>6.65</v>
      </c>
      <c r="AO402" t="s">
        <v>399</v>
      </c>
      <c r="AP402">
        <v>70.040000000000006</v>
      </c>
      <c r="AQ402">
        <v>74.040000000000006</v>
      </c>
      <c r="AS402" t="s">
        <v>399</v>
      </c>
      <c r="AT402">
        <v>10.37</v>
      </c>
      <c r="AU402">
        <v>10.23</v>
      </c>
      <c r="AW402" t="s">
        <v>399</v>
      </c>
      <c r="AX402">
        <v>56.18</v>
      </c>
    </row>
    <row r="403" spans="1:50" x14ac:dyDescent="0.35">
      <c r="A403" t="s">
        <v>400</v>
      </c>
      <c r="B403">
        <v>87.53</v>
      </c>
      <c r="D403" t="s">
        <v>918</v>
      </c>
      <c r="E403">
        <v>87.8</v>
      </c>
      <c r="G403" t="s">
        <v>400</v>
      </c>
      <c r="H403">
        <v>0.39500000000000002</v>
      </c>
      <c r="J403" t="s">
        <v>918</v>
      </c>
      <c r="K403">
        <v>48.57</v>
      </c>
      <c r="M403" t="s">
        <v>918</v>
      </c>
      <c r="N403">
        <v>54.71</v>
      </c>
      <c r="P403" t="s">
        <v>427</v>
      </c>
      <c r="Q403">
        <v>11.41</v>
      </c>
      <c r="S403" t="s">
        <v>400</v>
      </c>
      <c r="T403">
        <v>0.37</v>
      </c>
      <c r="V403" t="s">
        <v>918</v>
      </c>
      <c r="W403">
        <v>39.92</v>
      </c>
      <c r="Y403" t="s">
        <v>923</v>
      </c>
      <c r="Z403">
        <v>2.2000000000000002</v>
      </c>
      <c r="AC403" s="4" t="s">
        <v>303</v>
      </c>
      <c r="AD403" s="5">
        <v>127263150</v>
      </c>
      <c r="AE403" s="5">
        <v>108512873</v>
      </c>
      <c r="AF403" s="5">
        <v>6176191</v>
      </c>
      <c r="AI403" t="s">
        <v>923</v>
      </c>
      <c r="AJ403">
        <v>22.49</v>
      </c>
      <c r="AL403" t="s">
        <v>400</v>
      </c>
      <c r="AM403">
        <v>7.9</v>
      </c>
      <c r="AO403" t="s">
        <v>400</v>
      </c>
      <c r="AP403">
        <v>66.39</v>
      </c>
      <c r="AQ403">
        <v>70.37</v>
      </c>
      <c r="AS403" t="s">
        <v>400</v>
      </c>
      <c r="AT403">
        <v>8.2899999999999991</v>
      </c>
      <c r="AU403">
        <v>8.68</v>
      </c>
      <c r="AW403" t="s">
        <v>400</v>
      </c>
      <c r="AX403">
        <v>32.28</v>
      </c>
    </row>
    <row r="404" spans="1:50" x14ac:dyDescent="0.35">
      <c r="A404" t="s">
        <v>401</v>
      </c>
      <c r="B404">
        <v>89.04</v>
      </c>
      <c r="D404" t="s">
        <v>919</v>
      </c>
      <c r="E404">
        <v>62.99</v>
      </c>
      <c r="G404" t="s">
        <v>401</v>
      </c>
      <c r="H404">
        <v>0.40300000000000002</v>
      </c>
      <c r="J404" t="s">
        <v>919</v>
      </c>
      <c r="K404">
        <v>12</v>
      </c>
      <c r="M404" t="s">
        <v>919</v>
      </c>
      <c r="N404">
        <v>53.53</v>
      </c>
      <c r="P404" t="s">
        <v>428</v>
      </c>
      <c r="Q404">
        <v>9.7100000000000009</v>
      </c>
      <c r="S404" t="s">
        <v>401</v>
      </c>
      <c r="T404">
        <v>0.17799999999999999</v>
      </c>
      <c r="V404" t="s">
        <v>919</v>
      </c>
      <c r="W404">
        <v>29.48</v>
      </c>
      <c r="Y404" t="s">
        <v>924</v>
      </c>
      <c r="Z404">
        <v>2.1</v>
      </c>
      <c r="AC404" s="4" t="s">
        <v>304</v>
      </c>
      <c r="AD404" s="5">
        <v>68460292</v>
      </c>
      <c r="AE404" s="5">
        <v>51825580</v>
      </c>
      <c r="AF404" s="5">
        <v>14826551</v>
      </c>
      <c r="AI404" t="s">
        <v>924</v>
      </c>
      <c r="AJ404">
        <v>19.309999999999999</v>
      </c>
      <c r="AL404" t="s">
        <v>401</v>
      </c>
      <c r="AM404">
        <v>8.76</v>
      </c>
      <c r="AO404" t="s">
        <v>401</v>
      </c>
      <c r="AP404">
        <v>69.650000000000006</v>
      </c>
      <c r="AQ404">
        <v>73.63</v>
      </c>
      <c r="AS404" t="s">
        <v>401</v>
      </c>
      <c r="AT404">
        <v>9.2200000000000006</v>
      </c>
      <c r="AU404">
        <v>9.4</v>
      </c>
      <c r="AW404" t="s">
        <v>401</v>
      </c>
      <c r="AX404">
        <v>42.4</v>
      </c>
    </row>
    <row r="405" spans="1:50" x14ac:dyDescent="0.35">
      <c r="A405" t="s">
        <v>402</v>
      </c>
      <c r="B405">
        <v>92.43</v>
      </c>
      <c r="D405" t="s">
        <v>920</v>
      </c>
      <c r="E405">
        <v>68.209999999999994</v>
      </c>
      <c r="G405" t="s">
        <v>402</v>
      </c>
      <c r="H405">
        <v>0.20699999999999999</v>
      </c>
      <c r="J405" t="s">
        <v>920</v>
      </c>
      <c r="K405">
        <v>20</v>
      </c>
      <c r="M405" t="s">
        <v>920</v>
      </c>
      <c r="N405">
        <v>55.94</v>
      </c>
      <c r="P405" t="s">
        <v>429</v>
      </c>
      <c r="Q405">
        <v>8.42</v>
      </c>
      <c r="S405" t="s">
        <v>402</v>
      </c>
      <c r="T405">
        <v>0.36299999999999999</v>
      </c>
      <c r="V405" t="s">
        <v>920</v>
      </c>
      <c r="W405">
        <v>27.7</v>
      </c>
      <c r="Y405" t="s">
        <v>925</v>
      </c>
      <c r="Z405">
        <v>2.27</v>
      </c>
      <c r="AC405" s="4" t="s">
        <v>309</v>
      </c>
      <c r="AD405" s="5">
        <v>30823813</v>
      </c>
      <c r="AE405" s="5">
        <v>26240013</v>
      </c>
      <c r="AF405" s="5">
        <v>1681432</v>
      </c>
      <c r="AI405" t="s">
        <v>925</v>
      </c>
      <c r="AJ405">
        <v>23.94</v>
      </c>
      <c r="AL405" t="s">
        <v>402</v>
      </c>
      <c r="AM405">
        <v>11.84</v>
      </c>
      <c r="AO405" t="s">
        <v>402</v>
      </c>
      <c r="AP405">
        <v>68.94</v>
      </c>
      <c r="AQ405">
        <v>72.88</v>
      </c>
      <c r="AS405" t="s">
        <v>402</v>
      </c>
      <c r="AT405">
        <v>8.9</v>
      </c>
      <c r="AU405">
        <v>9.2799999999999994</v>
      </c>
      <c r="AW405" t="s">
        <v>402</v>
      </c>
      <c r="AX405">
        <v>35.96</v>
      </c>
    </row>
    <row r="406" spans="1:50" x14ac:dyDescent="0.35">
      <c r="A406" t="s">
        <v>403</v>
      </c>
      <c r="B406">
        <v>80.97</v>
      </c>
      <c r="D406" t="s">
        <v>921</v>
      </c>
      <c r="E406">
        <v>73.84</v>
      </c>
      <c r="G406" t="s">
        <v>403</v>
      </c>
      <c r="H406">
        <v>0.51200000000000001</v>
      </c>
      <c r="J406" t="s">
        <v>921</v>
      </c>
      <c r="K406">
        <v>27.59</v>
      </c>
      <c r="M406" t="s">
        <v>921</v>
      </c>
      <c r="N406">
        <v>65.89</v>
      </c>
      <c r="P406" t="s">
        <v>430</v>
      </c>
      <c r="Q406">
        <v>8.58</v>
      </c>
      <c r="S406" t="s">
        <v>403</v>
      </c>
      <c r="T406">
        <v>0.38800000000000001</v>
      </c>
      <c r="V406" t="s">
        <v>921</v>
      </c>
      <c r="W406">
        <v>31.81</v>
      </c>
      <c r="Y406" t="s">
        <v>926</v>
      </c>
      <c r="Z406">
        <v>2.3199999999999998</v>
      </c>
      <c r="AC406" s="4" t="s">
        <v>310</v>
      </c>
      <c r="AD406" s="5">
        <v>19710880</v>
      </c>
      <c r="AE406" s="5">
        <v>17519713</v>
      </c>
      <c r="AF406" s="5">
        <v>2228421</v>
      </c>
      <c r="AI406" t="s">
        <v>926</v>
      </c>
      <c r="AJ406">
        <v>33.03</v>
      </c>
      <c r="AL406" t="s">
        <v>403</v>
      </c>
      <c r="AM406">
        <v>12.04</v>
      </c>
      <c r="AO406" t="s">
        <v>403</v>
      </c>
      <c r="AP406">
        <v>63.07</v>
      </c>
      <c r="AQ406">
        <v>66.92</v>
      </c>
      <c r="AS406" t="s">
        <v>403</v>
      </c>
      <c r="AT406">
        <v>8.2799999999999994</v>
      </c>
      <c r="AU406">
        <v>8.17</v>
      </c>
      <c r="AW406" t="s">
        <v>403</v>
      </c>
      <c r="AX406">
        <v>30.62</v>
      </c>
    </row>
    <row r="407" spans="1:50" x14ac:dyDescent="0.35">
      <c r="A407" t="s">
        <v>404</v>
      </c>
      <c r="B407">
        <v>91.37</v>
      </c>
      <c r="D407" t="s">
        <v>922</v>
      </c>
      <c r="E407">
        <v>67.069999999999993</v>
      </c>
      <c r="G407" t="s">
        <v>404</v>
      </c>
      <c r="H407">
        <v>0.499</v>
      </c>
      <c r="J407" t="s">
        <v>922</v>
      </c>
      <c r="K407">
        <v>13.33</v>
      </c>
      <c r="M407" t="s">
        <v>922</v>
      </c>
      <c r="N407">
        <v>49.46</v>
      </c>
      <c r="P407" t="s">
        <v>431</v>
      </c>
      <c r="Q407">
        <v>7.15</v>
      </c>
      <c r="S407" t="s">
        <v>404</v>
      </c>
      <c r="T407">
        <v>0.40699999999999997</v>
      </c>
      <c r="V407" t="s">
        <v>922</v>
      </c>
      <c r="W407">
        <v>33.020000000000003</v>
      </c>
      <c r="Y407" t="s">
        <v>927</v>
      </c>
      <c r="Z407">
        <v>2.1800000000000002</v>
      </c>
      <c r="AC407" s="4" t="s">
        <v>307</v>
      </c>
      <c r="AD407" s="5">
        <v>21537915</v>
      </c>
      <c r="AE407" s="5">
        <v>21854217</v>
      </c>
      <c r="AF407" s="5">
        <v>5210869</v>
      </c>
      <c r="AI407" t="s">
        <v>927</v>
      </c>
      <c r="AJ407">
        <v>23.08</v>
      </c>
      <c r="AL407" t="s">
        <v>404</v>
      </c>
      <c r="AM407">
        <v>5.8</v>
      </c>
      <c r="AO407" t="s">
        <v>404</v>
      </c>
      <c r="AP407">
        <v>66.569999999999993</v>
      </c>
      <c r="AQ407">
        <v>70.55</v>
      </c>
      <c r="AS407" t="s">
        <v>404</v>
      </c>
      <c r="AT407">
        <v>8.25</v>
      </c>
      <c r="AU407">
        <v>8.2799999999999994</v>
      </c>
      <c r="AW407" t="s">
        <v>404</v>
      </c>
      <c r="AX407">
        <v>28.6</v>
      </c>
    </row>
    <row r="408" spans="1:50" x14ac:dyDescent="0.35">
      <c r="A408" t="s">
        <v>405</v>
      </c>
      <c r="B408">
        <v>96.51</v>
      </c>
      <c r="D408" t="s">
        <v>923</v>
      </c>
      <c r="E408">
        <v>58.6</v>
      </c>
      <c r="G408" t="s">
        <v>405</v>
      </c>
      <c r="H408">
        <v>0.16700000000000001</v>
      </c>
      <c r="J408" t="s">
        <v>923</v>
      </c>
      <c r="K408">
        <v>10</v>
      </c>
      <c r="M408" t="s">
        <v>923</v>
      </c>
      <c r="N408">
        <v>62.1</v>
      </c>
      <c r="P408" t="s">
        <v>432</v>
      </c>
      <c r="Q408">
        <v>4.17</v>
      </c>
      <c r="S408" t="s">
        <v>405</v>
      </c>
      <c r="T408">
        <v>0.26600000000000001</v>
      </c>
      <c r="V408" t="s">
        <v>923</v>
      </c>
      <c r="W408">
        <v>28.42</v>
      </c>
      <c r="Y408" t="s">
        <v>928</v>
      </c>
      <c r="Z408">
        <v>2.0099999999999998</v>
      </c>
      <c r="AC408" s="4" t="s">
        <v>308</v>
      </c>
      <c r="AD408" s="5">
        <v>39199554</v>
      </c>
      <c r="AE408" s="5">
        <v>34557002</v>
      </c>
      <c r="AF408" s="5">
        <v>4133192</v>
      </c>
      <c r="AI408" t="s">
        <v>928</v>
      </c>
      <c r="AJ408">
        <v>14.09</v>
      </c>
      <c r="AL408" t="s">
        <v>405</v>
      </c>
      <c r="AM408">
        <v>5.79</v>
      </c>
      <c r="AO408" t="s">
        <v>405</v>
      </c>
      <c r="AP408">
        <v>70.540000000000006</v>
      </c>
      <c r="AQ408">
        <v>74.56</v>
      </c>
      <c r="AS408" t="s">
        <v>405</v>
      </c>
      <c r="AT408">
        <v>11.65</v>
      </c>
      <c r="AU408">
        <v>11.37</v>
      </c>
      <c r="AW408" t="s">
        <v>405</v>
      </c>
      <c r="AX408">
        <v>64.349999999999994</v>
      </c>
    </row>
    <row r="409" spans="1:50" x14ac:dyDescent="0.35">
      <c r="A409" t="s">
        <v>406</v>
      </c>
      <c r="B409">
        <v>94.71</v>
      </c>
      <c r="D409" t="s">
        <v>924</v>
      </c>
      <c r="E409">
        <v>78.239999999999995</v>
      </c>
      <c r="G409" t="s">
        <v>406</v>
      </c>
      <c r="H409">
        <v>0.45100000000000001</v>
      </c>
      <c r="J409" t="s">
        <v>924</v>
      </c>
      <c r="K409">
        <v>30</v>
      </c>
      <c r="M409" t="s">
        <v>924</v>
      </c>
      <c r="N409">
        <v>45.09</v>
      </c>
      <c r="P409" t="s">
        <v>433</v>
      </c>
      <c r="Q409">
        <v>8.1999999999999993</v>
      </c>
      <c r="S409" t="s">
        <v>406</v>
      </c>
      <c r="T409">
        <v>0.29199999999999998</v>
      </c>
      <c r="V409" t="s">
        <v>924</v>
      </c>
      <c r="W409">
        <v>34.89</v>
      </c>
      <c r="Y409" t="s">
        <v>929</v>
      </c>
      <c r="Z409">
        <v>2.14</v>
      </c>
      <c r="AC409" s="4" t="s">
        <v>1133</v>
      </c>
      <c r="AD409" s="5">
        <v>192629872</v>
      </c>
      <c r="AE409" s="5">
        <v>46260799</v>
      </c>
      <c r="AF409" s="5">
        <v>43446304</v>
      </c>
      <c r="AI409" t="s">
        <v>929</v>
      </c>
      <c r="AJ409">
        <v>17.91</v>
      </c>
      <c r="AL409" t="s">
        <v>406</v>
      </c>
      <c r="AM409">
        <v>6.56</v>
      </c>
      <c r="AO409" t="s">
        <v>406</v>
      </c>
      <c r="AP409">
        <v>69.73</v>
      </c>
      <c r="AQ409">
        <v>73.72</v>
      </c>
      <c r="AS409" t="s">
        <v>406</v>
      </c>
      <c r="AT409">
        <v>9.98</v>
      </c>
      <c r="AU409">
        <v>9.91</v>
      </c>
      <c r="AW409" t="s">
        <v>406</v>
      </c>
      <c r="AX409">
        <v>48.55</v>
      </c>
    </row>
    <row r="410" spans="1:50" x14ac:dyDescent="0.35">
      <c r="A410" t="s">
        <v>407</v>
      </c>
      <c r="B410">
        <v>99.32</v>
      </c>
      <c r="D410" t="s">
        <v>925</v>
      </c>
      <c r="E410">
        <v>80.63</v>
      </c>
      <c r="G410" t="s">
        <v>407</v>
      </c>
      <c r="H410">
        <v>0.155</v>
      </c>
      <c r="J410" t="s">
        <v>925</v>
      </c>
      <c r="K410">
        <v>28</v>
      </c>
      <c r="M410" t="s">
        <v>925</v>
      </c>
      <c r="N410">
        <v>53.75</v>
      </c>
      <c r="P410" t="s">
        <v>434</v>
      </c>
      <c r="Q410">
        <v>12.55</v>
      </c>
      <c r="S410" t="s">
        <v>407</v>
      </c>
      <c r="T410">
        <v>0.223</v>
      </c>
      <c r="V410" t="s">
        <v>925</v>
      </c>
      <c r="W410">
        <v>34.92</v>
      </c>
      <c r="Y410" t="s">
        <v>930</v>
      </c>
      <c r="Z410">
        <v>2.0499999999999998</v>
      </c>
      <c r="AC410" s="4" t="s">
        <v>318</v>
      </c>
      <c r="AD410" s="5">
        <v>66545266</v>
      </c>
      <c r="AE410" s="5">
        <v>43035581</v>
      </c>
      <c r="AF410" s="5">
        <v>19877005</v>
      </c>
      <c r="AI410" t="s">
        <v>930</v>
      </c>
      <c r="AJ410">
        <v>14.42</v>
      </c>
      <c r="AL410" t="s">
        <v>407</v>
      </c>
      <c r="AM410">
        <v>5.6</v>
      </c>
      <c r="AO410" t="s">
        <v>407</v>
      </c>
      <c r="AP410">
        <v>70.87</v>
      </c>
      <c r="AQ410">
        <v>74.900000000000006</v>
      </c>
      <c r="AS410" t="s">
        <v>407</v>
      </c>
      <c r="AT410">
        <v>10.73</v>
      </c>
      <c r="AU410">
        <v>11.2</v>
      </c>
      <c r="AW410" t="s">
        <v>407</v>
      </c>
      <c r="AX410">
        <v>65.349999999999994</v>
      </c>
    </row>
    <row r="411" spans="1:50" x14ac:dyDescent="0.35">
      <c r="A411" t="s">
        <v>408</v>
      </c>
      <c r="B411">
        <v>95.49</v>
      </c>
      <c r="D411" t="s">
        <v>926</v>
      </c>
      <c r="E411">
        <v>65.11</v>
      </c>
      <c r="G411" t="s">
        <v>408</v>
      </c>
      <c r="H411">
        <v>0.32900000000000001</v>
      </c>
      <c r="J411" t="s">
        <v>926</v>
      </c>
      <c r="K411">
        <v>20</v>
      </c>
      <c r="M411" t="s">
        <v>926</v>
      </c>
      <c r="N411">
        <v>66.260000000000005</v>
      </c>
      <c r="P411" t="s">
        <v>435</v>
      </c>
      <c r="Q411">
        <v>13.14</v>
      </c>
      <c r="S411" t="s">
        <v>408</v>
      </c>
      <c r="T411">
        <v>0.35299999999999998</v>
      </c>
      <c r="V411" t="s">
        <v>926</v>
      </c>
      <c r="W411">
        <v>28.39</v>
      </c>
      <c r="Y411" t="s">
        <v>931</v>
      </c>
      <c r="Z411">
        <v>2.12</v>
      </c>
      <c r="AC411" s="4" t="s">
        <v>317</v>
      </c>
      <c r="AD411" s="5">
        <v>56600270</v>
      </c>
      <c r="AE411" s="5">
        <v>37871031</v>
      </c>
      <c r="AF411" s="5">
        <v>6872117</v>
      </c>
      <c r="AI411" t="s">
        <v>931</v>
      </c>
      <c r="AJ411">
        <v>17.46</v>
      </c>
      <c r="AL411" t="s">
        <v>408</v>
      </c>
      <c r="AM411">
        <v>5.03</v>
      </c>
      <c r="AO411" t="s">
        <v>408</v>
      </c>
      <c r="AP411">
        <v>69.41</v>
      </c>
      <c r="AQ411">
        <v>73.37</v>
      </c>
      <c r="AS411" t="s">
        <v>408</v>
      </c>
      <c r="AT411">
        <v>10.35</v>
      </c>
      <c r="AU411">
        <v>10.220000000000001</v>
      </c>
      <c r="AW411" t="s">
        <v>408</v>
      </c>
      <c r="AX411">
        <v>46.41</v>
      </c>
    </row>
    <row r="412" spans="1:50" x14ac:dyDescent="0.35">
      <c r="A412" t="s">
        <v>409</v>
      </c>
      <c r="B412">
        <v>92.63</v>
      </c>
      <c r="D412" t="s">
        <v>927</v>
      </c>
      <c r="E412">
        <v>66.099999999999994</v>
      </c>
      <c r="G412" t="s">
        <v>409</v>
      </c>
      <c r="H412">
        <v>0.46899999999999997</v>
      </c>
      <c r="J412" t="s">
        <v>927</v>
      </c>
      <c r="K412">
        <v>20</v>
      </c>
      <c r="M412" t="s">
        <v>927</v>
      </c>
      <c r="N412">
        <v>54.58</v>
      </c>
      <c r="P412" t="s">
        <v>436</v>
      </c>
      <c r="Q412">
        <v>6.67</v>
      </c>
      <c r="S412" t="s">
        <v>409</v>
      </c>
      <c r="T412">
        <v>0.34699999999999998</v>
      </c>
      <c r="V412" t="s">
        <v>927</v>
      </c>
      <c r="W412">
        <v>23.89</v>
      </c>
      <c r="Y412" t="s">
        <v>409</v>
      </c>
      <c r="Z412">
        <v>2.3199999999999998</v>
      </c>
      <c r="AC412" s="4" t="s">
        <v>322</v>
      </c>
      <c r="AD412" s="5">
        <v>67538650</v>
      </c>
      <c r="AE412" s="5">
        <v>47488501</v>
      </c>
      <c r="AF412" s="5">
        <v>16335292</v>
      </c>
      <c r="AI412" t="s">
        <v>409</v>
      </c>
      <c r="AJ412">
        <v>33.44</v>
      </c>
      <c r="AL412" t="s">
        <v>409</v>
      </c>
      <c r="AM412">
        <v>12.41</v>
      </c>
      <c r="AO412" t="s">
        <v>409</v>
      </c>
      <c r="AP412">
        <v>67.239999999999995</v>
      </c>
      <c r="AQ412">
        <v>71.2</v>
      </c>
      <c r="AS412" t="s">
        <v>409</v>
      </c>
      <c r="AT412">
        <v>9.15</v>
      </c>
      <c r="AU412">
        <v>8.84</v>
      </c>
      <c r="AW412" t="s">
        <v>409</v>
      </c>
      <c r="AX412">
        <v>34.94</v>
      </c>
    </row>
    <row r="413" spans="1:50" x14ac:dyDescent="0.35">
      <c r="A413" t="s">
        <v>410</v>
      </c>
      <c r="B413">
        <v>92.32</v>
      </c>
      <c r="D413" t="s">
        <v>928</v>
      </c>
      <c r="E413">
        <v>83.49</v>
      </c>
      <c r="G413" t="s">
        <v>410</v>
      </c>
      <c r="H413">
        <v>0.53900000000000003</v>
      </c>
      <c r="J413" t="s">
        <v>928</v>
      </c>
      <c r="K413">
        <v>40</v>
      </c>
      <c r="M413" t="s">
        <v>928</v>
      </c>
      <c r="N413">
        <v>41.17</v>
      </c>
      <c r="P413" t="s">
        <v>437</v>
      </c>
      <c r="Q413">
        <v>6.81</v>
      </c>
      <c r="S413" t="s">
        <v>410</v>
      </c>
      <c r="T413">
        <v>0.35399999999999998</v>
      </c>
      <c r="V413" t="s">
        <v>928</v>
      </c>
      <c r="W413">
        <v>34.840000000000003</v>
      </c>
      <c r="Y413" t="s">
        <v>932</v>
      </c>
      <c r="Z413">
        <v>2.41</v>
      </c>
      <c r="AC413" s="4" t="s">
        <v>320</v>
      </c>
      <c r="AD413" s="5">
        <v>64368215</v>
      </c>
      <c r="AE413" s="5">
        <v>47736249</v>
      </c>
      <c r="AF413" s="5">
        <v>9361213</v>
      </c>
      <c r="AI413" t="s">
        <v>932</v>
      </c>
      <c r="AJ413">
        <v>52.85</v>
      </c>
      <c r="AL413" t="s">
        <v>410</v>
      </c>
      <c r="AM413">
        <v>12.9</v>
      </c>
      <c r="AO413" t="s">
        <v>410</v>
      </c>
      <c r="AP413">
        <v>64.95</v>
      </c>
      <c r="AQ413">
        <v>68.88</v>
      </c>
      <c r="AS413" t="s">
        <v>410</v>
      </c>
      <c r="AT413">
        <v>9.01</v>
      </c>
      <c r="AU413">
        <v>8.42</v>
      </c>
      <c r="AW413" t="s">
        <v>410</v>
      </c>
      <c r="AX413">
        <v>27.73</v>
      </c>
    </row>
    <row r="414" spans="1:50" x14ac:dyDescent="0.35">
      <c r="A414" t="s">
        <v>411</v>
      </c>
      <c r="B414">
        <v>91.44</v>
      </c>
      <c r="D414" t="s">
        <v>929</v>
      </c>
      <c r="E414">
        <v>65.3</v>
      </c>
      <c r="G414" t="s">
        <v>411</v>
      </c>
      <c r="H414">
        <v>0.47899999999999998</v>
      </c>
      <c r="J414" t="s">
        <v>929</v>
      </c>
      <c r="K414">
        <v>16.670000000000002</v>
      </c>
      <c r="M414" t="s">
        <v>929</v>
      </c>
      <c r="N414">
        <v>46.27</v>
      </c>
      <c r="P414" t="s">
        <v>438</v>
      </c>
      <c r="Q414">
        <v>7.1</v>
      </c>
      <c r="S414" t="s">
        <v>411</v>
      </c>
      <c r="T414">
        <v>0.33500000000000002</v>
      </c>
      <c r="V414" t="s">
        <v>929</v>
      </c>
      <c r="W414">
        <v>26.88</v>
      </c>
      <c r="Y414" t="s">
        <v>933</v>
      </c>
      <c r="Z414">
        <v>2.29</v>
      </c>
      <c r="AC414" s="4" t="s">
        <v>314</v>
      </c>
      <c r="AD414" s="5">
        <v>76158053</v>
      </c>
      <c r="AE414" s="5">
        <v>52610433</v>
      </c>
      <c r="AF414" s="5">
        <v>11156068</v>
      </c>
      <c r="AI414" t="s">
        <v>933</v>
      </c>
      <c r="AJ414">
        <v>25.92</v>
      </c>
      <c r="AL414" t="s">
        <v>411</v>
      </c>
      <c r="AM414">
        <v>6.94</v>
      </c>
      <c r="AO414" t="s">
        <v>411</v>
      </c>
      <c r="AP414">
        <v>69.09</v>
      </c>
      <c r="AQ414">
        <v>73.040000000000006</v>
      </c>
      <c r="AS414" t="s">
        <v>411</v>
      </c>
      <c r="AT414">
        <v>8.89</v>
      </c>
      <c r="AU414">
        <v>8.5</v>
      </c>
      <c r="AW414" t="s">
        <v>411</v>
      </c>
      <c r="AX414">
        <v>32.119999999999997</v>
      </c>
    </row>
    <row r="415" spans="1:50" x14ac:dyDescent="0.35">
      <c r="A415" t="s">
        <v>412</v>
      </c>
      <c r="B415">
        <v>85.17</v>
      </c>
      <c r="D415" t="s">
        <v>930</v>
      </c>
      <c r="E415">
        <v>83.48</v>
      </c>
      <c r="G415" t="s">
        <v>412</v>
      </c>
      <c r="H415">
        <v>0.56999999999999995</v>
      </c>
      <c r="J415" t="s">
        <v>930</v>
      </c>
      <c r="K415">
        <v>40</v>
      </c>
      <c r="M415" t="s">
        <v>930</v>
      </c>
      <c r="N415">
        <v>56.56</v>
      </c>
      <c r="P415" t="s">
        <v>439</v>
      </c>
      <c r="Q415">
        <v>7.48</v>
      </c>
      <c r="S415" t="s">
        <v>412</v>
      </c>
      <c r="T415">
        <v>0.40200000000000002</v>
      </c>
      <c r="V415" t="s">
        <v>930</v>
      </c>
      <c r="W415">
        <v>34.29</v>
      </c>
      <c r="Y415" t="s">
        <v>934</v>
      </c>
      <c r="Z415">
        <v>2.3199999999999998</v>
      </c>
      <c r="AC415" s="4" t="s">
        <v>319</v>
      </c>
      <c r="AD415" s="5">
        <v>33557241</v>
      </c>
      <c r="AE415" s="5">
        <v>33618404</v>
      </c>
      <c r="AF415" s="5">
        <v>15903641</v>
      </c>
      <c r="AI415" t="s">
        <v>934</v>
      </c>
      <c r="AJ415">
        <v>30.54</v>
      </c>
      <c r="AL415" t="s">
        <v>412</v>
      </c>
      <c r="AM415">
        <v>12.31</v>
      </c>
      <c r="AO415" t="s">
        <v>412</v>
      </c>
      <c r="AP415">
        <v>67.44</v>
      </c>
      <c r="AQ415">
        <v>71.400000000000006</v>
      </c>
      <c r="AS415" t="s">
        <v>412</v>
      </c>
      <c r="AT415">
        <v>9.74</v>
      </c>
      <c r="AU415">
        <v>9.25</v>
      </c>
      <c r="AW415" t="s">
        <v>412</v>
      </c>
      <c r="AX415">
        <v>33.6</v>
      </c>
    </row>
    <row r="416" spans="1:50" x14ac:dyDescent="0.35">
      <c r="A416" t="s">
        <v>413</v>
      </c>
      <c r="B416">
        <v>97.2</v>
      </c>
      <c r="D416" t="s">
        <v>931</v>
      </c>
      <c r="E416">
        <v>62.98</v>
      </c>
      <c r="G416" t="s">
        <v>413</v>
      </c>
      <c r="H416">
        <v>0.38600000000000001</v>
      </c>
      <c r="J416" t="s">
        <v>931</v>
      </c>
      <c r="K416">
        <v>16</v>
      </c>
      <c r="M416" t="s">
        <v>931</v>
      </c>
      <c r="N416">
        <v>54.13</v>
      </c>
      <c r="P416" t="s">
        <v>440</v>
      </c>
      <c r="Q416">
        <v>7.61</v>
      </c>
      <c r="S416" t="s">
        <v>413</v>
      </c>
      <c r="T416">
        <v>0.33600000000000002</v>
      </c>
      <c r="V416" t="s">
        <v>931</v>
      </c>
      <c r="W416">
        <v>25.66</v>
      </c>
      <c r="Y416" t="s">
        <v>935</v>
      </c>
      <c r="Z416">
        <v>2.2000000000000002</v>
      </c>
      <c r="AC416" s="4" t="s">
        <v>324</v>
      </c>
      <c r="AD416" s="5">
        <v>72472296</v>
      </c>
      <c r="AE416" s="5">
        <v>42694287</v>
      </c>
      <c r="AF416" s="5">
        <v>23072664</v>
      </c>
      <c r="AI416" t="s">
        <v>935</v>
      </c>
      <c r="AJ416">
        <v>21.61</v>
      </c>
      <c r="AL416" t="s">
        <v>413</v>
      </c>
      <c r="AM416">
        <v>15.16</v>
      </c>
      <c r="AO416" t="s">
        <v>413</v>
      </c>
      <c r="AP416">
        <v>69.39</v>
      </c>
      <c r="AQ416">
        <v>73.36</v>
      </c>
      <c r="AS416" t="s">
        <v>413</v>
      </c>
      <c r="AT416">
        <v>9.6</v>
      </c>
      <c r="AU416">
        <v>9.5299999999999994</v>
      </c>
      <c r="AW416" t="s">
        <v>413</v>
      </c>
      <c r="AX416">
        <v>37.93</v>
      </c>
    </row>
    <row r="417" spans="1:50" x14ac:dyDescent="0.35">
      <c r="A417" t="s">
        <v>414</v>
      </c>
      <c r="B417">
        <v>89.17</v>
      </c>
      <c r="D417" t="s">
        <v>409</v>
      </c>
      <c r="E417">
        <v>77.290000000000006</v>
      </c>
      <c r="G417" t="s">
        <v>414</v>
      </c>
      <c r="H417">
        <v>0.6</v>
      </c>
      <c r="J417" t="s">
        <v>409</v>
      </c>
      <c r="K417">
        <v>28.89</v>
      </c>
      <c r="M417" t="s">
        <v>409</v>
      </c>
      <c r="N417">
        <v>53.03</v>
      </c>
      <c r="P417" t="s">
        <v>441</v>
      </c>
      <c r="Q417">
        <v>9.67</v>
      </c>
      <c r="S417" t="s">
        <v>414</v>
      </c>
      <c r="T417">
        <v>0.38200000000000001</v>
      </c>
      <c r="V417" t="s">
        <v>409</v>
      </c>
      <c r="W417">
        <v>31</v>
      </c>
      <c r="Y417" t="s">
        <v>936</v>
      </c>
      <c r="Z417">
        <v>2.34</v>
      </c>
      <c r="AC417" s="4" t="s">
        <v>323</v>
      </c>
      <c r="AD417" s="5">
        <v>32777956</v>
      </c>
      <c r="AE417" s="5">
        <v>24317305</v>
      </c>
      <c r="AF417" s="5">
        <v>23356420</v>
      </c>
      <c r="AI417" t="s">
        <v>936</v>
      </c>
      <c r="AJ417">
        <v>34.72</v>
      </c>
      <c r="AL417" t="s">
        <v>414</v>
      </c>
      <c r="AM417">
        <v>16.25</v>
      </c>
      <c r="AO417" t="s">
        <v>414</v>
      </c>
      <c r="AP417">
        <v>65.91</v>
      </c>
      <c r="AQ417">
        <v>69.900000000000006</v>
      </c>
      <c r="AS417" t="s">
        <v>414</v>
      </c>
      <c r="AT417">
        <v>8.51</v>
      </c>
      <c r="AU417">
        <v>7.74</v>
      </c>
      <c r="AW417" t="s">
        <v>414</v>
      </c>
      <c r="AX417">
        <v>24.86</v>
      </c>
    </row>
    <row r="418" spans="1:50" x14ac:dyDescent="0.35">
      <c r="A418" t="s">
        <v>415</v>
      </c>
      <c r="B418">
        <v>90.53</v>
      </c>
      <c r="D418" t="s">
        <v>932</v>
      </c>
      <c r="E418">
        <v>75.89</v>
      </c>
      <c r="G418" t="s">
        <v>415</v>
      </c>
      <c r="H418">
        <v>0.371</v>
      </c>
      <c r="J418" t="s">
        <v>932</v>
      </c>
      <c r="K418">
        <v>20</v>
      </c>
      <c r="M418" t="s">
        <v>932</v>
      </c>
      <c r="N418">
        <v>50.3</v>
      </c>
      <c r="P418" t="s">
        <v>442</v>
      </c>
      <c r="Q418">
        <v>5.38</v>
      </c>
      <c r="S418" t="s">
        <v>415</v>
      </c>
      <c r="T418">
        <v>0.35099999999999998</v>
      </c>
      <c r="V418" t="s">
        <v>932</v>
      </c>
      <c r="W418">
        <v>42.34</v>
      </c>
      <c r="Y418" t="s">
        <v>937</v>
      </c>
      <c r="Z418">
        <v>2.4</v>
      </c>
      <c r="AC418" s="4" t="s">
        <v>321</v>
      </c>
      <c r="AD418" s="5">
        <v>69294295</v>
      </c>
      <c r="AE418" s="5">
        <v>35765289</v>
      </c>
      <c r="AF418" s="5">
        <v>14197105</v>
      </c>
      <c r="AI418" t="s">
        <v>937</v>
      </c>
      <c r="AJ418">
        <v>34.64</v>
      </c>
      <c r="AL418" t="s">
        <v>415</v>
      </c>
      <c r="AM418">
        <v>12.85</v>
      </c>
      <c r="AO418" t="s">
        <v>415</v>
      </c>
      <c r="AP418">
        <v>64.86</v>
      </c>
      <c r="AQ418">
        <v>68.790000000000006</v>
      </c>
      <c r="AS418" t="s">
        <v>415</v>
      </c>
      <c r="AT418">
        <v>8.92</v>
      </c>
      <c r="AU418">
        <v>8.52</v>
      </c>
      <c r="AW418" t="s">
        <v>415</v>
      </c>
      <c r="AX418">
        <v>31.81</v>
      </c>
    </row>
    <row r="419" spans="1:50" x14ac:dyDescent="0.35">
      <c r="A419" t="s">
        <v>416</v>
      </c>
      <c r="B419">
        <v>89.86</v>
      </c>
      <c r="D419" t="s">
        <v>933</v>
      </c>
      <c r="E419">
        <v>76.069999999999993</v>
      </c>
      <c r="G419" t="s">
        <v>416</v>
      </c>
      <c r="H419">
        <v>0.438</v>
      </c>
      <c r="J419" t="s">
        <v>933</v>
      </c>
      <c r="K419">
        <v>31.43</v>
      </c>
      <c r="M419" t="s">
        <v>933</v>
      </c>
      <c r="N419">
        <v>57.43</v>
      </c>
      <c r="P419" t="s">
        <v>443</v>
      </c>
      <c r="Q419">
        <v>6.85</v>
      </c>
      <c r="S419" t="s">
        <v>416</v>
      </c>
      <c r="T419">
        <v>0.43</v>
      </c>
      <c r="V419" t="s">
        <v>933</v>
      </c>
      <c r="W419">
        <v>28.51</v>
      </c>
      <c r="Y419" t="s">
        <v>938</v>
      </c>
      <c r="Z419">
        <v>2.58</v>
      </c>
      <c r="AC419" s="4" t="s">
        <v>312</v>
      </c>
      <c r="AD419" s="5">
        <v>46122598</v>
      </c>
      <c r="AE419" s="5">
        <v>28616010</v>
      </c>
      <c r="AF419" s="5">
        <v>13237562</v>
      </c>
      <c r="AI419" t="s">
        <v>938</v>
      </c>
      <c r="AJ419">
        <v>33.72</v>
      </c>
      <c r="AL419" t="s">
        <v>416</v>
      </c>
      <c r="AM419">
        <v>13.36</v>
      </c>
      <c r="AO419" t="s">
        <v>416</v>
      </c>
      <c r="AP419">
        <v>67.8</v>
      </c>
      <c r="AQ419">
        <v>71.75</v>
      </c>
      <c r="AS419" t="s">
        <v>416</v>
      </c>
      <c r="AT419">
        <v>9.23</v>
      </c>
      <c r="AU419">
        <v>9.08</v>
      </c>
      <c r="AW419" t="s">
        <v>416</v>
      </c>
      <c r="AX419">
        <v>33.79</v>
      </c>
    </row>
    <row r="420" spans="1:50" x14ac:dyDescent="0.35">
      <c r="A420" t="s">
        <v>417</v>
      </c>
      <c r="B420">
        <v>92.58</v>
      </c>
      <c r="D420" t="s">
        <v>934</v>
      </c>
      <c r="E420">
        <v>56.01</v>
      </c>
      <c r="G420" t="s">
        <v>417</v>
      </c>
      <c r="H420">
        <v>0.52800000000000002</v>
      </c>
      <c r="J420" t="s">
        <v>934</v>
      </c>
      <c r="K420">
        <v>4</v>
      </c>
      <c r="M420" t="s">
        <v>934</v>
      </c>
      <c r="N420">
        <v>46.44</v>
      </c>
      <c r="P420" t="s">
        <v>444</v>
      </c>
      <c r="Q420">
        <v>6.2</v>
      </c>
      <c r="S420" t="s">
        <v>417</v>
      </c>
      <c r="T420">
        <v>0.39100000000000001</v>
      </c>
      <c r="V420" t="s">
        <v>934</v>
      </c>
      <c r="W420">
        <v>31.94</v>
      </c>
      <c r="Y420" t="s">
        <v>939</v>
      </c>
      <c r="Z420">
        <v>2.4</v>
      </c>
      <c r="AC420" s="4" t="s">
        <v>313</v>
      </c>
      <c r="AD420" s="5">
        <v>69682512</v>
      </c>
      <c r="AE420" s="5">
        <v>45023476</v>
      </c>
      <c r="AF420" s="5">
        <v>32985452</v>
      </c>
      <c r="AI420" t="s">
        <v>939</v>
      </c>
      <c r="AJ420">
        <v>42.52</v>
      </c>
      <c r="AL420" t="s">
        <v>417</v>
      </c>
      <c r="AM420">
        <v>14.91</v>
      </c>
      <c r="AO420" t="s">
        <v>417</v>
      </c>
      <c r="AP420">
        <v>62.75</v>
      </c>
      <c r="AQ420">
        <v>66.58</v>
      </c>
      <c r="AS420" t="s">
        <v>417</v>
      </c>
      <c r="AT420">
        <v>8.2899999999999991</v>
      </c>
      <c r="AU420">
        <v>7.95</v>
      </c>
      <c r="AW420" t="s">
        <v>417</v>
      </c>
      <c r="AX420">
        <v>28.95</v>
      </c>
    </row>
    <row r="421" spans="1:50" x14ac:dyDescent="0.35">
      <c r="A421" t="s">
        <v>418</v>
      </c>
      <c r="B421">
        <v>91.56</v>
      </c>
      <c r="D421" t="s">
        <v>935</v>
      </c>
      <c r="E421">
        <v>75.34</v>
      </c>
      <c r="G421" t="s">
        <v>418</v>
      </c>
      <c r="H421">
        <v>0.56499999999999995</v>
      </c>
      <c r="J421" t="s">
        <v>935</v>
      </c>
      <c r="K421">
        <v>23.33</v>
      </c>
      <c r="M421" t="s">
        <v>935</v>
      </c>
      <c r="N421">
        <v>55.68</v>
      </c>
      <c r="P421" t="s">
        <v>1089</v>
      </c>
      <c r="Q421">
        <v>5.18</v>
      </c>
      <c r="S421" t="s">
        <v>418</v>
      </c>
      <c r="T421">
        <v>0.41299999999999998</v>
      </c>
      <c r="V421" t="s">
        <v>935</v>
      </c>
      <c r="W421">
        <v>33.049999999999997</v>
      </c>
      <c r="Y421" t="s">
        <v>940</v>
      </c>
      <c r="Z421">
        <v>2.37</v>
      </c>
      <c r="AC421" s="4" t="s">
        <v>315</v>
      </c>
      <c r="AD421" s="5">
        <v>103083857</v>
      </c>
      <c r="AE421" s="5">
        <v>59087595</v>
      </c>
      <c r="AF421" s="5">
        <v>23377307</v>
      </c>
      <c r="AI421" t="s">
        <v>940</v>
      </c>
      <c r="AJ421">
        <v>34.08</v>
      </c>
      <c r="AL421" t="s">
        <v>418</v>
      </c>
      <c r="AM421">
        <v>16.739999999999998</v>
      </c>
      <c r="AO421" t="s">
        <v>418</v>
      </c>
      <c r="AP421">
        <v>64.5</v>
      </c>
      <c r="AQ421">
        <v>68.41</v>
      </c>
      <c r="AS421" t="s">
        <v>418</v>
      </c>
      <c r="AT421">
        <v>8.52</v>
      </c>
      <c r="AU421">
        <v>8.5</v>
      </c>
      <c r="AW421" t="s">
        <v>418</v>
      </c>
      <c r="AX421">
        <v>31.13</v>
      </c>
    </row>
    <row r="422" spans="1:50" x14ac:dyDescent="0.35">
      <c r="A422" t="s">
        <v>419</v>
      </c>
      <c r="B422">
        <v>94.26</v>
      </c>
      <c r="D422" t="s">
        <v>936</v>
      </c>
      <c r="E422">
        <v>58.23</v>
      </c>
      <c r="G422" t="s">
        <v>419</v>
      </c>
      <c r="H422">
        <v>0.51700000000000002</v>
      </c>
      <c r="J422" t="s">
        <v>936</v>
      </c>
      <c r="K422">
        <v>6.9</v>
      </c>
      <c r="M422" t="s">
        <v>936</v>
      </c>
      <c r="N422">
        <v>47.15</v>
      </c>
      <c r="P422" t="s">
        <v>1090</v>
      </c>
      <c r="Q422">
        <v>6.37</v>
      </c>
      <c r="S422" t="s">
        <v>419</v>
      </c>
      <c r="T422">
        <v>0.36599999999999999</v>
      </c>
      <c r="V422" t="s">
        <v>936</v>
      </c>
      <c r="W422">
        <v>30.89</v>
      </c>
      <c r="Y422" t="s">
        <v>941</v>
      </c>
      <c r="Z422">
        <v>2.36</v>
      </c>
      <c r="AC422" s="4" t="s">
        <v>316</v>
      </c>
      <c r="AD422" s="5">
        <v>70193052</v>
      </c>
      <c r="AE422" s="5">
        <v>42629951</v>
      </c>
      <c r="AF422" s="5">
        <v>15783697</v>
      </c>
      <c r="AI422" t="s">
        <v>941</v>
      </c>
      <c r="AJ422">
        <v>31.09</v>
      </c>
      <c r="AL422" t="s">
        <v>419</v>
      </c>
      <c r="AM422">
        <v>12.83</v>
      </c>
      <c r="AO422" t="s">
        <v>419</v>
      </c>
      <c r="AP422">
        <v>68.430000000000007</v>
      </c>
      <c r="AQ422">
        <v>72.36</v>
      </c>
      <c r="AS422" t="s">
        <v>419</v>
      </c>
      <c r="AT422">
        <v>8.98</v>
      </c>
      <c r="AU422">
        <v>9.08</v>
      </c>
      <c r="AW422" t="s">
        <v>419</v>
      </c>
      <c r="AX422">
        <v>35.58</v>
      </c>
    </row>
    <row r="423" spans="1:50" x14ac:dyDescent="0.35">
      <c r="A423" t="s">
        <v>420</v>
      </c>
      <c r="B423">
        <v>92.4</v>
      </c>
      <c r="D423" t="s">
        <v>937</v>
      </c>
      <c r="E423">
        <v>65.48</v>
      </c>
      <c r="G423" t="s">
        <v>420</v>
      </c>
      <c r="H423">
        <v>0.57499999999999996</v>
      </c>
      <c r="J423" t="s">
        <v>937</v>
      </c>
      <c r="K423">
        <v>20</v>
      </c>
      <c r="M423" t="s">
        <v>937</v>
      </c>
      <c r="N423">
        <v>57.06</v>
      </c>
      <c r="P423" t="s">
        <v>446</v>
      </c>
      <c r="Q423">
        <v>4.3499999999999996</v>
      </c>
      <c r="S423" t="s">
        <v>420</v>
      </c>
      <c r="T423">
        <v>0.33400000000000002</v>
      </c>
      <c r="V423" t="s">
        <v>937</v>
      </c>
      <c r="W423">
        <v>25.74</v>
      </c>
      <c r="Y423" t="s">
        <v>942</v>
      </c>
      <c r="Z423">
        <v>2.4700000000000002</v>
      </c>
      <c r="AC423" s="4" t="s">
        <v>333</v>
      </c>
      <c r="AD423" s="5">
        <v>63396042</v>
      </c>
      <c r="AE423" s="5">
        <v>39985579</v>
      </c>
      <c r="AF423" s="5">
        <v>7428378</v>
      </c>
      <c r="AI423" t="s">
        <v>942</v>
      </c>
      <c r="AJ423">
        <v>34.75</v>
      </c>
      <c r="AL423" t="s">
        <v>420</v>
      </c>
      <c r="AM423">
        <v>14.15</v>
      </c>
      <c r="AO423" t="s">
        <v>420</v>
      </c>
      <c r="AP423">
        <v>64.180000000000007</v>
      </c>
      <c r="AQ423">
        <v>68.08</v>
      </c>
      <c r="AS423" t="s">
        <v>420</v>
      </c>
      <c r="AT423">
        <v>9.16</v>
      </c>
      <c r="AU423">
        <v>8.18</v>
      </c>
      <c r="AW423" t="s">
        <v>420</v>
      </c>
      <c r="AX423">
        <v>26.85</v>
      </c>
    </row>
    <row r="424" spans="1:50" x14ac:dyDescent="0.35">
      <c r="A424" t="s">
        <v>421</v>
      </c>
      <c r="B424">
        <v>96.61</v>
      </c>
      <c r="D424" t="s">
        <v>938</v>
      </c>
      <c r="E424">
        <v>61.53</v>
      </c>
      <c r="G424" t="s">
        <v>421</v>
      </c>
      <c r="H424">
        <v>0.47199999999999998</v>
      </c>
      <c r="J424" t="s">
        <v>938</v>
      </c>
      <c r="K424">
        <v>16</v>
      </c>
      <c r="M424" t="s">
        <v>938</v>
      </c>
      <c r="N424">
        <v>59.83</v>
      </c>
      <c r="P424" t="s">
        <v>448</v>
      </c>
      <c r="Q424">
        <v>15.7</v>
      </c>
      <c r="S424" t="s">
        <v>421</v>
      </c>
      <c r="T424">
        <v>0.29899999999999999</v>
      </c>
      <c r="V424" t="s">
        <v>938</v>
      </c>
      <c r="W424">
        <v>26.53</v>
      </c>
      <c r="Y424" t="s">
        <v>943</v>
      </c>
      <c r="Z424">
        <v>2.33</v>
      </c>
      <c r="AC424" s="4" t="s">
        <v>325</v>
      </c>
      <c r="AD424" s="5">
        <v>50559331</v>
      </c>
      <c r="AE424" s="5">
        <v>31906604</v>
      </c>
      <c r="AF424" s="5">
        <v>11493290</v>
      </c>
      <c r="AI424" t="s">
        <v>943</v>
      </c>
      <c r="AJ424">
        <v>25.92</v>
      </c>
      <c r="AL424" t="s">
        <v>421</v>
      </c>
      <c r="AM424">
        <v>12.85</v>
      </c>
      <c r="AO424" t="s">
        <v>421</v>
      </c>
      <c r="AP424">
        <v>68.040000000000006</v>
      </c>
      <c r="AQ424">
        <v>71.989999999999995</v>
      </c>
      <c r="AS424" t="s">
        <v>421</v>
      </c>
      <c r="AT424">
        <v>9.26</v>
      </c>
      <c r="AU424">
        <v>8.8000000000000007</v>
      </c>
      <c r="AW424" t="s">
        <v>421</v>
      </c>
      <c r="AX424">
        <v>32.29</v>
      </c>
    </row>
    <row r="425" spans="1:50" x14ac:dyDescent="0.35">
      <c r="A425" t="s">
        <v>422</v>
      </c>
      <c r="B425">
        <v>98.37</v>
      </c>
      <c r="D425" t="s">
        <v>939</v>
      </c>
      <c r="E425">
        <v>59.77</v>
      </c>
      <c r="G425" t="s">
        <v>422</v>
      </c>
      <c r="H425">
        <v>0.20899999999999999</v>
      </c>
      <c r="J425" t="s">
        <v>939</v>
      </c>
      <c r="K425">
        <v>15</v>
      </c>
      <c r="M425" t="s">
        <v>939</v>
      </c>
      <c r="N425">
        <v>55.03</v>
      </c>
      <c r="P425" t="s">
        <v>449</v>
      </c>
      <c r="Q425">
        <v>13.98</v>
      </c>
      <c r="S425" t="s">
        <v>422</v>
      </c>
      <c r="T425">
        <v>0.20200000000000001</v>
      </c>
      <c r="V425" t="s">
        <v>939</v>
      </c>
      <c r="W425">
        <v>24.33</v>
      </c>
      <c r="Y425" t="s">
        <v>944</v>
      </c>
      <c r="Z425">
        <v>2.11</v>
      </c>
      <c r="AC425" s="4" t="s">
        <v>326</v>
      </c>
      <c r="AD425" s="5">
        <v>59007336</v>
      </c>
      <c r="AE425" s="5">
        <v>40585065</v>
      </c>
      <c r="AF425" s="5">
        <v>21238110</v>
      </c>
      <c r="AI425" t="s">
        <v>944</v>
      </c>
      <c r="AJ425">
        <v>19.16</v>
      </c>
      <c r="AL425" t="s">
        <v>422</v>
      </c>
      <c r="AM425">
        <v>6.56</v>
      </c>
      <c r="AO425" t="s">
        <v>422</v>
      </c>
      <c r="AP425">
        <v>69.510000000000005</v>
      </c>
      <c r="AQ425">
        <v>73.489999999999995</v>
      </c>
      <c r="AS425" t="s">
        <v>422</v>
      </c>
      <c r="AT425">
        <v>12.1</v>
      </c>
      <c r="AU425">
        <v>11.38</v>
      </c>
      <c r="AW425" t="s">
        <v>422</v>
      </c>
      <c r="AX425">
        <v>59.34</v>
      </c>
    </row>
    <row r="426" spans="1:50" x14ac:dyDescent="0.35">
      <c r="A426" t="s">
        <v>423</v>
      </c>
      <c r="B426">
        <v>93.19</v>
      </c>
      <c r="D426" t="s">
        <v>940</v>
      </c>
      <c r="E426">
        <v>54.39</v>
      </c>
      <c r="G426" t="s">
        <v>423</v>
      </c>
      <c r="H426">
        <v>0.36599999999999999</v>
      </c>
      <c r="J426" t="s">
        <v>940</v>
      </c>
      <c r="K426">
        <v>4</v>
      </c>
      <c r="M426" t="s">
        <v>940</v>
      </c>
      <c r="N426">
        <v>58.16</v>
      </c>
      <c r="P426" t="s">
        <v>450</v>
      </c>
      <c r="Q426">
        <v>8.44</v>
      </c>
      <c r="S426" t="s">
        <v>423</v>
      </c>
      <c r="T426">
        <v>0.27900000000000003</v>
      </c>
      <c r="V426" t="s">
        <v>940</v>
      </c>
      <c r="W426">
        <v>31.45</v>
      </c>
      <c r="Y426" t="s">
        <v>423</v>
      </c>
      <c r="Z426">
        <v>2.2200000000000002</v>
      </c>
      <c r="AC426" s="4" t="s">
        <v>329</v>
      </c>
      <c r="AD426" s="5">
        <v>32703060</v>
      </c>
      <c r="AE426" s="5">
        <v>31878532</v>
      </c>
      <c r="AF426" s="5">
        <v>12688312</v>
      </c>
      <c r="AI426" t="s">
        <v>423</v>
      </c>
      <c r="AJ426">
        <v>21.49</v>
      </c>
      <c r="AL426" t="s">
        <v>423</v>
      </c>
      <c r="AM426">
        <v>8.6999999999999993</v>
      </c>
      <c r="AO426" t="s">
        <v>423</v>
      </c>
      <c r="AP426">
        <v>69.28</v>
      </c>
      <c r="AQ426">
        <v>73.239999999999995</v>
      </c>
      <c r="AS426" t="s">
        <v>423</v>
      </c>
      <c r="AT426">
        <v>8.9600000000000009</v>
      </c>
      <c r="AU426">
        <v>8.59</v>
      </c>
      <c r="AW426" t="s">
        <v>423</v>
      </c>
      <c r="AX426">
        <v>40.590000000000003</v>
      </c>
    </row>
    <row r="427" spans="1:50" x14ac:dyDescent="0.35">
      <c r="A427" t="s">
        <v>424</v>
      </c>
      <c r="B427">
        <v>91.94</v>
      </c>
      <c r="D427" t="s">
        <v>941</v>
      </c>
      <c r="E427">
        <v>72.290000000000006</v>
      </c>
      <c r="G427" t="s">
        <v>424</v>
      </c>
      <c r="H427">
        <v>0.377</v>
      </c>
      <c r="J427" t="s">
        <v>941</v>
      </c>
      <c r="K427">
        <v>23.33</v>
      </c>
      <c r="M427" t="s">
        <v>941</v>
      </c>
      <c r="N427">
        <v>59.2</v>
      </c>
      <c r="P427" t="s">
        <v>451</v>
      </c>
      <c r="Q427">
        <v>7.27</v>
      </c>
      <c r="S427" t="s">
        <v>424</v>
      </c>
      <c r="T427">
        <v>0.218</v>
      </c>
      <c r="V427" t="s">
        <v>941</v>
      </c>
      <c r="W427">
        <v>33.76</v>
      </c>
      <c r="Y427" t="s">
        <v>945</v>
      </c>
      <c r="Z427">
        <v>2.17</v>
      </c>
      <c r="AC427" s="4" t="s">
        <v>328</v>
      </c>
      <c r="AD427" s="5">
        <v>79859797</v>
      </c>
      <c r="AE427" s="5">
        <v>26387889</v>
      </c>
      <c r="AF427" s="5">
        <v>19231473</v>
      </c>
      <c r="AI427" t="s">
        <v>945</v>
      </c>
      <c r="AJ427">
        <v>22.72</v>
      </c>
      <c r="AL427" t="s">
        <v>424</v>
      </c>
      <c r="AM427">
        <v>12.27</v>
      </c>
      <c r="AO427" t="s">
        <v>424</v>
      </c>
      <c r="AP427">
        <v>67.11</v>
      </c>
      <c r="AQ427">
        <v>71.069999999999993</v>
      </c>
      <c r="AS427" t="s">
        <v>424</v>
      </c>
      <c r="AT427">
        <v>8.7100000000000009</v>
      </c>
      <c r="AU427">
        <v>8.1300000000000008</v>
      </c>
      <c r="AW427" t="s">
        <v>424</v>
      </c>
      <c r="AX427">
        <v>40.1</v>
      </c>
    </row>
    <row r="428" spans="1:50" x14ac:dyDescent="0.35">
      <c r="A428" t="s">
        <v>425</v>
      </c>
      <c r="B428">
        <v>95.83</v>
      </c>
      <c r="D428" t="s">
        <v>942</v>
      </c>
      <c r="E428">
        <v>71.7</v>
      </c>
      <c r="G428" t="s">
        <v>425</v>
      </c>
      <c r="H428">
        <v>0.25800000000000001</v>
      </c>
      <c r="J428" t="s">
        <v>942</v>
      </c>
      <c r="K428">
        <v>21.05</v>
      </c>
      <c r="M428" t="s">
        <v>942</v>
      </c>
      <c r="N428">
        <v>46.3</v>
      </c>
      <c r="P428" t="s">
        <v>452</v>
      </c>
      <c r="Q428">
        <v>12.94</v>
      </c>
      <c r="S428" t="s">
        <v>425</v>
      </c>
      <c r="T428">
        <v>0.308</v>
      </c>
      <c r="V428" t="s">
        <v>942</v>
      </c>
      <c r="W428">
        <v>33.08</v>
      </c>
      <c r="Y428" t="s">
        <v>946</v>
      </c>
      <c r="Z428">
        <v>2.19</v>
      </c>
      <c r="AC428" s="4" t="s">
        <v>327</v>
      </c>
      <c r="AD428" s="5">
        <v>38308975</v>
      </c>
      <c r="AE428" s="5">
        <v>17324378</v>
      </c>
      <c r="AF428" s="5">
        <v>30465566</v>
      </c>
      <c r="AI428" t="s">
        <v>946</v>
      </c>
      <c r="AJ428">
        <v>21.17</v>
      </c>
      <c r="AL428" t="s">
        <v>425</v>
      </c>
      <c r="AM428">
        <v>7.22</v>
      </c>
      <c r="AO428" t="s">
        <v>425</v>
      </c>
      <c r="AP428">
        <v>66.91</v>
      </c>
      <c r="AQ428">
        <v>70.87</v>
      </c>
      <c r="AS428" t="s">
        <v>425</v>
      </c>
      <c r="AT428">
        <v>8.49</v>
      </c>
      <c r="AU428">
        <v>8.1300000000000008</v>
      </c>
      <c r="AW428" t="s">
        <v>425</v>
      </c>
      <c r="AX428">
        <v>34.130000000000003</v>
      </c>
    </row>
    <row r="429" spans="1:50" x14ac:dyDescent="0.35">
      <c r="A429" t="s">
        <v>426</v>
      </c>
      <c r="B429">
        <v>95.31</v>
      </c>
      <c r="D429" t="s">
        <v>943</v>
      </c>
      <c r="E429">
        <v>65.319999999999993</v>
      </c>
      <c r="G429" t="s">
        <v>426</v>
      </c>
      <c r="H429">
        <v>0.34799999999999998</v>
      </c>
      <c r="J429" t="s">
        <v>943</v>
      </c>
      <c r="K429">
        <v>28</v>
      </c>
      <c r="M429" t="s">
        <v>943</v>
      </c>
      <c r="N429">
        <v>44.5</v>
      </c>
      <c r="P429" t="s">
        <v>453</v>
      </c>
      <c r="Q429">
        <v>9.6199999999999992</v>
      </c>
      <c r="S429" t="s">
        <v>426</v>
      </c>
      <c r="T429">
        <v>0.251</v>
      </c>
      <c r="V429" t="s">
        <v>943</v>
      </c>
      <c r="W429">
        <v>19.63</v>
      </c>
      <c r="Y429" t="s">
        <v>947</v>
      </c>
      <c r="Z429">
        <v>2.06</v>
      </c>
      <c r="AC429" s="4" t="s">
        <v>330</v>
      </c>
      <c r="AD429" s="5">
        <v>60795249</v>
      </c>
      <c r="AE429" s="5">
        <v>28397071</v>
      </c>
      <c r="AF429" s="5">
        <v>26788862</v>
      </c>
      <c r="AI429" t="s">
        <v>947</v>
      </c>
      <c r="AJ429">
        <v>25.93</v>
      </c>
      <c r="AL429" t="s">
        <v>426</v>
      </c>
      <c r="AM429">
        <v>9.18</v>
      </c>
      <c r="AO429" t="s">
        <v>426</v>
      </c>
      <c r="AP429">
        <v>69.17</v>
      </c>
      <c r="AQ429">
        <v>73.13</v>
      </c>
      <c r="AS429" t="s">
        <v>426</v>
      </c>
      <c r="AT429">
        <v>7.5</v>
      </c>
      <c r="AU429">
        <v>7.03</v>
      </c>
      <c r="AW429" t="s">
        <v>426</v>
      </c>
      <c r="AX429">
        <v>27.26</v>
      </c>
    </row>
    <row r="430" spans="1:50" x14ac:dyDescent="0.35">
      <c r="A430" t="s">
        <v>427</v>
      </c>
      <c r="B430">
        <v>92.28</v>
      </c>
      <c r="D430" t="s">
        <v>944</v>
      </c>
      <c r="E430">
        <v>67.84</v>
      </c>
      <c r="G430" t="s">
        <v>427</v>
      </c>
      <c r="H430">
        <v>0.41</v>
      </c>
      <c r="J430" t="s">
        <v>944</v>
      </c>
      <c r="K430">
        <v>14.29</v>
      </c>
      <c r="M430" t="s">
        <v>944</v>
      </c>
      <c r="N430">
        <v>48.42</v>
      </c>
      <c r="P430" t="s">
        <v>454</v>
      </c>
      <c r="Q430">
        <v>10.65</v>
      </c>
      <c r="S430" t="s">
        <v>427</v>
      </c>
      <c r="T430">
        <v>0.35199999999999998</v>
      </c>
      <c r="V430" t="s">
        <v>944</v>
      </c>
      <c r="W430">
        <v>35.19</v>
      </c>
      <c r="Y430" t="s">
        <v>948</v>
      </c>
      <c r="Z430">
        <v>2.2000000000000002</v>
      </c>
      <c r="AC430" s="4" t="s">
        <v>331</v>
      </c>
      <c r="AD430" s="5">
        <v>42074542</v>
      </c>
      <c r="AE430" s="5">
        <v>23842866</v>
      </c>
      <c r="AF430" s="5">
        <v>22412738</v>
      </c>
      <c r="AI430" t="s">
        <v>948</v>
      </c>
      <c r="AJ430">
        <v>20.87</v>
      </c>
      <c r="AL430" t="s">
        <v>427</v>
      </c>
      <c r="AM430">
        <v>13.06</v>
      </c>
      <c r="AO430" t="s">
        <v>427</v>
      </c>
      <c r="AP430">
        <v>65.069999999999993</v>
      </c>
      <c r="AQ430">
        <v>69.010000000000005</v>
      </c>
      <c r="AS430" t="s">
        <v>427</v>
      </c>
      <c r="AT430">
        <v>6.97</v>
      </c>
      <c r="AU430">
        <v>7</v>
      </c>
      <c r="AW430" t="s">
        <v>427</v>
      </c>
      <c r="AX430">
        <v>27.5</v>
      </c>
    </row>
    <row r="431" spans="1:50" x14ac:dyDescent="0.35">
      <c r="A431" t="s">
        <v>428</v>
      </c>
      <c r="B431">
        <v>87.8</v>
      </c>
      <c r="D431" t="s">
        <v>423</v>
      </c>
      <c r="E431">
        <v>75.239999999999995</v>
      </c>
      <c r="G431" t="s">
        <v>428</v>
      </c>
      <c r="H431">
        <v>0.192</v>
      </c>
      <c r="J431" t="s">
        <v>423</v>
      </c>
      <c r="K431">
        <v>25.88</v>
      </c>
      <c r="M431" t="s">
        <v>423</v>
      </c>
      <c r="N431">
        <v>55.03</v>
      </c>
      <c r="P431" t="s">
        <v>455</v>
      </c>
      <c r="Q431">
        <v>7.55</v>
      </c>
      <c r="S431" t="s">
        <v>428</v>
      </c>
      <c r="T431">
        <v>0.26300000000000001</v>
      </c>
      <c r="V431" t="s">
        <v>423</v>
      </c>
      <c r="W431">
        <v>32.409999999999997</v>
      </c>
      <c r="Y431" t="s">
        <v>949</v>
      </c>
      <c r="Z431">
        <v>2.33</v>
      </c>
      <c r="AC431" s="4" t="s">
        <v>332</v>
      </c>
      <c r="AD431" s="5">
        <v>53738760</v>
      </c>
      <c r="AE431" s="5">
        <v>33514379</v>
      </c>
      <c r="AF431" s="5">
        <v>6519242</v>
      </c>
      <c r="AI431" t="s">
        <v>949</v>
      </c>
      <c r="AJ431">
        <v>22.75</v>
      </c>
      <c r="AL431" t="s">
        <v>428</v>
      </c>
      <c r="AM431">
        <v>8.2899999999999991</v>
      </c>
      <c r="AO431" t="s">
        <v>428</v>
      </c>
      <c r="AP431">
        <v>65.959999999999994</v>
      </c>
      <c r="AQ431">
        <v>69.95</v>
      </c>
      <c r="AS431" t="s">
        <v>428</v>
      </c>
      <c r="AT431">
        <v>7.97</v>
      </c>
      <c r="AU431">
        <v>7.45</v>
      </c>
      <c r="AW431" t="s">
        <v>428</v>
      </c>
      <c r="AX431">
        <v>32.47</v>
      </c>
    </row>
    <row r="432" spans="1:50" x14ac:dyDescent="0.35">
      <c r="A432" t="s">
        <v>429</v>
      </c>
      <c r="B432">
        <v>88.37</v>
      </c>
      <c r="D432" t="s">
        <v>945</v>
      </c>
      <c r="E432">
        <v>70.290000000000006</v>
      </c>
      <c r="G432" t="s">
        <v>429</v>
      </c>
      <c r="H432">
        <v>0.35899999999999999</v>
      </c>
      <c r="J432" t="s">
        <v>945</v>
      </c>
      <c r="K432">
        <v>20</v>
      </c>
      <c r="M432" t="s">
        <v>945</v>
      </c>
      <c r="N432">
        <v>58.99</v>
      </c>
      <c r="P432" t="s">
        <v>456</v>
      </c>
      <c r="Q432">
        <v>11.7</v>
      </c>
      <c r="S432" t="s">
        <v>429</v>
      </c>
      <c r="T432">
        <v>0.27800000000000002</v>
      </c>
      <c r="V432" t="s">
        <v>945</v>
      </c>
      <c r="W432">
        <v>33.479999999999997</v>
      </c>
      <c r="Y432" t="s">
        <v>950</v>
      </c>
      <c r="Z432">
        <v>2.2000000000000002</v>
      </c>
      <c r="AC432" s="4" t="s">
        <v>1134</v>
      </c>
      <c r="AD432" s="5">
        <v>143904400</v>
      </c>
      <c r="AE432" s="5">
        <v>39884190</v>
      </c>
      <c r="AF432" s="5">
        <v>67157876</v>
      </c>
      <c r="AI432" t="s">
        <v>950</v>
      </c>
      <c r="AJ432">
        <v>18.47</v>
      </c>
      <c r="AL432" t="s">
        <v>429</v>
      </c>
      <c r="AM432">
        <v>7.42</v>
      </c>
      <c r="AO432" t="s">
        <v>429</v>
      </c>
      <c r="AP432">
        <v>68.959999999999994</v>
      </c>
      <c r="AQ432">
        <v>72.91</v>
      </c>
      <c r="AS432" t="s">
        <v>429</v>
      </c>
      <c r="AT432">
        <v>8.61</v>
      </c>
      <c r="AU432">
        <v>8.25</v>
      </c>
      <c r="AW432" t="s">
        <v>429</v>
      </c>
      <c r="AX432">
        <v>38.83</v>
      </c>
    </row>
    <row r="433" spans="1:50" x14ac:dyDescent="0.35">
      <c r="A433" t="s">
        <v>430</v>
      </c>
      <c r="B433">
        <v>98.21</v>
      </c>
      <c r="D433" t="s">
        <v>946</v>
      </c>
      <c r="E433">
        <v>69.739999999999995</v>
      </c>
      <c r="G433" t="s">
        <v>430</v>
      </c>
      <c r="H433">
        <v>0.379</v>
      </c>
      <c r="J433" t="s">
        <v>946</v>
      </c>
      <c r="K433">
        <v>17.5</v>
      </c>
      <c r="M433" t="s">
        <v>946</v>
      </c>
      <c r="N433">
        <v>55.38</v>
      </c>
      <c r="P433" t="s">
        <v>457</v>
      </c>
      <c r="Q433">
        <v>5.56</v>
      </c>
      <c r="S433" t="s">
        <v>430</v>
      </c>
      <c r="T433">
        <v>0.22</v>
      </c>
      <c r="V433" t="s">
        <v>946</v>
      </c>
      <c r="W433">
        <v>35.08</v>
      </c>
      <c r="Y433" t="s">
        <v>951</v>
      </c>
      <c r="Z433">
        <v>2.23</v>
      </c>
      <c r="AC433" s="4" t="s">
        <v>1135</v>
      </c>
      <c r="AD433" s="5">
        <v>61772454</v>
      </c>
      <c r="AE433" s="5">
        <v>40077612</v>
      </c>
      <c r="AF433" s="5">
        <v>12815189</v>
      </c>
      <c r="AI433" t="s">
        <v>951</v>
      </c>
      <c r="AJ433">
        <v>25.26</v>
      </c>
      <c r="AL433" t="s">
        <v>430</v>
      </c>
      <c r="AM433">
        <v>8.5500000000000007</v>
      </c>
      <c r="AO433" t="s">
        <v>430</v>
      </c>
      <c r="AP433">
        <v>65.97</v>
      </c>
      <c r="AQ433">
        <v>69.959999999999994</v>
      </c>
      <c r="AS433" t="s">
        <v>430</v>
      </c>
      <c r="AT433">
        <v>7.98</v>
      </c>
      <c r="AU433">
        <v>7.76</v>
      </c>
      <c r="AW433" t="s">
        <v>430</v>
      </c>
      <c r="AX433">
        <v>33.29</v>
      </c>
    </row>
    <row r="434" spans="1:50" x14ac:dyDescent="0.35">
      <c r="A434" t="s">
        <v>431</v>
      </c>
      <c r="B434">
        <v>89.5</v>
      </c>
      <c r="D434" t="s">
        <v>947</v>
      </c>
      <c r="E434">
        <v>79.28</v>
      </c>
      <c r="G434" t="s">
        <v>431</v>
      </c>
      <c r="H434">
        <v>0.35299999999999998</v>
      </c>
      <c r="J434" t="s">
        <v>947</v>
      </c>
      <c r="K434">
        <v>32</v>
      </c>
      <c r="M434" t="s">
        <v>947</v>
      </c>
      <c r="N434">
        <v>63.09</v>
      </c>
      <c r="P434" t="s">
        <v>458</v>
      </c>
      <c r="Q434">
        <v>11.25</v>
      </c>
      <c r="S434" t="s">
        <v>431</v>
      </c>
      <c r="T434">
        <v>0.33</v>
      </c>
      <c r="V434" t="s">
        <v>947</v>
      </c>
      <c r="W434">
        <v>37</v>
      </c>
      <c r="Y434" t="s">
        <v>952</v>
      </c>
      <c r="Z434">
        <v>2.29</v>
      </c>
      <c r="AC434" s="4" t="s">
        <v>480</v>
      </c>
      <c r="AD434" s="5">
        <v>89221702</v>
      </c>
      <c r="AE434" s="5">
        <v>75014932</v>
      </c>
      <c r="AF434" s="5">
        <v>20136643</v>
      </c>
      <c r="AI434" t="s">
        <v>952</v>
      </c>
      <c r="AJ434">
        <v>20.82</v>
      </c>
      <c r="AL434" t="s">
        <v>431</v>
      </c>
      <c r="AM434">
        <v>9.65</v>
      </c>
      <c r="AO434" t="s">
        <v>431</v>
      </c>
      <c r="AP434">
        <v>67.52</v>
      </c>
      <c r="AQ434">
        <v>71.48</v>
      </c>
      <c r="AS434" t="s">
        <v>431</v>
      </c>
      <c r="AT434">
        <v>8.57</v>
      </c>
      <c r="AU434">
        <v>7.82</v>
      </c>
      <c r="AW434" t="s">
        <v>431</v>
      </c>
      <c r="AX434">
        <v>33.14</v>
      </c>
    </row>
    <row r="435" spans="1:50" x14ac:dyDescent="0.35">
      <c r="A435" t="s">
        <v>432</v>
      </c>
      <c r="B435">
        <v>90.76</v>
      </c>
      <c r="D435" t="s">
        <v>948</v>
      </c>
      <c r="E435">
        <v>70.73</v>
      </c>
      <c r="G435" t="s">
        <v>432</v>
      </c>
      <c r="H435">
        <v>0.44</v>
      </c>
      <c r="J435" t="s">
        <v>948</v>
      </c>
      <c r="K435">
        <v>20</v>
      </c>
      <c r="M435" t="s">
        <v>948</v>
      </c>
      <c r="N435">
        <v>53.22</v>
      </c>
      <c r="P435" t="s">
        <v>459</v>
      </c>
      <c r="Q435">
        <v>8.7899999999999991</v>
      </c>
      <c r="S435" t="s">
        <v>432</v>
      </c>
      <c r="T435">
        <v>0.27200000000000002</v>
      </c>
      <c r="V435" t="s">
        <v>948</v>
      </c>
      <c r="W435">
        <v>32.76</v>
      </c>
      <c r="Y435" t="s">
        <v>953</v>
      </c>
      <c r="Z435">
        <v>2.15</v>
      </c>
      <c r="AC435" s="4" t="s">
        <v>479</v>
      </c>
      <c r="AD435" s="5">
        <v>46554533</v>
      </c>
      <c r="AE435" s="5">
        <v>32619768</v>
      </c>
      <c r="AF435" s="5">
        <v>23799441</v>
      </c>
      <c r="AI435" t="s">
        <v>953</v>
      </c>
      <c r="AJ435">
        <v>25.21</v>
      </c>
      <c r="AL435" t="s">
        <v>1168</v>
      </c>
      <c r="AM435">
        <v>13.4</v>
      </c>
      <c r="AO435" t="s">
        <v>432</v>
      </c>
      <c r="AP435">
        <v>65.430000000000007</v>
      </c>
      <c r="AQ435">
        <v>69.39</v>
      </c>
      <c r="AS435" t="s">
        <v>432</v>
      </c>
      <c r="AT435">
        <v>8.73</v>
      </c>
      <c r="AU435">
        <v>8.07</v>
      </c>
      <c r="AW435" t="s">
        <v>432</v>
      </c>
      <c r="AX435">
        <v>35.26</v>
      </c>
    </row>
    <row r="436" spans="1:50" x14ac:dyDescent="0.35">
      <c r="A436" t="s">
        <v>433</v>
      </c>
      <c r="B436">
        <v>95.65</v>
      </c>
      <c r="D436" t="s">
        <v>949</v>
      </c>
      <c r="E436">
        <v>74.45</v>
      </c>
      <c r="G436" t="s">
        <v>433</v>
      </c>
      <c r="H436">
        <v>0.224</v>
      </c>
      <c r="J436" t="s">
        <v>949</v>
      </c>
      <c r="K436">
        <v>33.33</v>
      </c>
      <c r="M436" t="s">
        <v>949</v>
      </c>
      <c r="N436">
        <v>52.02</v>
      </c>
      <c r="P436" t="s">
        <v>460</v>
      </c>
      <c r="Q436">
        <v>14.85</v>
      </c>
      <c r="S436" t="s">
        <v>433</v>
      </c>
      <c r="T436">
        <v>0.29199999999999998</v>
      </c>
      <c r="V436" t="s">
        <v>949</v>
      </c>
      <c r="W436">
        <v>27.79</v>
      </c>
      <c r="Y436" t="s">
        <v>954</v>
      </c>
      <c r="Z436">
        <v>2.1800000000000002</v>
      </c>
      <c r="AC436" s="4" t="s">
        <v>481</v>
      </c>
      <c r="AD436" s="5">
        <v>49708380</v>
      </c>
      <c r="AE436" s="5">
        <v>30401934</v>
      </c>
      <c r="AF436" s="5">
        <v>52079843</v>
      </c>
      <c r="AI436" t="s">
        <v>954</v>
      </c>
      <c r="AJ436">
        <v>25.62</v>
      </c>
      <c r="AL436" t="s">
        <v>433</v>
      </c>
      <c r="AM436">
        <v>8.4600000000000009</v>
      </c>
      <c r="AO436" t="s">
        <v>433</v>
      </c>
      <c r="AP436">
        <v>67.62</v>
      </c>
      <c r="AQ436">
        <v>71.569999999999993</v>
      </c>
      <c r="AS436" t="s">
        <v>433</v>
      </c>
      <c r="AT436">
        <v>8.69</v>
      </c>
      <c r="AU436">
        <v>8.4600000000000009</v>
      </c>
      <c r="AW436" t="s">
        <v>433</v>
      </c>
      <c r="AX436">
        <v>40.71</v>
      </c>
    </row>
    <row r="437" spans="1:50" x14ac:dyDescent="0.35">
      <c r="A437" t="s">
        <v>434</v>
      </c>
      <c r="B437">
        <v>93.27</v>
      </c>
      <c r="D437" t="s">
        <v>950</v>
      </c>
      <c r="E437">
        <v>79.7</v>
      </c>
      <c r="G437" t="s">
        <v>434</v>
      </c>
      <c r="H437">
        <v>0.496</v>
      </c>
      <c r="J437" t="s">
        <v>950</v>
      </c>
      <c r="K437">
        <v>28.89</v>
      </c>
      <c r="M437" t="s">
        <v>950</v>
      </c>
      <c r="N437">
        <v>51.83</v>
      </c>
      <c r="P437" t="s">
        <v>461</v>
      </c>
      <c r="Q437">
        <v>17.559999999999999</v>
      </c>
      <c r="S437" t="s">
        <v>434</v>
      </c>
      <c r="T437">
        <v>0.35499999999999998</v>
      </c>
      <c r="V437" t="s">
        <v>950</v>
      </c>
      <c r="W437">
        <v>35.049999999999997</v>
      </c>
      <c r="Y437" t="s">
        <v>955</v>
      </c>
      <c r="Z437">
        <v>2.12</v>
      </c>
      <c r="AC437" s="4" t="s">
        <v>487</v>
      </c>
      <c r="AD437" s="5">
        <v>47547948</v>
      </c>
      <c r="AE437" s="5">
        <v>27206521</v>
      </c>
      <c r="AF437" s="5">
        <v>1747727</v>
      </c>
      <c r="AI437" t="s">
        <v>955</v>
      </c>
      <c r="AJ437">
        <v>24.08</v>
      </c>
      <c r="AL437" t="s">
        <v>434</v>
      </c>
      <c r="AM437">
        <v>10.53</v>
      </c>
      <c r="AO437" t="s">
        <v>434</v>
      </c>
      <c r="AP437">
        <v>65.91</v>
      </c>
      <c r="AQ437">
        <v>69.900000000000006</v>
      </c>
      <c r="AS437" t="s">
        <v>434</v>
      </c>
      <c r="AT437">
        <v>7.8</v>
      </c>
      <c r="AU437">
        <v>7.39</v>
      </c>
      <c r="AW437" t="s">
        <v>434</v>
      </c>
      <c r="AX437">
        <v>28.34</v>
      </c>
    </row>
    <row r="438" spans="1:50" x14ac:dyDescent="0.35">
      <c r="A438" t="s">
        <v>435</v>
      </c>
      <c r="B438">
        <v>97.16</v>
      </c>
      <c r="D438" t="s">
        <v>951</v>
      </c>
      <c r="E438">
        <v>71.09</v>
      </c>
      <c r="G438" t="s">
        <v>435</v>
      </c>
      <c r="H438">
        <v>0.26700000000000002</v>
      </c>
      <c r="J438" t="s">
        <v>951</v>
      </c>
      <c r="K438">
        <v>26.67</v>
      </c>
      <c r="M438" t="s">
        <v>951</v>
      </c>
      <c r="N438">
        <v>67.88</v>
      </c>
      <c r="P438" t="s">
        <v>462</v>
      </c>
      <c r="Q438">
        <v>11.65</v>
      </c>
      <c r="S438" t="s">
        <v>435</v>
      </c>
      <c r="T438">
        <v>0.26200000000000001</v>
      </c>
      <c r="V438" t="s">
        <v>951</v>
      </c>
      <c r="W438">
        <v>33.58</v>
      </c>
      <c r="Y438" t="s">
        <v>956</v>
      </c>
      <c r="Z438">
        <v>2.11</v>
      </c>
      <c r="AC438" s="4" t="s">
        <v>483</v>
      </c>
      <c r="AD438" s="5">
        <v>65662412</v>
      </c>
      <c r="AE438" s="5">
        <v>44147725</v>
      </c>
      <c r="AF438" s="5">
        <v>15584776</v>
      </c>
      <c r="AI438" t="s">
        <v>956</v>
      </c>
      <c r="AJ438">
        <v>23.16</v>
      </c>
      <c r="AL438" t="s">
        <v>435</v>
      </c>
      <c r="AM438">
        <v>7.48</v>
      </c>
      <c r="AO438" t="s">
        <v>435</v>
      </c>
      <c r="AP438">
        <v>68.58</v>
      </c>
      <c r="AQ438">
        <v>72.510000000000005</v>
      </c>
      <c r="AS438" t="s">
        <v>435</v>
      </c>
      <c r="AT438">
        <v>8.2899999999999991</v>
      </c>
      <c r="AU438">
        <v>8.27</v>
      </c>
      <c r="AW438" t="s">
        <v>435</v>
      </c>
      <c r="AX438">
        <v>35.28</v>
      </c>
    </row>
    <row r="439" spans="1:50" x14ac:dyDescent="0.35">
      <c r="A439" t="s">
        <v>436</v>
      </c>
      <c r="B439">
        <v>90.65</v>
      </c>
      <c r="D439" t="s">
        <v>952</v>
      </c>
      <c r="E439">
        <v>71.849999999999994</v>
      </c>
      <c r="G439" t="s">
        <v>436</v>
      </c>
      <c r="H439">
        <v>0.47499999999999998</v>
      </c>
      <c r="J439" t="s">
        <v>952</v>
      </c>
      <c r="K439">
        <v>25.71</v>
      </c>
      <c r="M439" t="s">
        <v>952</v>
      </c>
      <c r="N439">
        <v>53.94</v>
      </c>
      <c r="P439" t="s">
        <v>463</v>
      </c>
      <c r="Q439">
        <v>6.44</v>
      </c>
      <c r="S439" t="s">
        <v>436</v>
      </c>
      <c r="T439">
        <v>0.26900000000000002</v>
      </c>
      <c r="V439" t="s">
        <v>952</v>
      </c>
      <c r="W439">
        <v>27.76</v>
      </c>
      <c r="Y439" t="s">
        <v>957</v>
      </c>
      <c r="Z439">
        <v>2.0699999999999998</v>
      </c>
      <c r="AC439" s="4" t="s">
        <v>484</v>
      </c>
      <c r="AD439" s="5">
        <v>56221988</v>
      </c>
      <c r="AE439" s="5">
        <v>36678930</v>
      </c>
      <c r="AF439" s="5">
        <v>27043335</v>
      </c>
      <c r="AI439" t="s">
        <v>957</v>
      </c>
      <c r="AJ439">
        <v>23.66</v>
      </c>
      <c r="AL439" t="s">
        <v>436</v>
      </c>
      <c r="AM439">
        <v>6.73</v>
      </c>
      <c r="AO439" t="s">
        <v>436</v>
      </c>
      <c r="AP439">
        <v>66.16</v>
      </c>
      <c r="AQ439">
        <v>70.150000000000006</v>
      </c>
      <c r="AS439" t="s">
        <v>436</v>
      </c>
      <c r="AT439">
        <v>7.47</v>
      </c>
      <c r="AU439">
        <v>7.13</v>
      </c>
      <c r="AW439" t="s">
        <v>436</v>
      </c>
      <c r="AX439">
        <v>25.64</v>
      </c>
    </row>
    <row r="440" spans="1:50" x14ac:dyDescent="0.35">
      <c r="A440" t="s">
        <v>437</v>
      </c>
      <c r="B440">
        <v>92.53</v>
      </c>
      <c r="D440" t="s">
        <v>953</v>
      </c>
      <c r="E440">
        <v>66.38</v>
      </c>
      <c r="G440" t="s">
        <v>437</v>
      </c>
      <c r="H440">
        <v>0.45200000000000001</v>
      </c>
      <c r="J440" t="s">
        <v>953</v>
      </c>
      <c r="K440">
        <v>17.14</v>
      </c>
      <c r="M440" t="s">
        <v>953</v>
      </c>
      <c r="N440">
        <v>60.63</v>
      </c>
      <c r="P440" t="s">
        <v>464</v>
      </c>
      <c r="Q440">
        <v>10.84</v>
      </c>
      <c r="S440" t="s">
        <v>437</v>
      </c>
      <c r="T440">
        <v>0.308</v>
      </c>
      <c r="V440" t="s">
        <v>953</v>
      </c>
      <c r="W440">
        <v>32.36</v>
      </c>
      <c r="Y440" t="s">
        <v>958</v>
      </c>
      <c r="Z440">
        <v>2.12</v>
      </c>
      <c r="AC440" s="4" t="s">
        <v>482</v>
      </c>
      <c r="AD440" s="5">
        <v>62886511</v>
      </c>
      <c r="AE440" s="5">
        <v>38886741</v>
      </c>
      <c r="AF440" s="5">
        <v>36692457</v>
      </c>
      <c r="AI440" t="s">
        <v>958</v>
      </c>
      <c r="AJ440">
        <v>17.48</v>
      </c>
      <c r="AL440" t="s">
        <v>437</v>
      </c>
      <c r="AM440">
        <v>5.14</v>
      </c>
      <c r="AO440" t="s">
        <v>437</v>
      </c>
      <c r="AP440">
        <v>68.819999999999993</v>
      </c>
      <c r="AQ440">
        <v>72.760000000000005</v>
      </c>
      <c r="AS440" t="s">
        <v>437</v>
      </c>
      <c r="AT440">
        <v>8.33</v>
      </c>
      <c r="AU440">
        <v>8.16</v>
      </c>
      <c r="AW440" t="s">
        <v>437</v>
      </c>
      <c r="AX440">
        <v>33.75</v>
      </c>
    </row>
    <row r="441" spans="1:50" x14ac:dyDescent="0.35">
      <c r="A441" t="s">
        <v>438</v>
      </c>
      <c r="B441">
        <v>95.61</v>
      </c>
      <c r="D441" t="s">
        <v>954</v>
      </c>
      <c r="E441">
        <v>64.91</v>
      </c>
      <c r="G441" t="s">
        <v>438</v>
      </c>
      <c r="H441">
        <v>0.25</v>
      </c>
      <c r="J441" t="s">
        <v>954</v>
      </c>
      <c r="K441">
        <v>20</v>
      </c>
      <c r="M441" t="s">
        <v>954</v>
      </c>
      <c r="N441">
        <v>56.92</v>
      </c>
      <c r="P441" t="s">
        <v>466</v>
      </c>
      <c r="Q441">
        <v>13.99</v>
      </c>
      <c r="S441" t="s">
        <v>438</v>
      </c>
      <c r="T441">
        <v>0.25700000000000001</v>
      </c>
      <c r="V441" t="s">
        <v>954</v>
      </c>
      <c r="W441">
        <v>26.59</v>
      </c>
      <c r="Y441" t="s">
        <v>959</v>
      </c>
      <c r="Z441">
        <v>2.33</v>
      </c>
      <c r="AC441" s="4" t="s">
        <v>488</v>
      </c>
      <c r="AD441" s="5">
        <v>33899107</v>
      </c>
      <c r="AE441" s="5">
        <v>28980681</v>
      </c>
      <c r="AF441" s="5">
        <v>12526696</v>
      </c>
      <c r="AI441" t="s">
        <v>959</v>
      </c>
      <c r="AJ441">
        <v>16.95</v>
      </c>
      <c r="AL441" t="s">
        <v>438</v>
      </c>
      <c r="AM441">
        <v>8.9</v>
      </c>
      <c r="AO441" t="s">
        <v>438</v>
      </c>
      <c r="AP441">
        <v>68.569999999999993</v>
      </c>
      <c r="AQ441">
        <v>72.5</v>
      </c>
      <c r="AS441" t="s">
        <v>438</v>
      </c>
      <c r="AT441">
        <v>8.5399999999999991</v>
      </c>
      <c r="AU441">
        <v>8.07</v>
      </c>
      <c r="AW441" t="s">
        <v>438</v>
      </c>
      <c r="AX441">
        <v>34.97</v>
      </c>
    </row>
    <row r="442" spans="1:50" x14ac:dyDescent="0.35">
      <c r="A442" t="s">
        <v>439</v>
      </c>
      <c r="B442">
        <v>97.93</v>
      </c>
      <c r="D442" t="s">
        <v>955</v>
      </c>
      <c r="E442">
        <v>58.61</v>
      </c>
      <c r="G442" t="s">
        <v>439</v>
      </c>
      <c r="H442">
        <v>0.27600000000000002</v>
      </c>
      <c r="J442" t="s">
        <v>955</v>
      </c>
      <c r="K442">
        <v>8.89</v>
      </c>
      <c r="M442" t="s">
        <v>955</v>
      </c>
      <c r="N442">
        <v>64.23</v>
      </c>
      <c r="P442" t="s">
        <v>467</v>
      </c>
      <c r="Q442">
        <v>14.97</v>
      </c>
      <c r="S442" t="s">
        <v>439</v>
      </c>
      <c r="T442">
        <v>0.20499999999999999</v>
      </c>
      <c r="V442" t="s">
        <v>955</v>
      </c>
      <c r="W442">
        <v>33.32</v>
      </c>
      <c r="Y442" t="s">
        <v>960</v>
      </c>
      <c r="Z442">
        <v>2.57</v>
      </c>
      <c r="AC442" s="4" t="s">
        <v>485</v>
      </c>
      <c r="AD442" s="5">
        <v>56794486</v>
      </c>
      <c r="AE442" s="5">
        <v>32380666</v>
      </c>
      <c r="AF442" s="5">
        <v>62521551</v>
      </c>
      <c r="AI442" t="s">
        <v>960</v>
      </c>
      <c r="AJ442">
        <v>18.940000000000001</v>
      </c>
      <c r="AL442" t="s">
        <v>439</v>
      </c>
      <c r="AM442">
        <v>12.69</v>
      </c>
      <c r="AO442" t="s">
        <v>439</v>
      </c>
      <c r="AP442">
        <v>69.41</v>
      </c>
      <c r="AQ442">
        <v>73.38</v>
      </c>
      <c r="AS442" t="s">
        <v>439</v>
      </c>
      <c r="AT442">
        <v>9.3000000000000007</v>
      </c>
      <c r="AU442">
        <v>8.6999999999999993</v>
      </c>
      <c r="AW442" t="s">
        <v>439</v>
      </c>
      <c r="AX442">
        <v>40.9</v>
      </c>
    </row>
    <row r="443" spans="1:50" x14ac:dyDescent="0.35">
      <c r="A443" t="s">
        <v>440</v>
      </c>
      <c r="B443">
        <v>92.79</v>
      </c>
      <c r="D443" t="s">
        <v>956</v>
      </c>
      <c r="E443">
        <v>74.599999999999994</v>
      </c>
      <c r="G443" t="s">
        <v>440</v>
      </c>
      <c r="H443">
        <v>0.53500000000000003</v>
      </c>
      <c r="J443" t="s">
        <v>956</v>
      </c>
      <c r="K443">
        <v>26.67</v>
      </c>
      <c r="M443" t="s">
        <v>956</v>
      </c>
      <c r="N443">
        <v>60.74</v>
      </c>
      <c r="P443" t="s">
        <v>468</v>
      </c>
      <c r="Q443">
        <v>18.72</v>
      </c>
      <c r="S443" t="s">
        <v>440</v>
      </c>
      <c r="T443">
        <v>0.29499999999999998</v>
      </c>
      <c r="V443" t="s">
        <v>956</v>
      </c>
      <c r="W443">
        <v>34.229999999999997</v>
      </c>
      <c r="Y443" t="s">
        <v>961</v>
      </c>
      <c r="Z443">
        <v>2.41</v>
      </c>
      <c r="AC443" s="4" t="s">
        <v>486</v>
      </c>
      <c r="AD443" s="5">
        <v>54521079</v>
      </c>
      <c r="AE443" s="5">
        <v>26837813</v>
      </c>
      <c r="AF443" s="5">
        <v>25123479</v>
      </c>
      <c r="AI443" t="s">
        <v>961</v>
      </c>
      <c r="AJ443">
        <v>22.92</v>
      </c>
      <c r="AL443" t="s">
        <v>440</v>
      </c>
      <c r="AM443">
        <v>12.71</v>
      </c>
      <c r="AO443" t="s">
        <v>440</v>
      </c>
      <c r="AP443">
        <v>69.069999999999993</v>
      </c>
      <c r="AQ443">
        <v>73.02</v>
      </c>
      <c r="AS443" t="s">
        <v>440</v>
      </c>
      <c r="AT443">
        <v>8.86</v>
      </c>
      <c r="AU443">
        <v>8.61</v>
      </c>
      <c r="AW443" t="s">
        <v>440</v>
      </c>
      <c r="AX443">
        <v>38.35</v>
      </c>
    </row>
    <row r="444" spans="1:50" x14ac:dyDescent="0.35">
      <c r="A444" t="s">
        <v>441</v>
      </c>
      <c r="B444">
        <v>88.54</v>
      </c>
      <c r="D444" t="s">
        <v>957</v>
      </c>
      <c r="E444">
        <v>57.9</v>
      </c>
      <c r="G444" t="s">
        <v>441</v>
      </c>
      <c r="H444">
        <v>0.501</v>
      </c>
      <c r="J444" t="s">
        <v>957</v>
      </c>
      <c r="K444">
        <v>10</v>
      </c>
      <c r="M444" t="s">
        <v>957</v>
      </c>
      <c r="N444">
        <v>52.31</v>
      </c>
      <c r="P444" t="s">
        <v>469</v>
      </c>
      <c r="Q444">
        <v>16.03</v>
      </c>
      <c r="S444" t="s">
        <v>441</v>
      </c>
      <c r="T444">
        <v>0.31900000000000001</v>
      </c>
      <c r="V444" t="s">
        <v>957</v>
      </c>
      <c r="W444">
        <v>28.02</v>
      </c>
      <c r="Y444" t="s">
        <v>962</v>
      </c>
      <c r="Z444">
        <v>2.62</v>
      </c>
      <c r="AC444" s="4" t="s">
        <v>1136</v>
      </c>
      <c r="AD444" s="5">
        <v>6533885</v>
      </c>
      <c r="AE444" s="5">
        <v>20609379</v>
      </c>
      <c r="AF444" s="5">
        <v>53645574</v>
      </c>
      <c r="AI444" t="s">
        <v>962</v>
      </c>
      <c r="AJ444">
        <v>16.649999999999999</v>
      </c>
      <c r="AL444" t="s">
        <v>441</v>
      </c>
      <c r="AM444">
        <v>12.48</v>
      </c>
      <c r="AO444" t="s">
        <v>441</v>
      </c>
      <c r="AP444">
        <v>72.23</v>
      </c>
      <c r="AQ444">
        <v>75.95</v>
      </c>
      <c r="AS444" t="s">
        <v>441</v>
      </c>
      <c r="AT444">
        <v>8.83</v>
      </c>
      <c r="AU444">
        <v>8.51</v>
      </c>
      <c r="AW444" t="s">
        <v>441</v>
      </c>
      <c r="AX444">
        <v>39.909999999999997</v>
      </c>
    </row>
    <row r="445" spans="1:50" x14ac:dyDescent="0.35">
      <c r="A445" t="s">
        <v>442</v>
      </c>
      <c r="B445">
        <v>90.2</v>
      </c>
      <c r="D445" t="s">
        <v>958</v>
      </c>
      <c r="E445">
        <v>60.37</v>
      </c>
      <c r="G445" t="s">
        <v>442</v>
      </c>
      <c r="H445">
        <v>0.51200000000000001</v>
      </c>
      <c r="J445" t="s">
        <v>958</v>
      </c>
      <c r="K445">
        <v>11.43</v>
      </c>
      <c r="M445" t="s">
        <v>958</v>
      </c>
      <c r="N445">
        <v>52.23</v>
      </c>
      <c r="P445" t="s">
        <v>470</v>
      </c>
      <c r="Q445">
        <v>18.899999999999999</v>
      </c>
      <c r="S445" t="s">
        <v>442</v>
      </c>
      <c r="T445">
        <v>0.34799999999999998</v>
      </c>
      <c r="V445" t="s">
        <v>958</v>
      </c>
      <c r="W445">
        <v>29.72</v>
      </c>
      <c r="Y445" t="s">
        <v>963</v>
      </c>
      <c r="Z445">
        <v>2.27</v>
      </c>
      <c r="AC445" s="4" t="s">
        <v>521</v>
      </c>
      <c r="AD445" s="5">
        <v>74799001</v>
      </c>
      <c r="AE445" s="5">
        <v>28395754</v>
      </c>
      <c r="AF445" s="5">
        <v>14349986</v>
      </c>
      <c r="AI445" t="s">
        <v>963</v>
      </c>
      <c r="AJ445">
        <v>22.58</v>
      </c>
      <c r="AL445" t="s">
        <v>442</v>
      </c>
      <c r="AM445">
        <v>12.66</v>
      </c>
      <c r="AO445" t="s">
        <v>442</v>
      </c>
      <c r="AP445">
        <v>67.430000000000007</v>
      </c>
      <c r="AQ445">
        <v>71.39</v>
      </c>
      <c r="AS445" t="s">
        <v>442</v>
      </c>
      <c r="AT445">
        <v>8.2899999999999991</v>
      </c>
      <c r="AU445">
        <v>7.94</v>
      </c>
      <c r="AW445" t="s">
        <v>442</v>
      </c>
      <c r="AX445">
        <v>33.270000000000003</v>
      </c>
    </row>
    <row r="446" spans="1:50" x14ac:dyDescent="0.35">
      <c r="A446" t="s">
        <v>443</v>
      </c>
      <c r="B446">
        <v>90.34</v>
      </c>
      <c r="D446" t="s">
        <v>959</v>
      </c>
      <c r="E446">
        <v>68.92</v>
      </c>
      <c r="G446" t="s">
        <v>443</v>
      </c>
      <c r="H446">
        <v>0.43099999999999999</v>
      </c>
      <c r="J446" t="s">
        <v>959</v>
      </c>
      <c r="K446">
        <v>15</v>
      </c>
      <c r="M446" t="s">
        <v>959</v>
      </c>
      <c r="N446">
        <v>56.55</v>
      </c>
      <c r="P446" t="s">
        <v>471</v>
      </c>
      <c r="Q446">
        <v>10.84</v>
      </c>
      <c r="S446" t="s">
        <v>443</v>
      </c>
      <c r="T446">
        <v>0.28199999999999997</v>
      </c>
      <c r="V446" t="s">
        <v>959</v>
      </c>
      <c r="W446">
        <v>35.94</v>
      </c>
      <c r="Y446" t="s">
        <v>964</v>
      </c>
      <c r="Z446">
        <v>2.31</v>
      </c>
      <c r="AC446" s="4" t="s">
        <v>518</v>
      </c>
      <c r="AD446" s="5">
        <v>77568955</v>
      </c>
      <c r="AE446" s="5">
        <v>48790703</v>
      </c>
      <c r="AF446" s="5">
        <v>23563362</v>
      </c>
      <c r="AI446" t="s">
        <v>964</v>
      </c>
      <c r="AJ446">
        <v>18.14</v>
      </c>
      <c r="AL446" t="s">
        <v>443</v>
      </c>
      <c r="AM446">
        <v>6.93</v>
      </c>
      <c r="AO446" t="s">
        <v>443</v>
      </c>
      <c r="AP446">
        <v>69.260000000000005</v>
      </c>
      <c r="AQ446">
        <v>73.22</v>
      </c>
      <c r="AS446" t="s">
        <v>443</v>
      </c>
      <c r="AT446">
        <v>9.15</v>
      </c>
      <c r="AU446">
        <v>8.68</v>
      </c>
      <c r="AW446" t="s">
        <v>443</v>
      </c>
      <c r="AX446">
        <v>40.909999999999997</v>
      </c>
    </row>
    <row r="447" spans="1:50" x14ac:dyDescent="0.35">
      <c r="A447" t="s">
        <v>444</v>
      </c>
      <c r="B447">
        <v>87.8</v>
      </c>
      <c r="D447" t="s">
        <v>960</v>
      </c>
      <c r="E447">
        <v>64.680000000000007</v>
      </c>
      <c r="G447" t="s">
        <v>444</v>
      </c>
      <c r="H447">
        <v>0.45400000000000001</v>
      </c>
      <c r="J447" t="s">
        <v>960</v>
      </c>
      <c r="K447">
        <v>10</v>
      </c>
      <c r="M447" t="s">
        <v>960</v>
      </c>
      <c r="N447">
        <v>55.19</v>
      </c>
      <c r="P447" t="s">
        <v>473</v>
      </c>
      <c r="Q447">
        <v>6.66</v>
      </c>
      <c r="S447" t="s">
        <v>444</v>
      </c>
      <c r="T447">
        <v>0.32</v>
      </c>
      <c r="V447" t="s">
        <v>960</v>
      </c>
      <c r="W447">
        <v>37.44</v>
      </c>
      <c r="Y447" t="s">
        <v>965</v>
      </c>
      <c r="Z447">
        <v>3</v>
      </c>
      <c r="AC447" s="4" t="s">
        <v>520</v>
      </c>
      <c r="AD447" s="5">
        <v>65800934</v>
      </c>
      <c r="AE447" s="5">
        <v>28121558</v>
      </c>
      <c r="AF447" s="5">
        <v>26293077</v>
      </c>
      <c r="AI447" t="s">
        <v>965</v>
      </c>
      <c r="AJ447">
        <v>14.33</v>
      </c>
      <c r="AL447" t="s">
        <v>444</v>
      </c>
      <c r="AM447">
        <v>12.12</v>
      </c>
      <c r="AO447" t="s">
        <v>444</v>
      </c>
      <c r="AP447">
        <v>72.06</v>
      </c>
      <c r="AQ447">
        <v>75.8</v>
      </c>
      <c r="AS447" t="s">
        <v>444</v>
      </c>
      <c r="AT447">
        <v>8.75</v>
      </c>
      <c r="AU447">
        <v>8.49</v>
      </c>
      <c r="AW447" t="s">
        <v>444</v>
      </c>
      <c r="AX447">
        <v>45.89</v>
      </c>
    </row>
    <row r="448" spans="1:50" x14ac:dyDescent="0.35">
      <c r="A448" t="s">
        <v>1089</v>
      </c>
      <c r="B448">
        <v>94.65</v>
      </c>
      <c r="D448" t="s">
        <v>961</v>
      </c>
      <c r="E448">
        <v>55.34</v>
      </c>
      <c r="G448" t="s">
        <v>1089</v>
      </c>
      <c r="H448">
        <v>0.186</v>
      </c>
      <c r="J448" t="s">
        <v>961</v>
      </c>
      <c r="K448">
        <v>2.86</v>
      </c>
      <c r="M448" t="s">
        <v>961</v>
      </c>
      <c r="N448">
        <v>57.63</v>
      </c>
      <c r="P448" t="s">
        <v>474</v>
      </c>
      <c r="Q448">
        <v>8.65</v>
      </c>
      <c r="S448" t="s">
        <v>1089</v>
      </c>
      <c r="T448">
        <v>0.20399999999999999</v>
      </c>
      <c r="V448" t="s">
        <v>961</v>
      </c>
      <c r="W448">
        <v>36.450000000000003</v>
      </c>
      <c r="Y448" t="s">
        <v>966</v>
      </c>
      <c r="Z448">
        <v>2.02</v>
      </c>
      <c r="AC448" s="4" t="s">
        <v>544</v>
      </c>
      <c r="AD448" s="5">
        <v>70727347</v>
      </c>
      <c r="AE448" s="5">
        <v>28662731</v>
      </c>
      <c r="AF448" s="5">
        <v>1438512</v>
      </c>
      <c r="AI448" t="s">
        <v>966</v>
      </c>
      <c r="AJ448">
        <v>13.55</v>
      </c>
      <c r="AL448" t="s">
        <v>1089</v>
      </c>
      <c r="AM448">
        <v>5.07</v>
      </c>
      <c r="AO448" t="s">
        <v>445</v>
      </c>
      <c r="AP448">
        <v>70.63</v>
      </c>
      <c r="AQ448">
        <v>74.66</v>
      </c>
      <c r="AS448" t="s">
        <v>445</v>
      </c>
      <c r="AT448">
        <v>11.77</v>
      </c>
      <c r="AU448">
        <v>11.29</v>
      </c>
      <c r="AW448" t="s">
        <v>966</v>
      </c>
      <c r="AX448">
        <v>67.13</v>
      </c>
    </row>
    <row r="449" spans="1:50" x14ac:dyDescent="0.35">
      <c r="A449" t="s">
        <v>1090</v>
      </c>
      <c r="B449">
        <v>97.06</v>
      </c>
      <c r="D449" t="s">
        <v>962</v>
      </c>
      <c r="E449">
        <v>70.290000000000006</v>
      </c>
      <c r="G449" t="s">
        <v>1090</v>
      </c>
      <c r="H449">
        <v>0.20699999999999999</v>
      </c>
      <c r="J449" t="s">
        <v>962</v>
      </c>
      <c r="K449">
        <v>13.33</v>
      </c>
      <c r="M449" t="s">
        <v>962</v>
      </c>
      <c r="N449">
        <v>58.42</v>
      </c>
      <c r="P449" t="s">
        <v>475</v>
      </c>
      <c r="Q449">
        <v>14.95</v>
      </c>
      <c r="S449" t="s">
        <v>1090</v>
      </c>
      <c r="T449">
        <v>0.26700000000000002</v>
      </c>
      <c r="V449" t="s">
        <v>962</v>
      </c>
      <c r="W449">
        <v>45.65</v>
      </c>
      <c r="Y449" t="s">
        <v>967</v>
      </c>
      <c r="Z449">
        <v>2.35</v>
      </c>
      <c r="AC449" s="4" t="s">
        <v>531</v>
      </c>
      <c r="AD449" s="5">
        <v>71656543</v>
      </c>
      <c r="AE449" s="5">
        <v>37081454</v>
      </c>
      <c r="AF449" s="5">
        <v>87745258</v>
      </c>
      <c r="AI449" t="s">
        <v>1090</v>
      </c>
      <c r="AJ449">
        <v>16.79</v>
      </c>
      <c r="AL449" t="s">
        <v>1090</v>
      </c>
      <c r="AM449">
        <v>5.34</v>
      </c>
      <c r="AO449" t="s">
        <v>1090</v>
      </c>
      <c r="AP449">
        <v>69.83</v>
      </c>
      <c r="AQ449">
        <v>73.819999999999993</v>
      </c>
      <c r="AS449" t="s">
        <v>1169</v>
      </c>
      <c r="AT449">
        <v>11.03</v>
      </c>
      <c r="AU449">
        <v>10.5</v>
      </c>
      <c r="AW449" t="s">
        <v>1090</v>
      </c>
      <c r="AX449">
        <v>59.42</v>
      </c>
    </row>
    <row r="450" spans="1:50" x14ac:dyDescent="0.35">
      <c r="A450" t="s">
        <v>446</v>
      </c>
      <c r="B450">
        <v>97.61</v>
      </c>
      <c r="D450" t="s">
        <v>963</v>
      </c>
      <c r="E450">
        <v>47.63</v>
      </c>
      <c r="G450" t="s">
        <v>446</v>
      </c>
      <c r="H450">
        <v>0.27300000000000002</v>
      </c>
      <c r="J450" t="s">
        <v>963</v>
      </c>
      <c r="K450">
        <v>5.71</v>
      </c>
      <c r="M450" t="s">
        <v>963</v>
      </c>
      <c r="N450">
        <v>56.17</v>
      </c>
      <c r="P450" t="s">
        <v>476</v>
      </c>
      <c r="Q450">
        <v>7.35</v>
      </c>
      <c r="S450" t="s">
        <v>446</v>
      </c>
      <c r="T450">
        <v>0.29299999999999998</v>
      </c>
      <c r="V450" t="s">
        <v>963</v>
      </c>
      <c r="W450">
        <v>21.18</v>
      </c>
      <c r="Y450" t="s">
        <v>968</v>
      </c>
      <c r="Z450">
        <v>2.2400000000000002</v>
      </c>
      <c r="AC450" s="4" t="s">
        <v>532</v>
      </c>
      <c r="AD450" s="5">
        <v>50121946</v>
      </c>
      <c r="AE450" s="5">
        <v>32462876</v>
      </c>
      <c r="AF450" s="5">
        <v>51681962</v>
      </c>
      <c r="AI450" t="s">
        <v>968</v>
      </c>
      <c r="AJ450">
        <v>18.98</v>
      </c>
      <c r="AL450" t="s">
        <v>446</v>
      </c>
      <c r="AM450">
        <v>7.69</v>
      </c>
      <c r="AO450" t="s">
        <v>446</v>
      </c>
      <c r="AP450">
        <v>69.459999999999994</v>
      </c>
      <c r="AQ450">
        <v>73.430000000000007</v>
      </c>
      <c r="AS450" t="s">
        <v>446</v>
      </c>
      <c r="AT450">
        <v>11.25</v>
      </c>
      <c r="AU450">
        <v>11.01</v>
      </c>
      <c r="AW450" t="s">
        <v>446</v>
      </c>
      <c r="AX450">
        <v>63.88</v>
      </c>
    </row>
    <row r="451" spans="1:50" x14ac:dyDescent="0.35">
      <c r="A451" t="s">
        <v>447</v>
      </c>
      <c r="B451">
        <v>91.2</v>
      </c>
      <c r="D451" t="s">
        <v>964</v>
      </c>
      <c r="E451">
        <v>53.38</v>
      </c>
      <c r="G451" t="s">
        <v>447</v>
      </c>
      <c r="H451">
        <v>0.49099999999999999</v>
      </c>
      <c r="J451" t="s">
        <v>964</v>
      </c>
      <c r="K451">
        <v>10</v>
      </c>
      <c r="M451" t="s">
        <v>964</v>
      </c>
      <c r="N451">
        <v>63.53</v>
      </c>
      <c r="P451" t="s">
        <v>1064</v>
      </c>
      <c r="Q451">
        <v>5.48</v>
      </c>
      <c r="S451" t="s">
        <v>447</v>
      </c>
      <c r="T451">
        <v>0.32700000000000001</v>
      </c>
      <c r="V451" t="s">
        <v>964</v>
      </c>
      <c r="W451">
        <v>23.95</v>
      </c>
      <c r="Y451" t="s">
        <v>447</v>
      </c>
      <c r="Z451">
        <v>2.57</v>
      </c>
      <c r="AC451" s="4" t="s">
        <v>533</v>
      </c>
      <c r="AD451" s="5">
        <v>47635319</v>
      </c>
      <c r="AE451" s="5">
        <v>33865410</v>
      </c>
      <c r="AF451" s="5">
        <v>63856759</v>
      </c>
      <c r="AI451" t="s">
        <v>447</v>
      </c>
      <c r="AJ451">
        <v>27.93</v>
      </c>
      <c r="AL451" t="s">
        <v>447</v>
      </c>
      <c r="AM451">
        <v>11.43</v>
      </c>
      <c r="AO451" t="s">
        <v>447</v>
      </c>
      <c r="AP451">
        <v>69.540000000000006</v>
      </c>
      <c r="AQ451">
        <v>73.510000000000005</v>
      </c>
      <c r="AS451" t="s">
        <v>447</v>
      </c>
      <c r="AT451">
        <v>9.61</v>
      </c>
      <c r="AU451">
        <v>9.01</v>
      </c>
      <c r="AW451" t="s">
        <v>447</v>
      </c>
      <c r="AX451">
        <v>37.9</v>
      </c>
    </row>
    <row r="452" spans="1:50" x14ac:dyDescent="0.35">
      <c r="A452" t="s">
        <v>448</v>
      </c>
      <c r="B452">
        <v>82.07</v>
      </c>
      <c r="D452" t="s">
        <v>965</v>
      </c>
      <c r="E452">
        <v>62.23</v>
      </c>
      <c r="G452" t="s">
        <v>448</v>
      </c>
      <c r="H452">
        <v>0.52800000000000002</v>
      </c>
      <c r="J452" t="s">
        <v>965</v>
      </c>
      <c r="K452">
        <v>10</v>
      </c>
      <c r="M452" t="s">
        <v>965</v>
      </c>
      <c r="N452">
        <v>61.86</v>
      </c>
      <c r="P452" t="s">
        <v>477</v>
      </c>
      <c r="Q452">
        <v>7.4</v>
      </c>
      <c r="S452" t="s">
        <v>448</v>
      </c>
      <c r="T452">
        <v>0.29499999999999998</v>
      </c>
      <c r="V452" t="s">
        <v>965</v>
      </c>
      <c r="W452">
        <v>35.71</v>
      </c>
      <c r="Y452" t="s">
        <v>969</v>
      </c>
      <c r="Z452">
        <v>2.83</v>
      </c>
      <c r="AC452" s="4" t="s">
        <v>534</v>
      </c>
      <c r="AD452" s="5">
        <v>55977510</v>
      </c>
      <c r="AE452" s="5">
        <v>26639477</v>
      </c>
      <c r="AF452" s="5">
        <v>33467753</v>
      </c>
      <c r="AI452" t="s">
        <v>969</v>
      </c>
      <c r="AJ452">
        <v>34.729999999999997</v>
      </c>
      <c r="AL452" t="s">
        <v>448</v>
      </c>
      <c r="AM452">
        <v>13.77</v>
      </c>
      <c r="AO452" t="s">
        <v>448</v>
      </c>
      <c r="AP452">
        <v>66.39</v>
      </c>
      <c r="AQ452">
        <v>70.69</v>
      </c>
      <c r="AS452" t="s">
        <v>448</v>
      </c>
      <c r="AT452">
        <v>9.3800000000000008</v>
      </c>
      <c r="AU452">
        <v>7.82</v>
      </c>
      <c r="AW452" t="s">
        <v>448</v>
      </c>
      <c r="AX452">
        <v>34.43</v>
      </c>
    </row>
    <row r="453" spans="1:50" x14ac:dyDescent="0.35">
      <c r="A453" t="s">
        <v>449</v>
      </c>
      <c r="B453">
        <v>88.13</v>
      </c>
      <c r="D453" t="s">
        <v>966</v>
      </c>
      <c r="E453">
        <v>78.13</v>
      </c>
      <c r="G453" t="s">
        <v>449</v>
      </c>
      <c r="H453">
        <v>0.52900000000000003</v>
      </c>
      <c r="J453" t="s">
        <v>966</v>
      </c>
      <c r="K453">
        <v>26</v>
      </c>
      <c r="M453" t="s">
        <v>966</v>
      </c>
      <c r="N453">
        <v>47.2</v>
      </c>
      <c r="P453" t="s">
        <v>1063</v>
      </c>
      <c r="Q453">
        <v>34.049999999999997</v>
      </c>
      <c r="S453" t="s">
        <v>449</v>
      </c>
      <c r="T453">
        <v>0.255</v>
      </c>
      <c r="V453" t="s">
        <v>966</v>
      </c>
      <c r="W453">
        <v>34.86</v>
      </c>
      <c r="Y453" t="s">
        <v>970</v>
      </c>
      <c r="Z453">
        <v>2.75</v>
      </c>
      <c r="AC453" s="4" t="s">
        <v>535</v>
      </c>
      <c r="AD453" s="5">
        <v>54291784</v>
      </c>
      <c r="AE453" s="5">
        <v>33439071</v>
      </c>
      <c r="AF453" s="5">
        <v>138475950</v>
      </c>
      <c r="AI453" t="s">
        <v>970</v>
      </c>
      <c r="AJ453">
        <v>28.26</v>
      </c>
      <c r="AL453" t="s">
        <v>449</v>
      </c>
      <c r="AM453">
        <v>14.07</v>
      </c>
      <c r="AO453" t="s">
        <v>449</v>
      </c>
      <c r="AP453">
        <v>68.44</v>
      </c>
      <c r="AQ453">
        <v>72.7</v>
      </c>
      <c r="AS453" t="s">
        <v>449</v>
      </c>
      <c r="AT453">
        <v>9.43</v>
      </c>
      <c r="AU453">
        <v>8.1300000000000008</v>
      </c>
      <c r="AW453" t="s">
        <v>449</v>
      </c>
      <c r="AX453">
        <v>30.59</v>
      </c>
    </row>
    <row r="454" spans="1:50" x14ac:dyDescent="0.35">
      <c r="A454" t="s">
        <v>450</v>
      </c>
      <c r="B454">
        <v>93.76</v>
      </c>
      <c r="D454" t="s">
        <v>967</v>
      </c>
      <c r="E454">
        <v>71.849999999999994</v>
      </c>
      <c r="G454" t="s">
        <v>450</v>
      </c>
      <c r="H454">
        <v>0.52700000000000002</v>
      </c>
      <c r="J454" t="s">
        <v>967</v>
      </c>
      <c r="K454">
        <v>20</v>
      </c>
      <c r="M454" t="s">
        <v>967</v>
      </c>
      <c r="N454">
        <v>51.22</v>
      </c>
      <c r="P454" t="s">
        <v>479</v>
      </c>
      <c r="Q454">
        <v>31.66</v>
      </c>
      <c r="S454" t="s">
        <v>450</v>
      </c>
      <c r="T454">
        <v>0.45</v>
      </c>
      <c r="V454" t="s">
        <v>967</v>
      </c>
      <c r="W454">
        <v>33.03</v>
      </c>
      <c r="Y454" t="s">
        <v>971</v>
      </c>
      <c r="Z454">
        <v>2.64</v>
      </c>
      <c r="AC454" s="4" t="s">
        <v>1137</v>
      </c>
      <c r="AD454" s="5">
        <v>103022690</v>
      </c>
      <c r="AE454" s="5">
        <v>19875707</v>
      </c>
      <c r="AF454" s="5">
        <v>83248457</v>
      </c>
      <c r="AI454" t="s">
        <v>971</v>
      </c>
      <c r="AJ454">
        <v>23.14</v>
      </c>
      <c r="AL454" t="s">
        <v>450</v>
      </c>
      <c r="AM454">
        <v>13.02</v>
      </c>
      <c r="AO454" t="s">
        <v>450</v>
      </c>
      <c r="AP454">
        <v>68.319999999999993</v>
      </c>
      <c r="AQ454">
        <v>72.58</v>
      </c>
      <c r="AS454" t="s">
        <v>450</v>
      </c>
      <c r="AT454">
        <v>9.98</v>
      </c>
      <c r="AU454">
        <v>9.3000000000000007</v>
      </c>
      <c r="AW454" t="s">
        <v>450</v>
      </c>
      <c r="AX454">
        <v>38.75</v>
      </c>
    </row>
    <row r="455" spans="1:50" x14ac:dyDescent="0.35">
      <c r="A455" t="s">
        <v>451</v>
      </c>
      <c r="B455">
        <v>90.25</v>
      </c>
      <c r="D455" t="s">
        <v>968</v>
      </c>
      <c r="E455">
        <v>78.19</v>
      </c>
      <c r="G455" t="s">
        <v>451</v>
      </c>
      <c r="H455">
        <v>0.46400000000000002</v>
      </c>
      <c r="J455" t="s">
        <v>968</v>
      </c>
      <c r="K455">
        <v>28</v>
      </c>
      <c r="M455" t="s">
        <v>968</v>
      </c>
      <c r="N455">
        <v>54.39</v>
      </c>
      <c r="P455" t="s">
        <v>480</v>
      </c>
      <c r="Q455">
        <v>34.619999999999997</v>
      </c>
      <c r="S455" t="s">
        <v>451</v>
      </c>
      <c r="T455">
        <v>0.32200000000000001</v>
      </c>
      <c r="V455" t="s">
        <v>968</v>
      </c>
      <c r="W455">
        <v>34.159999999999997</v>
      </c>
      <c r="Y455" t="s">
        <v>972</v>
      </c>
      <c r="Z455">
        <v>2.34</v>
      </c>
      <c r="AC455" s="4" t="s">
        <v>491</v>
      </c>
      <c r="AD455" s="5">
        <v>33112092</v>
      </c>
      <c r="AE455" s="5">
        <v>33277816</v>
      </c>
      <c r="AF455" s="5">
        <v>22004519</v>
      </c>
      <c r="AI455" t="s">
        <v>972</v>
      </c>
      <c r="AJ455">
        <v>20.55</v>
      </c>
      <c r="AL455" t="s">
        <v>451</v>
      </c>
      <c r="AM455">
        <v>11.8</v>
      </c>
      <c r="AO455" t="s">
        <v>451</v>
      </c>
      <c r="AP455">
        <v>69.33</v>
      </c>
      <c r="AQ455">
        <v>73.56</v>
      </c>
      <c r="AS455" t="s">
        <v>451</v>
      </c>
      <c r="AT455">
        <v>9.58</v>
      </c>
      <c r="AU455">
        <v>9.2100000000000009</v>
      </c>
      <c r="AW455" t="s">
        <v>451</v>
      </c>
      <c r="AX455">
        <v>38.869999999999997</v>
      </c>
    </row>
    <row r="456" spans="1:50" x14ac:dyDescent="0.35">
      <c r="A456" t="s">
        <v>452</v>
      </c>
      <c r="B456">
        <v>88.7</v>
      </c>
      <c r="D456" t="s">
        <v>447</v>
      </c>
      <c r="E456">
        <v>73.58</v>
      </c>
      <c r="G456" t="s">
        <v>452</v>
      </c>
      <c r="H456">
        <v>0.41</v>
      </c>
      <c r="J456" t="s">
        <v>447</v>
      </c>
      <c r="K456">
        <v>20</v>
      </c>
      <c r="M456" t="s">
        <v>447</v>
      </c>
      <c r="N456">
        <v>50.47</v>
      </c>
      <c r="P456" t="s">
        <v>481</v>
      </c>
      <c r="Q456">
        <v>28.23</v>
      </c>
      <c r="S456" t="s">
        <v>452</v>
      </c>
      <c r="T456">
        <v>0.36199999999999999</v>
      </c>
      <c r="V456" t="s">
        <v>447</v>
      </c>
      <c r="W456">
        <v>36.24</v>
      </c>
      <c r="Y456" t="s">
        <v>973</v>
      </c>
      <c r="Z456">
        <v>2.61</v>
      </c>
      <c r="AC456" s="4" t="s">
        <v>498</v>
      </c>
      <c r="AD456" s="5">
        <v>47267429</v>
      </c>
      <c r="AE456" s="5">
        <v>24518304</v>
      </c>
      <c r="AF456" s="5">
        <v>3032095</v>
      </c>
      <c r="AI456" t="s">
        <v>973</v>
      </c>
      <c r="AJ456">
        <v>28.02</v>
      </c>
      <c r="AL456" t="s">
        <v>452</v>
      </c>
      <c r="AM456">
        <v>11.26</v>
      </c>
      <c r="AO456" t="s">
        <v>452</v>
      </c>
      <c r="AP456">
        <v>68.91</v>
      </c>
      <c r="AQ456">
        <v>73.16</v>
      </c>
      <c r="AS456" t="s">
        <v>452</v>
      </c>
      <c r="AT456">
        <v>8.8699999999999992</v>
      </c>
      <c r="AU456">
        <v>8.14</v>
      </c>
      <c r="AW456" t="s">
        <v>452</v>
      </c>
      <c r="AX456">
        <v>27.43</v>
      </c>
    </row>
    <row r="457" spans="1:50" x14ac:dyDescent="0.35">
      <c r="A457" t="s">
        <v>453</v>
      </c>
      <c r="B457">
        <v>85.92</v>
      </c>
      <c r="D457" t="s">
        <v>969</v>
      </c>
      <c r="E457">
        <v>70.37</v>
      </c>
      <c r="G457" t="s">
        <v>453</v>
      </c>
      <c r="H457">
        <v>0.48599999999999999</v>
      </c>
      <c r="J457" t="s">
        <v>969</v>
      </c>
      <c r="K457">
        <v>16</v>
      </c>
      <c r="M457" t="s">
        <v>969</v>
      </c>
      <c r="N457">
        <v>52.29</v>
      </c>
      <c r="P457" t="s">
        <v>482</v>
      </c>
      <c r="Q457">
        <v>31.68</v>
      </c>
      <c r="S457" t="s">
        <v>453</v>
      </c>
      <c r="T457">
        <v>0.35</v>
      </c>
      <c r="V457" t="s">
        <v>969</v>
      </c>
      <c r="W457">
        <v>35.17</v>
      </c>
      <c r="Y457" t="s">
        <v>974</v>
      </c>
      <c r="Z457">
        <v>2.71</v>
      </c>
      <c r="AC457" s="4" t="s">
        <v>490</v>
      </c>
      <c r="AD457" s="5">
        <v>43935818</v>
      </c>
      <c r="AE457" s="5">
        <v>35729879</v>
      </c>
      <c r="AF457" s="5">
        <v>15728177</v>
      </c>
      <c r="AI457" t="s">
        <v>974</v>
      </c>
      <c r="AJ457">
        <v>32.979999999999997</v>
      </c>
      <c r="AL457" t="s">
        <v>453</v>
      </c>
      <c r="AM457">
        <v>10.73</v>
      </c>
      <c r="AO457" t="s">
        <v>453</v>
      </c>
      <c r="AP457">
        <v>67.19</v>
      </c>
      <c r="AQ457">
        <v>71.47</v>
      </c>
      <c r="AS457" t="s">
        <v>453</v>
      </c>
      <c r="AT457">
        <v>8.4600000000000009</v>
      </c>
      <c r="AU457">
        <v>8</v>
      </c>
      <c r="AW457" t="s">
        <v>453</v>
      </c>
      <c r="AX457">
        <v>30.24</v>
      </c>
    </row>
    <row r="458" spans="1:50" x14ac:dyDescent="0.35">
      <c r="A458" t="s">
        <v>454</v>
      </c>
      <c r="B458">
        <v>89.32</v>
      </c>
      <c r="D458" t="s">
        <v>970</v>
      </c>
      <c r="E458">
        <v>65.12</v>
      </c>
      <c r="G458" t="s">
        <v>454</v>
      </c>
      <c r="H458">
        <v>0.42899999999999999</v>
      </c>
      <c r="J458" t="s">
        <v>970</v>
      </c>
      <c r="K458">
        <v>13.33</v>
      </c>
      <c r="M458" t="s">
        <v>970</v>
      </c>
      <c r="N458">
        <v>57.87</v>
      </c>
      <c r="P458" t="s">
        <v>483</v>
      </c>
      <c r="Q458">
        <v>32.700000000000003</v>
      </c>
      <c r="S458" t="s">
        <v>454</v>
      </c>
      <c r="T458">
        <v>0.27600000000000002</v>
      </c>
      <c r="V458" t="s">
        <v>970</v>
      </c>
      <c r="W458">
        <v>36.25</v>
      </c>
      <c r="Y458" t="s">
        <v>975</v>
      </c>
      <c r="Z458">
        <v>2.74</v>
      </c>
      <c r="AC458" s="4" t="s">
        <v>495</v>
      </c>
      <c r="AD458" s="5">
        <v>41396914</v>
      </c>
      <c r="AE458" s="5">
        <v>22731000</v>
      </c>
      <c r="AF458" s="5">
        <v>44854429</v>
      </c>
      <c r="AI458" t="s">
        <v>975</v>
      </c>
      <c r="AJ458">
        <v>32.61</v>
      </c>
      <c r="AL458" t="s">
        <v>454</v>
      </c>
      <c r="AM458">
        <v>14.81</v>
      </c>
      <c r="AO458" t="s">
        <v>454</v>
      </c>
      <c r="AP458">
        <v>68.61</v>
      </c>
      <c r="AQ458">
        <v>72.86</v>
      </c>
      <c r="AS458" t="s">
        <v>454</v>
      </c>
      <c r="AT458">
        <v>9.07</v>
      </c>
      <c r="AU458">
        <v>8.1300000000000008</v>
      </c>
      <c r="AW458" t="s">
        <v>454</v>
      </c>
      <c r="AX458">
        <v>32.880000000000003</v>
      </c>
    </row>
    <row r="459" spans="1:50" x14ac:dyDescent="0.35">
      <c r="A459" t="s">
        <v>455</v>
      </c>
      <c r="B459">
        <v>98.48</v>
      </c>
      <c r="D459" t="s">
        <v>971</v>
      </c>
      <c r="E459">
        <v>80.13</v>
      </c>
      <c r="G459" t="s">
        <v>455</v>
      </c>
      <c r="H459">
        <v>0.439</v>
      </c>
      <c r="J459" t="s">
        <v>971</v>
      </c>
      <c r="K459">
        <v>31.03</v>
      </c>
      <c r="M459" t="s">
        <v>971</v>
      </c>
      <c r="N459">
        <v>38.880000000000003</v>
      </c>
      <c r="P459" t="s">
        <v>484</v>
      </c>
      <c r="Q459">
        <v>31.79</v>
      </c>
      <c r="S459" t="s">
        <v>455</v>
      </c>
      <c r="T459">
        <v>0.39200000000000002</v>
      </c>
      <c r="V459" t="s">
        <v>971</v>
      </c>
      <c r="W459">
        <v>36.93</v>
      </c>
      <c r="Y459" t="s">
        <v>976</v>
      </c>
      <c r="Z459">
        <v>2.57</v>
      </c>
      <c r="AC459" s="4" t="s">
        <v>493</v>
      </c>
      <c r="AD459" s="5">
        <v>82544489</v>
      </c>
      <c r="AE459" s="5">
        <v>51135566</v>
      </c>
      <c r="AF459" s="5">
        <v>30247934</v>
      </c>
      <c r="AI459" t="s">
        <v>976</v>
      </c>
      <c r="AJ459">
        <v>32.14</v>
      </c>
      <c r="AL459" t="s">
        <v>455</v>
      </c>
      <c r="AM459">
        <v>13.57</v>
      </c>
      <c r="AO459" t="s">
        <v>455</v>
      </c>
      <c r="AP459">
        <v>68.56</v>
      </c>
      <c r="AQ459">
        <v>72.61</v>
      </c>
      <c r="AS459" t="s">
        <v>455</v>
      </c>
      <c r="AT459">
        <v>8.8000000000000007</v>
      </c>
      <c r="AU459">
        <v>8.81</v>
      </c>
      <c r="AW459" t="s">
        <v>455</v>
      </c>
      <c r="AX459">
        <v>35.97</v>
      </c>
    </row>
    <row r="460" spans="1:50" x14ac:dyDescent="0.35">
      <c r="A460" t="s">
        <v>456</v>
      </c>
      <c r="B460">
        <v>92.58</v>
      </c>
      <c r="D460" t="s">
        <v>972</v>
      </c>
      <c r="E460">
        <v>67.849999999999994</v>
      </c>
      <c r="G460" t="s">
        <v>456</v>
      </c>
      <c r="H460">
        <v>0.48199999999999998</v>
      </c>
      <c r="J460" t="s">
        <v>972</v>
      </c>
      <c r="K460">
        <v>20</v>
      </c>
      <c r="M460" t="s">
        <v>972</v>
      </c>
      <c r="N460">
        <v>51.29</v>
      </c>
      <c r="P460" t="s">
        <v>485</v>
      </c>
      <c r="Q460">
        <v>26.59</v>
      </c>
      <c r="S460" t="s">
        <v>456</v>
      </c>
      <c r="T460">
        <v>0.36299999999999999</v>
      </c>
      <c r="V460" t="s">
        <v>972</v>
      </c>
      <c r="W460">
        <v>27.03</v>
      </c>
      <c r="Y460" t="s">
        <v>977</v>
      </c>
      <c r="Z460">
        <v>2.77</v>
      </c>
      <c r="AC460" s="4" t="s">
        <v>494</v>
      </c>
      <c r="AD460" s="5">
        <v>53257511</v>
      </c>
      <c r="AE460" s="5">
        <v>27193505</v>
      </c>
      <c r="AF460" s="5">
        <v>6357504</v>
      </c>
      <c r="AI460" t="s">
        <v>977</v>
      </c>
      <c r="AJ460">
        <v>29.65</v>
      </c>
      <c r="AL460" t="s">
        <v>456</v>
      </c>
      <c r="AM460">
        <v>14.06</v>
      </c>
      <c r="AO460" t="s">
        <v>456</v>
      </c>
      <c r="AP460">
        <v>68.91</v>
      </c>
      <c r="AQ460">
        <v>73.16</v>
      </c>
      <c r="AS460" t="s">
        <v>456</v>
      </c>
      <c r="AT460">
        <v>9.7200000000000006</v>
      </c>
      <c r="AU460">
        <v>8.51</v>
      </c>
      <c r="AW460" t="s">
        <v>456</v>
      </c>
      <c r="AX460">
        <v>33.78</v>
      </c>
    </row>
    <row r="461" spans="1:50" x14ac:dyDescent="0.35">
      <c r="A461" t="s">
        <v>457</v>
      </c>
      <c r="B461">
        <v>87.24</v>
      </c>
      <c r="D461" t="s">
        <v>973</v>
      </c>
      <c r="E461">
        <v>75.290000000000006</v>
      </c>
      <c r="G461" t="s">
        <v>457</v>
      </c>
      <c r="H461">
        <v>0.55800000000000005</v>
      </c>
      <c r="J461" t="s">
        <v>973</v>
      </c>
      <c r="K461">
        <v>28.57</v>
      </c>
      <c r="M461" t="s">
        <v>973</v>
      </c>
      <c r="N461">
        <v>57.08</v>
      </c>
      <c r="P461" t="s">
        <v>486</v>
      </c>
      <c r="Q461">
        <v>38.869999999999997</v>
      </c>
      <c r="S461" t="s">
        <v>457</v>
      </c>
      <c r="T461">
        <v>0.45900000000000002</v>
      </c>
      <c r="V461" t="s">
        <v>973</v>
      </c>
      <c r="W461">
        <v>30.99</v>
      </c>
      <c r="Y461" t="s">
        <v>978</v>
      </c>
      <c r="Z461">
        <v>2.83</v>
      </c>
      <c r="AC461" s="4" t="s">
        <v>492</v>
      </c>
      <c r="AD461" s="5">
        <v>48329625</v>
      </c>
      <c r="AE461" s="5">
        <v>34335875</v>
      </c>
      <c r="AF461" s="5">
        <v>22932124</v>
      </c>
      <c r="AI461" t="s">
        <v>978</v>
      </c>
      <c r="AJ461">
        <v>32.81</v>
      </c>
      <c r="AL461" t="s">
        <v>457</v>
      </c>
      <c r="AM461">
        <v>13.48</v>
      </c>
      <c r="AO461" t="s">
        <v>457</v>
      </c>
      <c r="AP461">
        <v>67.53</v>
      </c>
      <c r="AQ461">
        <v>71.81</v>
      </c>
      <c r="AS461" t="s">
        <v>457</v>
      </c>
      <c r="AT461">
        <v>10.029999999999999</v>
      </c>
      <c r="AU461">
        <v>9.17</v>
      </c>
      <c r="AW461" t="s">
        <v>457</v>
      </c>
      <c r="AX461">
        <v>37.44</v>
      </c>
    </row>
    <row r="462" spans="1:50" x14ac:dyDescent="0.35">
      <c r="A462" t="s">
        <v>458</v>
      </c>
      <c r="B462">
        <v>99.3</v>
      </c>
      <c r="D462" t="s">
        <v>974</v>
      </c>
      <c r="E462">
        <v>68.48</v>
      </c>
      <c r="G462" t="s">
        <v>458</v>
      </c>
      <c r="H462">
        <v>0.48899999999999999</v>
      </c>
      <c r="J462" t="s">
        <v>974</v>
      </c>
      <c r="K462">
        <v>24</v>
      </c>
      <c r="M462" t="s">
        <v>974</v>
      </c>
      <c r="N462">
        <v>58.05</v>
      </c>
      <c r="P462" t="s">
        <v>487</v>
      </c>
      <c r="Q462">
        <v>24.12</v>
      </c>
      <c r="S462" t="s">
        <v>458</v>
      </c>
      <c r="T462">
        <v>0.36</v>
      </c>
      <c r="V462" t="s">
        <v>974</v>
      </c>
      <c r="W462">
        <v>27.54</v>
      </c>
      <c r="Y462" t="s">
        <v>979</v>
      </c>
      <c r="Z462">
        <v>2.4</v>
      </c>
      <c r="AC462" s="4" t="s">
        <v>499</v>
      </c>
      <c r="AD462" s="5">
        <v>47382338</v>
      </c>
      <c r="AE462" s="5">
        <v>30185587</v>
      </c>
      <c r="AF462" s="5">
        <v>9839878</v>
      </c>
      <c r="AI462" t="s">
        <v>979</v>
      </c>
      <c r="AJ462">
        <v>22.72</v>
      </c>
      <c r="AL462" t="s">
        <v>458</v>
      </c>
      <c r="AM462">
        <v>14.04</v>
      </c>
      <c r="AO462" t="s">
        <v>458</v>
      </c>
      <c r="AP462">
        <v>70.959999999999994</v>
      </c>
      <c r="AQ462">
        <v>75.16</v>
      </c>
      <c r="AS462" t="s">
        <v>458</v>
      </c>
      <c r="AT462">
        <v>8.44</v>
      </c>
      <c r="AU462">
        <v>7.94</v>
      </c>
      <c r="AW462" t="s">
        <v>458</v>
      </c>
      <c r="AX462">
        <v>32.06</v>
      </c>
    </row>
    <row r="463" spans="1:50" x14ac:dyDescent="0.35">
      <c r="A463" t="s">
        <v>459</v>
      </c>
      <c r="B463">
        <v>86.28</v>
      </c>
      <c r="D463" t="s">
        <v>975</v>
      </c>
      <c r="E463">
        <v>83.62</v>
      </c>
      <c r="G463" t="s">
        <v>459</v>
      </c>
      <c r="H463">
        <v>0.56200000000000006</v>
      </c>
      <c r="J463" t="s">
        <v>975</v>
      </c>
      <c r="K463">
        <v>36</v>
      </c>
      <c r="M463" t="s">
        <v>975</v>
      </c>
      <c r="N463">
        <v>52.37</v>
      </c>
      <c r="P463" t="s">
        <v>488</v>
      </c>
      <c r="Q463">
        <v>29.31</v>
      </c>
      <c r="S463" t="s">
        <v>459</v>
      </c>
      <c r="T463">
        <v>0.40300000000000002</v>
      </c>
      <c r="V463" t="s">
        <v>975</v>
      </c>
      <c r="W463">
        <v>42.14</v>
      </c>
      <c r="Y463" t="s">
        <v>980</v>
      </c>
      <c r="Z463">
        <v>2.73</v>
      </c>
      <c r="AC463" s="4" t="s">
        <v>496</v>
      </c>
      <c r="AD463" s="5">
        <v>41387315</v>
      </c>
      <c r="AE463" s="5">
        <v>28172011</v>
      </c>
      <c r="AF463" s="5">
        <v>10134610</v>
      </c>
      <c r="AI463" t="s">
        <v>980</v>
      </c>
      <c r="AJ463">
        <v>33.81</v>
      </c>
      <c r="AL463" t="s">
        <v>459</v>
      </c>
      <c r="AM463">
        <v>15.9</v>
      </c>
      <c r="AO463" t="s">
        <v>459</v>
      </c>
      <c r="AP463">
        <v>66.34</v>
      </c>
      <c r="AQ463">
        <v>70.64</v>
      </c>
      <c r="AS463" t="s">
        <v>459</v>
      </c>
      <c r="AT463">
        <v>9.89</v>
      </c>
      <c r="AU463">
        <v>8.9499999999999993</v>
      </c>
      <c r="AW463" t="s">
        <v>459</v>
      </c>
      <c r="AX463">
        <v>35.68</v>
      </c>
    </row>
    <row r="464" spans="1:50" x14ac:dyDescent="0.35">
      <c r="A464" t="s">
        <v>460</v>
      </c>
      <c r="B464">
        <v>89.59</v>
      </c>
      <c r="D464" t="s">
        <v>976</v>
      </c>
      <c r="E464">
        <v>64.260000000000005</v>
      </c>
      <c r="G464" t="s">
        <v>460</v>
      </c>
      <c r="H464">
        <v>0.47899999999999998</v>
      </c>
      <c r="J464" t="s">
        <v>976</v>
      </c>
      <c r="K464">
        <v>16</v>
      </c>
      <c r="M464" t="s">
        <v>976</v>
      </c>
      <c r="N464">
        <v>58.14</v>
      </c>
      <c r="P464" t="s">
        <v>490</v>
      </c>
      <c r="Q464">
        <v>37.409999999999997</v>
      </c>
      <c r="S464" t="s">
        <v>460</v>
      </c>
      <c r="T464">
        <v>0.33</v>
      </c>
      <c r="V464" t="s">
        <v>976</v>
      </c>
      <c r="W464">
        <v>27.9</v>
      </c>
      <c r="Y464" t="s">
        <v>981</v>
      </c>
      <c r="Z464">
        <v>2.8</v>
      </c>
      <c r="AC464" s="4" t="s">
        <v>497</v>
      </c>
      <c r="AD464" s="5">
        <v>51617859</v>
      </c>
      <c r="AE464" s="5">
        <v>21761765</v>
      </c>
      <c r="AF464" s="5">
        <v>24934301</v>
      </c>
      <c r="AI464" t="s">
        <v>981</v>
      </c>
      <c r="AJ464">
        <v>29.75</v>
      </c>
      <c r="AL464" t="s">
        <v>460</v>
      </c>
      <c r="AM464">
        <v>14.03</v>
      </c>
      <c r="AO464" t="s">
        <v>460</v>
      </c>
      <c r="AP464">
        <v>68.34</v>
      </c>
      <c r="AQ464">
        <v>72.599999999999994</v>
      </c>
      <c r="AS464" t="s">
        <v>460</v>
      </c>
      <c r="AT464">
        <v>8.39</v>
      </c>
      <c r="AU464">
        <v>7.33</v>
      </c>
      <c r="AW464" t="s">
        <v>460</v>
      </c>
      <c r="AX464">
        <v>31.09</v>
      </c>
    </row>
    <row r="465" spans="1:50" x14ac:dyDescent="0.35">
      <c r="A465" t="s">
        <v>461</v>
      </c>
      <c r="B465">
        <v>83.32</v>
      </c>
      <c r="D465" t="s">
        <v>977</v>
      </c>
      <c r="E465">
        <v>77.180000000000007</v>
      </c>
      <c r="G465" t="s">
        <v>461</v>
      </c>
      <c r="H465">
        <v>0.48899999999999999</v>
      </c>
      <c r="J465" t="s">
        <v>977</v>
      </c>
      <c r="K465">
        <v>25</v>
      </c>
      <c r="M465" t="s">
        <v>977</v>
      </c>
      <c r="N465">
        <v>50.18</v>
      </c>
      <c r="P465" t="s">
        <v>491</v>
      </c>
      <c r="Q465">
        <v>15.3</v>
      </c>
      <c r="S465" t="s">
        <v>461</v>
      </c>
      <c r="T465">
        <v>0.26100000000000001</v>
      </c>
      <c r="V465" t="s">
        <v>977</v>
      </c>
      <c r="W465">
        <v>38.36</v>
      </c>
      <c r="Y465" t="s">
        <v>982</v>
      </c>
      <c r="Z465">
        <v>2.92</v>
      </c>
      <c r="AC465" s="4" t="s">
        <v>1138</v>
      </c>
      <c r="AD465" s="5">
        <v>134395612</v>
      </c>
      <c r="AE465" s="5">
        <v>12514078</v>
      </c>
      <c r="AF465" s="6" t="s">
        <v>548</v>
      </c>
      <c r="AI465" t="s">
        <v>982</v>
      </c>
      <c r="AJ465">
        <v>34.229999999999997</v>
      </c>
      <c r="AL465" t="s">
        <v>461</v>
      </c>
      <c r="AM465">
        <v>15.43</v>
      </c>
      <c r="AO465" t="s">
        <v>461</v>
      </c>
      <c r="AP465">
        <v>65.7</v>
      </c>
      <c r="AQ465">
        <v>70.02</v>
      </c>
      <c r="AS465" t="s">
        <v>461</v>
      </c>
      <c r="AT465">
        <v>7.73</v>
      </c>
      <c r="AU465">
        <v>6.09</v>
      </c>
      <c r="AW465" t="s">
        <v>461</v>
      </c>
      <c r="AX465">
        <v>20.61</v>
      </c>
    </row>
    <row r="466" spans="1:50" x14ac:dyDescent="0.35">
      <c r="A466" t="s">
        <v>462</v>
      </c>
      <c r="B466">
        <v>74.22</v>
      </c>
      <c r="D466" t="s">
        <v>978</v>
      </c>
      <c r="E466">
        <v>70.650000000000006</v>
      </c>
      <c r="G466" t="s">
        <v>462</v>
      </c>
      <c r="H466">
        <v>0.52200000000000002</v>
      </c>
      <c r="J466" t="s">
        <v>978</v>
      </c>
      <c r="K466">
        <v>15</v>
      </c>
      <c r="M466" t="s">
        <v>978</v>
      </c>
      <c r="N466">
        <v>51.08</v>
      </c>
      <c r="P466" t="s">
        <v>492</v>
      </c>
      <c r="Q466">
        <v>44.37</v>
      </c>
      <c r="S466" t="s">
        <v>462</v>
      </c>
      <c r="T466">
        <v>0.26600000000000001</v>
      </c>
      <c r="V466" t="s">
        <v>978</v>
      </c>
      <c r="W466">
        <v>36.6</v>
      </c>
      <c r="Y466" t="s">
        <v>983</v>
      </c>
      <c r="Z466">
        <v>2.94</v>
      </c>
      <c r="AC466" s="4" t="s">
        <v>283</v>
      </c>
      <c r="AD466" s="5">
        <v>172170323</v>
      </c>
      <c r="AE466" s="5">
        <v>92534173</v>
      </c>
      <c r="AF466" s="5">
        <v>22647949</v>
      </c>
      <c r="AI466" t="s">
        <v>983</v>
      </c>
      <c r="AJ466">
        <v>35.159999999999997</v>
      </c>
      <c r="AL466" t="s">
        <v>462</v>
      </c>
      <c r="AM466">
        <v>14.76</v>
      </c>
      <c r="AO466" t="s">
        <v>462</v>
      </c>
      <c r="AP466">
        <v>65.66</v>
      </c>
      <c r="AQ466">
        <v>69.98</v>
      </c>
      <c r="AS466" t="s">
        <v>462</v>
      </c>
      <c r="AT466">
        <v>8.0399999999999991</v>
      </c>
      <c r="AU466">
        <v>7.23</v>
      </c>
      <c r="AW466" t="s">
        <v>462</v>
      </c>
      <c r="AX466">
        <v>24.34</v>
      </c>
    </row>
    <row r="467" spans="1:50" x14ac:dyDescent="0.35">
      <c r="A467" t="s">
        <v>463</v>
      </c>
      <c r="B467">
        <v>94.98</v>
      </c>
      <c r="D467" t="s">
        <v>979</v>
      </c>
      <c r="E467">
        <v>77.92</v>
      </c>
      <c r="G467" t="s">
        <v>463</v>
      </c>
      <c r="H467">
        <v>0.40899999999999997</v>
      </c>
      <c r="J467" t="s">
        <v>979</v>
      </c>
      <c r="K467">
        <v>32</v>
      </c>
      <c r="M467" t="s">
        <v>979</v>
      </c>
      <c r="N467">
        <v>54.98</v>
      </c>
      <c r="P467" t="s">
        <v>493</v>
      </c>
      <c r="Q467">
        <v>30.48</v>
      </c>
      <c r="S467" t="s">
        <v>463</v>
      </c>
      <c r="T467">
        <v>0.252</v>
      </c>
      <c r="V467" t="s">
        <v>979</v>
      </c>
      <c r="W467">
        <v>31.75</v>
      </c>
      <c r="Y467" t="s">
        <v>984</v>
      </c>
      <c r="Z467">
        <v>2.16</v>
      </c>
      <c r="AC467" s="4" t="s">
        <v>282</v>
      </c>
      <c r="AD467" s="5">
        <v>190574250</v>
      </c>
      <c r="AE467" s="5">
        <v>101191226</v>
      </c>
      <c r="AF467" s="5">
        <v>22790513</v>
      </c>
      <c r="AI467" t="s">
        <v>984</v>
      </c>
      <c r="AJ467">
        <v>12.29</v>
      </c>
      <c r="AL467" t="s">
        <v>463</v>
      </c>
      <c r="AM467">
        <v>4.59</v>
      </c>
      <c r="AO467" t="s">
        <v>463</v>
      </c>
      <c r="AP467">
        <v>72.040000000000006</v>
      </c>
      <c r="AQ467">
        <v>76.22</v>
      </c>
      <c r="AS467" t="s">
        <v>463</v>
      </c>
      <c r="AT467">
        <v>12.92</v>
      </c>
      <c r="AU467">
        <v>12.11</v>
      </c>
      <c r="AW467" t="s">
        <v>463</v>
      </c>
      <c r="AX467">
        <v>62.01</v>
      </c>
    </row>
    <row r="468" spans="1:50" x14ac:dyDescent="0.35">
      <c r="A468" t="s">
        <v>464</v>
      </c>
      <c r="B468">
        <v>91.24</v>
      </c>
      <c r="D468" t="s">
        <v>980</v>
      </c>
      <c r="E468">
        <v>53.85</v>
      </c>
      <c r="G468" t="s">
        <v>464</v>
      </c>
      <c r="H468">
        <v>0.39400000000000002</v>
      </c>
      <c r="J468" t="s">
        <v>980</v>
      </c>
      <c r="K468">
        <v>10</v>
      </c>
      <c r="M468" t="s">
        <v>980</v>
      </c>
      <c r="N468">
        <v>49.75</v>
      </c>
      <c r="P468" t="s">
        <v>494</v>
      </c>
      <c r="Q468">
        <v>31.22</v>
      </c>
      <c r="S468" t="s">
        <v>464</v>
      </c>
      <c r="T468">
        <v>0.24299999999999999</v>
      </c>
      <c r="V468" t="s">
        <v>980</v>
      </c>
      <c r="W468">
        <v>76.42</v>
      </c>
      <c r="Y468" t="s">
        <v>1081</v>
      </c>
      <c r="Z468">
        <v>2.41</v>
      </c>
      <c r="AC468" s="4" t="s">
        <v>285</v>
      </c>
      <c r="AD468" s="5">
        <v>187286515</v>
      </c>
      <c r="AE468" s="5">
        <v>95513917</v>
      </c>
      <c r="AF468" s="5">
        <v>4903076</v>
      </c>
      <c r="AI468" t="s">
        <v>1081</v>
      </c>
      <c r="AJ468">
        <v>15.39</v>
      </c>
      <c r="AL468" t="s">
        <v>464</v>
      </c>
      <c r="AM468">
        <v>7.53</v>
      </c>
      <c r="AO468" t="s">
        <v>464</v>
      </c>
      <c r="AP468">
        <v>69.41</v>
      </c>
      <c r="AQ468">
        <v>73.650000000000006</v>
      </c>
      <c r="AS468" t="s">
        <v>464</v>
      </c>
      <c r="AT468">
        <v>11.32</v>
      </c>
      <c r="AU468">
        <v>10.85</v>
      </c>
      <c r="AW468" t="s">
        <v>464</v>
      </c>
      <c r="AX468">
        <v>53.55</v>
      </c>
    </row>
    <row r="469" spans="1:50" x14ac:dyDescent="0.35">
      <c r="A469" t="s">
        <v>465</v>
      </c>
      <c r="B469">
        <v>88.25</v>
      </c>
      <c r="D469" t="s">
        <v>981</v>
      </c>
      <c r="E469">
        <v>57.58</v>
      </c>
      <c r="G469" t="s">
        <v>465</v>
      </c>
      <c r="H469">
        <v>0.39100000000000001</v>
      </c>
      <c r="J469" t="s">
        <v>981</v>
      </c>
      <c r="K469">
        <v>20</v>
      </c>
      <c r="M469" t="s">
        <v>981</v>
      </c>
      <c r="N469">
        <v>58.27</v>
      </c>
      <c r="P469" t="s">
        <v>495</v>
      </c>
      <c r="Q469">
        <v>32.270000000000003</v>
      </c>
      <c r="S469" t="s">
        <v>465</v>
      </c>
      <c r="T469">
        <v>0.32200000000000001</v>
      </c>
      <c r="V469" t="s">
        <v>981</v>
      </c>
      <c r="W469">
        <v>20.68</v>
      </c>
      <c r="Y469" t="s">
        <v>465</v>
      </c>
      <c r="Z469">
        <v>2.2999999999999998</v>
      </c>
      <c r="AC469" s="4" t="s">
        <v>284</v>
      </c>
      <c r="AD469" s="5">
        <v>239938915</v>
      </c>
      <c r="AE469" s="5">
        <v>90323651</v>
      </c>
      <c r="AF469" s="5">
        <v>5257546</v>
      </c>
      <c r="AI469" t="s">
        <v>465</v>
      </c>
      <c r="AJ469">
        <v>35.85</v>
      </c>
      <c r="AL469" t="s">
        <v>465</v>
      </c>
      <c r="AM469">
        <v>15.15</v>
      </c>
      <c r="AO469" t="s">
        <v>465</v>
      </c>
      <c r="AP469">
        <v>66.900000000000006</v>
      </c>
      <c r="AQ469">
        <v>70.87</v>
      </c>
      <c r="AS469" t="s">
        <v>465</v>
      </c>
      <c r="AT469">
        <v>7.74</v>
      </c>
      <c r="AU469">
        <v>8.4600000000000009</v>
      </c>
      <c r="AW469" t="s">
        <v>465</v>
      </c>
      <c r="AX469">
        <v>33.86</v>
      </c>
    </row>
    <row r="470" spans="1:50" x14ac:dyDescent="0.35">
      <c r="A470" t="s">
        <v>466</v>
      </c>
      <c r="B470">
        <v>83.17</v>
      </c>
      <c r="D470" t="s">
        <v>982</v>
      </c>
      <c r="E470">
        <v>81.819999999999993</v>
      </c>
      <c r="G470" t="s">
        <v>466</v>
      </c>
      <c r="H470">
        <v>0.43</v>
      </c>
      <c r="J470" t="s">
        <v>982</v>
      </c>
      <c r="K470">
        <v>24</v>
      </c>
      <c r="M470" t="s">
        <v>982</v>
      </c>
      <c r="N470">
        <v>56.97</v>
      </c>
      <c r="P470" t="s">
        <v>496</v>
      </c>
      <c r="Q470">
        <v>30.64</v>
      </c>
      <c r="S470" t="s">
        <v>466</v>
      </c>
      <c r="T470">
        <v>0.38900000000000001</v>
      </c>
      <c r="V470" t="s">
        <v>982</v>
      </c>
      <c r="W470">
        <v>49.97</v>
      </c>
      <c r="Y470" t="s">
        <v>985</v>
      </c>
      <c r="Z470">
        <v>2.34</v>
      </c>
      <c r="AC470" s="4" t="s">
        <v>287</v>
      </c>
      <c r="AD470" s="5">
        <v>39736441</v>
      </c>
      <c r="AE470" s="5">
        <v>50705618</v>
      </c>
      <c r="AF470" s="5">
        <v>6625501</v>
      </c>
      <c r="AI470" t="s">
        <v>985</v>
      </c>
      <c r="AJ470">
        <v>33.24</v>
      </c>
      <c r="AL470" t="s">
        <v>466</v>
      </c>
      <c r="AM470">
        <v>18.38</v>
      </c>
      <c r="AO470" t="s">
        <v>466</v>
      </c>
      <c r="AP470">
        <v>67.989999999999995</v>
      </c>
      <c r="AQ470">
        <v>71.94</v>
      </c>
      <c r="AS470" t="s">
        <v>466</v>
      </c>
      <c r="AT470">
        <v>6.71</v>
      </c>
      <c r="AU470">
        <v>7.66</v>
      </c>
      <c r="AW470" t="s">
        <v>466</v>
      </c>
      <c r="AX470">
        <v>31.36</v>
      </c>
    </row>
    <row r="471" spans="1:50" x14ac:dyDescent="0.35">
      <c r="A471" t="s">
        <v>467</v>
      </c>
      <c r="B471">
        <v>83.6</v>
      </c>
      <c r="D471" t="s">
        <v>983</v>
      </c>
      <c r="E471">
        <v>77.459999999999994</v>
      </c>
      <c r="G471" t="s">
        <v>467</v>
      </c>
      <c r="H471">
        <v>0.35</v>
      </c>
      <c r="J471" t="s">
        <v>983</v>
      </c>
      <c r="K471">
        <v>20</v>
      </c>
      <c r="M471" t="s">
        <v>983</v>
      </c>
      <c r="N471">
        <v>53.28</v>
      </c>
      <c r="P471" t="s">
        <v>497</v>
      </c>
      <c r="Q471">
        <v>39.21</v>
      </c>
      <c r="S471" t="s">
        <v>467</v>
      </c>
      <c r="T471">
        <v>0.31900000000000001</v>
      </c>
      <c r="V471" t="s">
        <v>983</v>
      </c>
      <c r="W471">
        <v>41.26</v>
      </c>
      <c r="Y471" t="s">
        <v>465</v>
      </c>
      <c r="Z471">
        <v>2.2999999999999998</v>
      </c>
      <c r="AC471" s="4" t="s">
        <v>286</v>
      </c>
      <c r="AD471" s="5">
        <v>36349942</v>
      </c>
      <c r="AE471" s="5">
        <v>42258660</v>
      </c>
      <c r="AF471" s="5">
        <v>1702532</v>
      </c>
      <c r="AI471" t="s">
        <v>465</v>
      </c>
      <c r="AJ471">
        <v>34.450000000000003</v>
      </c>
      <c r="AL471" t="s">
        <v>467</v>
      </c>
      <c r="AM471">
        <v>17.48</v>
      </c>
      <c r="AO471" t="s">
        <v>467</v>
      </c>
      <c r="AP471">
        <v>66.150000000000006</v>
      </c>
      <c r="AQ471">
        <v>70.14</v>
      </c>
      <c r="AS471" t="s">
        <v>467</v>
      </c>
      <c r="AT471">
        <v>7.28</v>
      </c>
      <c r="AU471">
        <v>8.09</v>
      </c>
      <c r="AW471" t="s">
        <v>467</v>
      </c>
      <c r="AX471">
        <v>31.98</v>
      </c>
    </row>
    <row r="472" spans="1:50" x14ac:dyDescent="0.35">
      <c r="A472" t="s">
        <v>468</v>
      </c>
      <c r="B472">
        <v>92.27</v>
      </c>
      <c r="D472" t="s">
        <v>984</v>
      </c>
      <c r="E472">
        <v>81.02</v>
      </c>
      <c r="G472" t="s">
        <v>468</v>
      </c>
      <c r="H472">
        <v>0.502</v>
      </c>
      <c r="J472" t="s">
        <v>984</v>
      </c>
      <c r="K472">
        <v>28.57</v>
      </c>
      <c r="M472" t="s">
        <v>984</v>
      </c>
      <c r="N472">
        <v>42.56</v>
      </c>
      <c r="P472" t="s">
        <v>498</v>
      </c>
      <c r="Q472">
        <v>17.86</v>
      </c>
      <c r="S472" t="s">
        <v>468</v>
      </c>
      <c r="T472">
        <v>0.41099999999999998</v>
      </c>
      <c r="V472" t="s">
        <v>984</v>
      </c>
      <c r="W472">
        <v>39.26</v>
      </c>
      <c r="Y472" t="s">
        <v>986</v>
      </c>
      <c r="Z472">
        <v>2.35</v>
      </c>
      <c r="AC472" s="4" t="s">
        <v>288</v>
      </c>
      <c r="AD472" s="5">
        <v>91111844</v>
      </c>
      <c r="AE472" s="5">
        <v>40654127</v>
      </c>
      <c r="AF472" s="5">
        <v>2232481</v>
      </c>
      <c r="AI472" t="s">
        <v>986</v>
      </c>
      <c r="AJ472">
        <v>42.96</v>
      </c>
      <c r="AL472" t="s">
        <v>468</v>
      </c>
      <c r="AM472">
        <v>17.64</v>
      </c>
      <c r="AO472" t="s">
        <v>468</v>
      </c>
      <c r="AP472">
        <v>63.07</v>
      </c>
      <c r="AQ472">
        <v>66.92</v>
      </c>
      <c r="AS472" t="s">
        <v>468</v>
      </c>
      <c r="AT472">
        <v>7.44</v>
      </c>
      <c r="AU472">
        <v>7.83</v>
      </c>
      <c r="AW472" t="s">
        <v>468</v>
      </c>
      <c r="AX472">
        <v>25.44</v>
      </c>
    </row>
    <row r="473" spans="1:50" x14ac:dyDescent="0.35">
      <c r="A473" t="s">
        <v>469</v>
      </c>
      <c r="B473">
        <v>88.84</v>
      </c>
      <c r="D473" t="s">
        <v>464</v>
      </c>
      <c r="E473">
        <v>72.040000000000006</v>
      </c>
      <c r="G473" t="s">
        <v>469</v>
      </c>
      <c r="H473">
        <v>0.51600000000000001</v>
      </c>
      <c r="J473" t="s">
        <v>464</v>
      </c>
      <c r="K473">
        <v>24</v>
      </c>
      <c r="M473" t="s">
        <v>464</v>
      </c>
      <c r="N473">
        <v>51.65</v>
      </c>
      <c r="P473" t="s">
        <v>499</v>
      </c>
      <c r="Q473">
        <v>26.77</v>
      </c>
      <c r="S473" t="s">
        <v>469</v>
      </c>
      <c r="T473">
        <v>0.30499999999999999</v>
      </c>
      <c r="V473" t="s">
        <v>1081</v>
      </c>
      <c r="W473">
        <v>30.98</v>
      </c>
      <c r="Y473" t="s">
        <v>987</v>
      </c>
      <c r="Z473">
        <v>2.29</v>
      </c>
      <c r="AC473" s="4" t="s">
        <v>289</v>
      </c>
      <c r="AD473" s="5">
        <v>26868857</v>
      </c>
      <c r="AE473" s="5">
        <v>13467415</v>
      </c>
      <c r="AF473" s="5">
        <v>2132212</v>
      </c>
      <c r="AI473" t="s">
        <v>987</v>
      </c>
      <c r="AJ473">
        <v>37.28</v>
      </c>
      <c r="AL473" t="s">
        <v>469</v>
      </c>
      <c r="AM473">
        <v>15.51</v>
      </c>
      <c r="AO473" t="s">
        <v>469</v>
      </c>
      <c r="AP473">
        <v>67.31</v>
      </c>
      <c r="AQ473">
        <v>71.27</v>
      </c>
      <c r="AS473" t="s">
        <v>469</v>
      </c>
      <c r="AT473">
        <v>7.9</v>
      </c>
      <c r="AU473">
        <v>8.82</v>
      </c>
      <c r="AW473" t="s">
        <v>469</v>
      </c>
      <c r="AX473">
        <v>34.06</v>
      </c>
    </row>
    <row r="474" spans="1:50" x14ac:dyDescent="0.35">
      <c r="A474" t="s">
        <v>470</v>
      </c>
      <c r="B474">
        <v>82.37</v>
      </c>
      <c r="D474" t="s">
        <v>465</v>
      </c>
      <c r="E474">
        <v>71.11</v>
      </c>
      <c r="G474" t="s">
        <v>470</v>
      </c>
      <c r="H474">
        <v>0.32700000000000001</v>
      </c>
      <c r="J474" t="s">
        <v>465</v>
      </c>
      <c r="K474">
        <v>26.67</v>
      </c>
      <c r="M474" t="s">
        <v>465</v>
      </c>
      <c r="N474">
        <v>58.23</v>
      </c>
      <c r="P474" t="s">
        <v>501</v>
      </c>
      <c r="Q474">
        <v>24.29</v>
      </c>
      <c r="S474" t="s">
        <v>470</v>
      </c>
      <c r="T474">
        <v>0.32800000000000001</v>
      </c>
      <c r="V474" t="s">
        <v>465</v>
      </c>
      <c r="W474">
        <v>26.93</v>
      </c>
      <c r="Y474" t="s">
        <v>988</v>
      </c>
      <c r="Z474">
        <v>2.4900000000000002</v>
      </c>
      <c r="AC474" s="4" t="s">
        <v>1139</v>
      </c>
      <c r="AD474" s="5">
        <v>81667402</v>
      </c>
      <c r="AE474" s="5">
        <v>9135649</v>
      </c>
      <c r="AF474" s="5">
        <v>18401573</v>
      </c>
      <c r="AI474" t="s">
        <v>988</v>
      </c>
      <c r="AJ474">
        <v>40.369999999999997</v>
      </c>
      <c r="AL474" t="s">
        <v>470</v>
      </c>
      <c r="AM474">
        <v>17.03</v>
      </c>
      <c r="AO474" t="s">
        <v>470</v>
      </c>
      <c r="AP474">
        <v>64.760000000000005</v>
      </c>
      <c r="AQ474">
        <v>68.680000000000007</v>
      </c>
      <c r="AS474" t="s">
        <v>470</v>
      </c>
      <c r="AT474">
        <v>6.96</v>
      </c>
      <c r="AU474">
        <v>7.47</v>
      </c>
      <c r="AW474" t="s">
        <v>470</v>
      </c>
      <c r="AX474">
        <v>26.11</v>
      </c>
    </row>
    <row r="475" spans="1:50" x14ac:dyDescent="0.35">
      <c r="A475" t="s">
        <v>471</v>
      </c>
      <c r="B475">
        <v>87.74</v>
      </c>
      <c r="D475" t="s">
        <v>985</v>
      </c>
      <c r="E475">
        <v>69.459999999999994</v>
      </c>
      <c r="G475" t="s">
        <v>471</v>
      </c>
      <c r="H475">
        <v>0.36299999999999999</v>
      </c>
      <c r="J475" t="s">
        <v>985</v>
      </c>
      <c r="K475">
        <v>24</v>
      </c>
      <c r="M475" t="s">
        <v>985</v>
      </c>
      <c r="N475">
        <v>63.46</v>
      </c>
      <c r="P475" t="s">
        <v>502</v>
      </c>
      <c r="Q475">
        <v>21.91</v>
      </c>
      <c r="S475" t="s">
        <v>471</v>
      </c>
      <c r="T475">
        <v>0.20899999999999999</v>
      </c>
      <c r="V475" t="s">
        <v>985</v>
      </c>
      <c r="W475">
        <v>29.55</v>
      </c>
      <c r="Y475" t="s">
        <v>989</v>
      </c>
      <c r="Z475">
        <v>2.17</v>
      </c>
      <c r="AC475" s="4" t="s">
        <v>151</v>
      </c>
      <c r="AD475" s="5">
        <v>34958170</v>
      </c>
      <c r="AE475" s="5">
        <v>18814478</v>
      </c>
      <c r="AF475" s="5">
        <v>10305773</v>
      </c>
      <c r="AI475" t="s">
        <v>989</v>
      </c>
      <c r="AJ475">
        <v>25.83</v>
      </c>
      <c r="AL475" t="s">
        <v>471</v>
      </c>
      <c r="AM475">
        <v>5.64</v>
      </c>
      <c r="AO475" t="s">
        <v>471</v>
      </c>
      <c r="AP475">
        <v>71.17</v>
      </c>
      <c r="AQ475">
        <v>75.430000000000007</v>
      </c>
      <c r="AS475" t="s">
        <v>471</v>
      </c>
      <c r="AT475">
        <v>10.35</v>
      </c>
      <c r="AU475">
        <v>10.6</v>
      </c>
      <c r="AW475" t="s">
        <v>471</v>
      </c>
      <c r="AX475">
        <v>48.21</v>
      </c>
    </row>
    <row r="476" spans="1:50" x14ac:dyDescent="0.35">
      <c r="A476" t="s">
        <v>472</v>
      </c>
      <c r="B476">
        <v>90.25</v>
      </c>
      <c r="D476" t="s">
        <v>465</v>
      </c>
      <c r="E476">
        <v>63.22</v>
      </c>
      <c r="G476" t="s">
        <v>472</v>
      </c>
      <c r="H476">
        <v>0.49399999999999999</v>
      </c>
      <c r="J476" t="s">
        <v>465</v>
      </c>
      <c r="K476">
        <v>17.14</v>
      </c>
      <c r="M476" t="s">
        <v>465</v>
      </c>
      <c r="N476">
        <v>58.52</v>
      </c>
      <c r="P476" t="s">
        <v>503</v>
      </c>
      <c r="Q476">
        <v>28.47</v>
      </c>
      <c r="S476" t="s">
        <v>472</v>
      </c>
      <c r="T476">
        <v>0.32900000000000001</v>
      </c>
      <c r="V476" t="s">
        <v>465</v>
      </c>
      <c r="W476">
        <v>26.9</v>
      </c>
      <c r="Y476" t="s">
        <v>472</v>
      </c>
      <c r="Z476">
        <v>2.58</v>
      </c>
      <c r="AC476" s="4" t="s">
        <v>152</v>
      </c>
      <c r="AD476" s="5">
        <v>14942282</v>
      </c>
      <c r="AE476" s="5">
        <v>17051066</v>
      </c>
      <c r="AF476" s="5">
        <v>14103730</v>
      </c>
      <c r="AI476" t="s">
        <v>472</v>
      </c>
      <c r="AJ476">
        <v>35.49</v>
      </c>
      <c r="AL476" t="s">
        <v>472</v>
      </c>
      <c r="AM476">
        <v>11.49</v>
      </c>
      <c r="AO476" t="s">
        <v>472</v>
      </c>
      <c r="AP476">
        <v>64.11</v>
      </c>
      <c r="AQ476">
        <v>68</v>
      </c>
      <c r="AS476" t="s">
        <v>472</v>
      </c>
      <c r="AT476">
        <v>8.36</v>
      </c>
      <c r="AU476">
        <v>7.92</v>
      </c>
      <c r="AW476" t="s">
        <v>472</v>
      </c>
      <c r="AX476">
        <v>34.369999999999997</v>
      </c>
    </row>
    <row r="477" spans="1:50" x14ac:dyDescent="0.35">
      <c r="A477" t="s">
        <v>473</v>
      </c>
      <c r="B477">
        <v>94.68</v>
      </c>
      <c r="D477" t="s">
        <v>986</v>
      </c>
      <c r="E477">
        <v>70.45</v>
      </c>
      <c r="G477" t="s">
        <v>473</v>
      </c>
      <c r="H477">
        <v>0.41499999999999998</v>
      </c>
      <c r="J477" t="s">
        <v>986</v>
      </c>
      <c r="K477">
        <v>16</v>
      </c>
      <c r="M477" t="s">
        <v>986</v>
      </c>
      <c r="N477">
        <v>56.73</v>
      </c>
      <c r="P477" t="s">
        <v>504</v>
      </c>
      <c r="Q477">
        <v>21.48</v>
      </c>
      <c r="S477" t="s">
        <v>473</v>
      </c>
      <c r="T477">
        <v>0.24299999999999999</v>
      </c>
      <c r="V477" t="s">
        <v>986</v>
      </c>
      <c r="W477">
        <v>36.35</v>
      </c>
      <c r="Y477" t="s">
        <v>990</v>
      </c>
      <c r="Z477">
        <v>2.65</v>
      </c>
      <c r="AC477" s="4" t="s">
        <v>157</v>
      </c>
      <c r="AD477" s="5">
        <v>15339568</v>
      </c>
      <c r="AE477" s="5">
        <v>8317148</v>
      </c>
      <c r="AF477" s="5">
        <v>3542570</v>
      </c>
      <c r="AI477" t="s">
        <v>990</v>
      </c>
      <c r="AJ477">
        <v>40.11</v>
      </c>
      <c r="AL477" t="s">
        <v>473</v>
      </c>
      <c r="AM477">
        <v>14.54</v>
      </c>
      <c r="AO477" t="s">
        <v>473</v>
      </c>
      <c r="AP477">
        <v>60.73</v>
      </c>
      <c r="AQ477">
        <v>64.48</v>
      </c>
      <c r="AS477" t="s">
        <v>473</v>
      </c>
      <c r="AT477">
        <v>9.58</v>
      </c>
      <c r="AU477">
        <v>9.0399999999999991</v>
      </c>
      <c r="AW477" t="s">
        <v>473</v>
      </c>
      <c r="AX477">
        <v>42.63</v>
      </c>
    </row>
    <row r="478" spans="1:50" x14ac:dyDescent="0.35">
      <c r="A478" t="s">
        <v>474</v>
      </c>
      <c r="B478">
        <v>92.14</v>
      </c>
      <c r="D478" t="s">
        <v>987</v>
      </c>
      <c r="E478">
        <v>53.38</v>
      </c>
      <c r="G478" t="s">
        <v>474</v>
      </c>
      <c r="H478">
        <v>0.43</v>
      </c>
      <c r="J478" t="s">
        <v>987</v>
      </c>
      <c r="K478">
        <v>4</v>
      </c>
      <c r="M478" t="s">
        <v>987</v>
      </c>
      <c r="N478">
        <v>56.5</v>
      </c>
      <c r="P478" t="s">
        <v>505</v>
      </c>
      <c r="Q478">
        <v>22.6</v>
      </c>
      <c r="S478" t="s">
        <v>474</v>
      </c>
      <c r="T478">
        <v>0.32</v>
      </c>
      <c r="V478" t="s">
        <v>987</v>
      </c>
      <c r="W478">
        <v>29.94</v>
      </c>
      <c r="Y478" t="s">
        <v>991</v>
      </c>
      <c r="Z478">
        <v>2.52</v>
      </c>
      <c r="AC478" s="4" t="s">
        <v>155</v>
      </c>
      <c r="AD478" s="5">
        <v>15713302</v>
      </c>
      <c r="AE478" s="5">
        <v>23906366</v>
      </c>
      <c r="AF478" s="5">
        <v>12013465</v>
      </c>
      <c r="AI478" t="s">
        <v>991</v>
      </c>
      <c r="AJ478">
        <v>34.85</v>
      </c>
      <c r="AL478" t="s">
        <v>474</v>
      </c>
      <c r="AM478">
        <v>16.079999999999998</v>
      </c>
      <c r="AO478" t="s">
        <v>474</v>
      </c>
      <c r="AP478">
        <v>61.35</v>
      </c>
      <c r="AQ478">
        <v>65.13</v>
      </c>
      <c r="AS478" t="s">
        <v>474</v>
      </c>
      <c r="AT478">
        <v>8.0500000000000007</v>
      </c>
      <c r="AU478">
        <v>7.4</v>
      </c>
      <c r="AW478" t="s">
        <v>474</v>
      </c>
      <c r="AX478">
        <v>31.78</v>
      </c>
    </row>
    <row r="479" spans="1:50" x14ac:dyDescent="0.35">
      <c r="A479" t="s">
        <v>475</v>
      </c>
      <c r="B479">
        <v>98.42</v>
      </c>
      <c r="D479" t="s">
        <v>988</v>
      </c>
      <c r="E479">
        <v>69.209999999999994</v>
      </c>
      <c r="G479" t="s">
        <v>475</v>
      </c>
      <c r="H479">
        <v>0.48799999999999999</v>
      </c>
      <c r="J479" t="s">
        <v>988</v>
      </c>
      <c r="K479">
        <v>24</v>
      </c>
      <c r="M479" t="s">
        <v>988</v>
      </c>
      <c r="N479">
        <v>62.07</v>
      </c>
      <c r="P479" t="s">
        <v>511</v>
      </c>
      <c r="Q479">
        <v>27</v>
      </c>
      <c r="S479" t="s">
        <v>475</v>
      </c>
      <c r="T479">
        <v>0.28100000000000003</v>
      </c>
      <c r="V479" t="s">
        <v>988</v>
      </c>
      <c r="W479">
        <v>27.81</v>
      </c>
      <c r="Y479" t="s">
        <v>992</v>
      </c>
      <c r="Z479">
        <v>2.6</v>
      </c>
      <c r="AC479" s="4" t="s">
        <v>154</v>
      </c>
      <c r="AD479" s="5">
        <v>31766896</v>
      </c>
      <c r="AE479" s="5">
        <v>16064379</v>
      </c>
      <c r="AF479" s="5">
        <v>6727758</v>
      </c>
      <c r="AI479" t="s">
        <v>992</v>
      </c>
      <c r="AJ479">
        <v>27.26</v>
      </c>
      <c r="AL479" t="s">
        <v>475</v>
      </c>
      <c r="AM479">
        <v>14.31</v>
      </c>
      <c r="AO479" t="s">
        <v>475</v>
      </c>
      <c r="AP479">
        <v>69.52</v>
      </c>
      <c r="AQ479">
        <v>73.489999999999995</v>
      </c>
      <c r="AS479" t="s">
        <v>475</v>
      </c>
      <c r="AT479">
        <v>8.36</v>
      </c>
      <c r="AU479">
        <v>8.09</v>
      </c>
      <c r="AW479" t="s">
        <v>475</v>
      </c>
      <c r="AX479">
        <v>40.380000000000003</v>
      </c>
    </row>
    <row r="480" spans="1:50" x14ac:dyDescent="0.35">
      <c r="A480" t="s">
        <v>476</v>
      </c>
      <c r="B480">
        <v>90.57</v>
      </c>
      <c r="D480" t="s">
        <v>989</v>
      </c>
      <c r="E480">
        <v>72.150000000000006</v>
      </c>
      <c r="G480" t="s">
        <v>476</v>
      </c>
      <c r="H480">
        <v>0.54600000000000004</v>
      </c>
      <c r="J480" t="s">
        <v>989</v>
      </c>
      <c r="K480">
        <v>24</v>
      </c>
      <c r="M480" t="s">
        <v>989</v>
      </c>
      <c r="N480">
        <v>55.95</v>
      </c>
      <c r="P480" t="s">
        <v>512</v>
      </c>
      <c r="Q480">
        <v>48.23</v>
      </c>
      <c r="S480" t="s">
        <v>476</v>
      </c>
      <c r="T480">
        <v>0.33600000000000002</v>
      </c>
      <c r="V480" t="s">
        <v>989</v>
      </c>
      <c r="W480">
        <v>30.84</v>
      </c>
      <c r="Y480" t="s">
        <v>993</v>
      </c>
      <c r="Z480">
        <v>2.57</v>
      </c>
      <c r="AC480" s="4" t="s">
        <v>153</v>
      </c>
      <c r="AD480" s="5">
        <v>30980788</v>
      </c>
      <c r="AE480" s="5">
        <v>15097914</v>
      </c>
      <c r="AF480" s="5">
        <v>12309177</v>
      </c>
      <c r="AI480" t="s">
        <v>993</v>
      </c>
      <c r="AJ480">
        <v>31.43</v>
      </c>
      <c r="AL480" t="s">
        <v>476</v>
      </c>
      <c r="AM480">
        <v>7.57</v>
      </c>
      <c r="AO480" t="s">
        <v>476</v>
      </c>
      <c r="AP480">
        <v>66.73</v>
      </c>
      <c r="AQ480">
        <v>70.7</v>
      </c>
      <c r="AS480" t="s">
        <v>476</v>
      </c>
      <c r="AT480">
        <v>8.7200000000000006</v>
      </c>
      <c r="AU480">
        <v>7.88</v>
      </c>
      <c r="AW480" t="s">
        <v>476</v>
      </c>
      <c r="AX480">
        <v>33.29</v>
      </c>
    </row>
    <row r="481" spans="1:50" x14ac:dyDescent="0.35">
      <c r="A481" t="s">
        <v>1064</v>
      </c>
      <c r="B481">
        <v>85.72</v>
      </c>
      <c r="D481" t="s">
        <v>472</v>
      </c>
      <c r="E481">
        <v>66.930000000000007</v>
      </c>
      <c r="G481" t="s">
        <v>1064</v>
      </c>
      <c r="H481">
        <v>0.47399999999999998</v>
      </c>
      <c r="J481" t="s">
        <v>472</v>
      </c>
      <c r="K481">
        <v>11.11</v>
      </c>
      <c r="M481" t="s">
        <v>472</v>
      </c>
      <c r="N481">
        <v>50.9</v>
      </c>
      <c r="P481" t="s">
        <v>508</v>
      </c>
      <c r="Q481">
        <v>33.619999999999997</v>
      </c>
      <c r="S481" t="s">
        <v>1064</v>
      </c>
      <c r="T481">
        <v>0.39100000000000001</v>
      </c>
      <c r="V481" t="s">
        <v>472</v>
      </c>
      <c r="W481">
        <v>37.299999999999997</v>
      </c>
      <c r="Y481" t="s">
        <v>1082</v>
      </c>
      <c r="Z481">
        <v>2.54</v>
      </c>
      <c r="AC481" s="4" t="s">
        <v>156</v>
      </c>
      <c r="AD481" s="5">
        <v>13883052</v>
      </c>
      <c r="AE481" s="5">
        <v>7620618</v>
      </c>
      <c r="AF481" s="5">
        <v>20785612</v>
      </c>
      <c r="AI481" t="s">
        <v>1064</v>
      </c>
      <c r="AJ481">
        <v>40.11</v>
      </c>
      <c r="AL481" t="s">
        <v>1064</v>
      </c>
      <c r="AM481">
        <v>4.79</v>
      </c>
      <c r="AO481" t="s">
        <v>1064</v>
      </c>
      <c r="AP481">
        <v>65.400000000000006</v>
      </c>
      <c r="AQ481">
        <v>69.36</v>
      </c>
      <c r="AS481" t="s">
        <v>1064</v>
      </c>
      <c r="AT481">
        <v>8.3699999999999992</v>
      </c>
      <c r="AU481">
        <v>8.1199999999999992</v>
      </c>
      <c r="AW481" t="s">
        <v>1064</v>
      </c>
      <c r="AX481">
        <v>34.11</v>
      </c>
    </row>
    <row r="482" spans="1:50" x14ac:dyDescent="0.35">
      <c r="A482" t="s">
        <v>477</v>
      </c>
      <c r="B482">
        <v>86.4</v>
      </c>
      <c r="D482" t="s">
        <v>990</v>
      </c>
      <c r="E482">
        <v>76.28</v>
      </c>
      <c r="G482" t="s">
        <v>477</v>
      </c>
      <c r="H482">
        <v>0.49099999999999999</v>
      </c>
      <c r="J482" t="s">
        <v>990</v>
      </c>
      <c r="K482">
        <v>20</v>
      </c>
      <c r="M482" t="s">
        <v>990</v>
      </c>
      <c r="N482">
        <v>55.4</v>
      </c>
      <c r="P482" t="s">
        <v>507</v>
      </c>
      <c r="Q482">
        <v>29.71</v>
      </c>
      <c r="S482" t="s">
        <v>477</v>
      </c>
      <c r="T482">
        <v>0.38900000000000001</v>
      </c>
      <c r="V482" t="s">
        <v>990</v>
      </c>
      <c r="W482">
        <v>41.15</v>
      </c>
      <c r="Y482" t="s">
        <v>995</v>
      </c>
      <c r="Z482">
        <v>2.7</v>
      </c>
      <c r="AC482" s="4" t="s">
        <v>467</v>
      </c>
      <c r="AD482" s="5">
        <v>126049532</v>
      </c>
      <c r="AE482" s="5">
        <v>21570965</v>
      </c>
      <c r="AF482" s="5">
        <v>24138468</v>
      </c>
      <c r="AI482" t="s">
        <v>995</v>
      </c>
      <c r="AJ482">
        <v>41.43</v>
      </c>
      <c r="AL482" t="s">
        <v>477</v>
      </c>
      <c r="AM482">
        <v>7.32</v>
      </c>
      <c r="AO482" t="s">
        <v>477</v>
      </c>
      <c r="AP482">
        <v>67.44</v>
      </c>
      <c r="AQ482">
        <v>71.400000000000006</v>
      </c>
      <c r="AS482" t="s">
        <v>477</v>
      </c>
      <c r="AT482">
        <v>7.97</v>
      </c>
      <c r="AU482">
        <v>7.59</v>
      </c>
      <c r="AW482" t="s">
        <v>477</v>
      </c>
      <c r="AX482">
        <v>27.8</v>
      </c>
    </row>
    <row r="483" spans="1:50" x14ac:dyDescent="0.35">
      <c r="A483" t="s">
        <v>478</v>
      </c>
      <c r="B483">
        <v>93.51</v>
      </c>
      <c r="D483" t="s">
        <v>991</v>
      </c>
      <c r="E483">
        <v>74.87</v>
      </c>
      <c r="G483" t="s">
        <v>478</v>
      </c>
      <c r="H483">
        <v>0.50900000000000001</v>
      </c>
      <c r="J483" t="s">
        <v>991</v>
      </c>
      <c r="K483">
        <v>20</v>
      </c>
      <c r="M483" t="s">
        <v>991</v>
      </c>
      <c r="N483">
        <v>47.49</v>
      </c>
      <c r="P483" t="s">
        <v>506</v>
      </c>
      <c r="Q483">
        <v>28.34</v>
      </c>
      <c r="S483" t="s">
        <v>478</v>
      </c>
      <c r="T483">
        <v>0.219</v>
      </c>
      <c r="V483" t="s">
        <v>991</v>
      </c>
      <c r="W483">
        <v>38.119999999999997</v>
      </c>
      <c r="Y483" t="s">
        <v>478</v>
      </c>
      <c r="Z483">
        <v>2.52</v>
      </c>
      <c r="AC483" s="4" t="s">
        <v>466</v>
      </c>
      <c r="AD483" s="5">
        <v>40810207</v>
      </c>
      <c r="AE483" s="5">
        <v>26074769</v>
      </c>
      <c r="AF483" s="5">
        <v>21792650</v>
      </c>
      <c r="AI483" t="s">
        <v>478</v>
      </c>
      <c r="AJ483">
        <v>36.54</v>
      </c>
      <c r="AL483" t="s">
        <v>478</v>
      </c>
      <c r="AM483">
        <v>16.420000000000002</v>
      </c>
      <c r="AO483" t="s">
        <v>478</v>
      </c>
      <c r="AP483">
        <v>64.87</v>
      </c>
      <c r="AQ483">
        <v>68.8</v>
      </c>
      <c r="AS483" t="s">
        <v>478</v>
      </c>
      <c r="AT483">
        <v>10.31</v>
      </c>
      <c r="AU483">
        <v>10.14</v>
      </c>
      <c r="AW483" t="s">
        <v>478</v>
      </c>
      <c r="AX483">
        <v>47.34</v>
      </c>
    </row>
    <row r="484" spans="1:50" x14ac:dyDescent="0.35">
      <c r="A484" t="s">
        <v>1063</v>
      </c>
      <c r="B484">
        <v>87.13</v>
      </c>
      <c r="D484" t="s">
        <v>992</v>
      </c>
      <c r="E484">
        <v>60.95</v>
      </c>
      <c r="G484" t="s">
        <v>1063</v>
      </c>
      <c r="H484">
        <v>0.495</v>
      </c>
      <c r="J484" t="s">
        <v>992</v>
      </c>
      <c r="K484">
        <v>13.33</v>
      </c>
      <c r="M484" t="s">
        <v>992</v>
      </c>
      <c r="N484">
        <v>50.53</v>
      </c>
      <c r="P484" t="s">
        <v>510</v>
      </c>
      <c r="Q484">
        <v>18.13</v>
      </c>
      <c r="S484" t="s">
        <v>1063</v>
      </c>
      <c r="T484">
        <v>0.20300000000000001</v>
      </c>
      <c r="V484" t="s">
        <v>992</v>
      </c>
      <c r="W484">
        <v>26.67</v>
      </c>
      <c r="Y484" t="s">
        <v>1083</v>
      </c>
      <c r="Z484">
        <v>2.7</v>
      </c>
      <c r="AC484" s="4" t="s">
        <v>467</v>
      </c>
      <c r="AD484" s="5">
        <v>81359858</v>
      </c>
      <c r="AE484" s="5">
        <v>44352407</v>
      </c>
      <c r="AF484" s="5">
        <v>30124183</v>
      </c>
      <c r="AI484" t="s">
        <v>1083</v>
      </c>
      <c r="AJ484">
        <v>37.520000000000003</v>
      </c>
      <c r="AL484" t="s">
        <v>1063</v>
      </c>
      <c r="AM484">
        <v>24.47</v>
      </c>
      <c r="AO484" t="s">
        <v>1176</v>
      </c>
      <c r="AP484">
        <v>62.13</v>
      </c>
      <c r="AQ484">
        <v>65.94</v>
      </c>
      <c r="AS484" t="s">
        <v>1176</v>
      </c>
      <c r="AT484">
        <v>9.92</v>
      </c>
      <c r="AU484">
        <v>9.91</v>
      </c>
      <c r="AW484" t="s">
        <v>1063</v>
      </c>
      <c r="AX484">
        <v>43.16</v>
      </c>
    </row>
    <row r="485" spans="1:50" x14ac:dyDescent="0.35">
      <c r="A485" t="s">
        <v>479</v>
      </c>
      <c r="B485">
        <v>96.58</v>
      </c>
      <c r="D485" t="s">
        <v>993</v>
      </c>
      <c r="E485">
        <v>60.96</v>
      </c>
      <c r="G485" t="s">
        <v>479</v>
      </c>
      <c r="H485">
        <v>0.53900000000000003</v>
      </c>
      <c r="J485" t="s">
        <v>993</v>
      </c>
      <c r="K485">
        <v>10</v>
      </c>
      <c r="M485" t="s">
        <v>993</v>
      </c>
      <c r="N485">
        <v>49.29</v>
      </c>
      <c r="P485" t="s">
        <v>509</v>
      </c>
      <c r="Q485">
        <v>34.92</v>
      </c>
      <c r="S485" t="s">
        <v>479</v>
      </c>
      <c r="T485">
        <v>0.222</v>
      </c>
      <c r="V485" t="s">
        <v>993</v>
      </c>
      <c r="W485">
        <v>30.17</v>
      </c>
      <c r="Y485" t="s">
        <v>997</v>
      </c>
      <c r="Z485">
        <v>2.36</v>
      </c>
      <c r="AC485" s="4" t="s">
        <v>471</v>
      </c>
      <c r="AD485" s="5">
        <v>46139672</v>
      </c>
      <c r="AE485" s="5">
        <v>11422894</v>
      </c>
      <c r="AF485" s="5">
        <v>2382404</v>
      </c>
      <c r="AI485" t="s">
        <v>997</v>
      </c>
      <c r="AJ485">
        <v>34.58</v>
      </c>
      <c r="AL485" t="s">
        <v>479</v>
      </c>
      <c r="AM485">
        <v>21.79</v>
      </c>
      <c r="AO485" t="s">
        <v>479</v>
      </c>
      <c r="AP485">
        <v>63.89</v>
      </c>
      <c r="AQ485">
        <v>67.760000000000005</v>
      </c>
      <c r="AS485" t="s">
        <v>479</v>
      </c>
      <c r="AT485">
        <v>10.17</v>
      </c>
      <c r="AU485">
        <v>9.75</v>
      </c>
      <c r="AW485" t="s">
        <v>479</v>
      </c>
      <c r="AX485">
        <v>39.450000000000003</v>
      </c>
    </row>
    <row r="486" spans="1:50" x14ac:dyDescent="0.35">
      <c r="A486" t="s">
        <v>480</v>
      </c>
      <c r="B486">
        <v>97.9</v>
      </c>
      <c r="D486" t="s">
        <v>994</v>
      </c>
      <c r="E486">
        <v>57.17</v>
      </c>
      <c r="G486" t="s">
        <v>480</v>
      </c>
      <c r="H486">
        <v>0.56100000000000005</v>
      </c>
      <c r="J486" t="s">
        <v>994</v>
      </c>
      <c r="K486">
        <v>16.670000000000002</v>
      </c>
      <c r="M486" t="s">
        <v>994</v>
      </c>
      <c r="N486">
        <v>56.38</v>
      </c>
      <c r="P486" t="s">
        <v>513</v>
      </c>
      <c r="Q486">
        <v>17.21</v>
      </c>
      <c r="S486" t="s">
        <v>480</v>
      </c>
      <c r="T486">
        <v>0.221</v>
      </c>
      <c r="V486" t="s">
        <v>994</v>
      </c>
      <c r="W486">
        <v>19.41</v>
      </c>
      <c r="Y486" t="s">
        <v>998</v>
      </c>
      <c r="Z486">
        <v>2.3199999999999998</v>
      </c>
      <c r="AC486" s="4" t="s">
        <v>468</v>
      </c>
      <c r="AD486" s="5">
        <v>64083307</v>
      </c>
      <c r="AE486" s="5">
        <v>37842925</v>
      </c>
      <c r="AF486" s="5">
        <v>18730361</v>
      </c>
      <c r="AI486" t="s">
        <v>998</v>
      </c>
      <c r="AJ486">
        <v>33.29</v>
      </c>
      <c r="AL486" t="s">
        <v>480</v>
      </c>
      <c r="AM486">
        <v>17.84</v>
      </c>
      <c r="AO486" t="s">
        <v>480</v>
      </c>
      <c r="AP486">
        <v>65.11</v>
      </c>
      <c r="AQ486">
        <v>69.05</v>
      </c>
      <c r="AS486" t="s">
        <v>480</v>
      </c>
      <c r="AT486">
        <v>10.119999999999999</v>
      </c>
      <c r="AU486">
        <v>9.7100000000000009</v>
      </c>
      <c r="AW486" t="s">
        <v>480</v>
      </c>
      <c r="AX486">
        <v>45.3</v>
      </c>
    </row>
    <row r="487" spans="1:50" x14ac:dyDescent="0.35">
      <c r="A487" t="s">
        <v>481</v>
      </c>
      <c r="B487">
        <v>91.17</v>
      </c>
      <c r="D487" t="s">
        <v>995</v>
      </c>
      <c r="E487">
        <v>57.26</v>
      </c>
      <c r="G487" t="s">
        <v>481</v>
      </c>
      <c r="H487">
        <v>0.55900000000000005</v>
      </c>
      <c r="J487" t="s">
        <v>995</v>
      </c>
      <c r="K487">
        <v>12</v>
      </c>
      <c r="M487" t="s">
        <v>995</v>
      </c>
      <c r="N487">
        <v>51.31</v>
      </c>
      <c r="P487" t="s">
        <v>518</v>
      </c>
      <c r="Q487">
        <v>22.44</v>
      </c>
      <c r="S487" t="s">
        <v>481</v>
      </c>
      <c r="T487">
        <v>0.29899999999999999</v>
      </c>
      <c r="V487" t="s">
        <v>995</v>
      </c>
      <c r="W487">
        <v>22.98</v>
      </c>
      <c r="Y487" t="s">
        <v>999</v>
      </c>
      <c r="Z487">
        <v>2.34</v>
      </c>
      <c r="AC487" s="4" t="s">
        <v>469</v>
      </c>
      <c r="AD487" s="5">
        <v>31694923</v>
      </c>
      <c r="AE487" s="5">
        <v>30055731</v>
      </c>
      <c r="AF487" s="5">
        <v>10804648</v>
      </c>
      <c r="AI487" t="s">
        <v>999</v>
      </c>
      <c r="AJ487">
        <v>36.9</v>
      </c>
      <c r="AL487" t="s">
        <v>481</v>
      </c>
      <c r="AM487">
        <v>16.53</v>
      </c>
      <c r="AO487" t="s">
        <v>481</v>
      </c>
      <c r="AP487">
        <v>65.099999999999994</v>
      </c>
      <c r="AQ487">
        <v>69.040000000000006</v>
      </c>
      <c r="AS487" t="s">
        <v>481</v>
      </c>
      <c r="AT487">
        <v>9.24</v>
      </c>
      <c r="AU487">
        <v>8.73</v>
      </c>
      <c r="AW487" t="s">
        <v>481</v>
      </c>
      <c r="AX487">
        <v>36.28</v>
      </c>
    </row>
    <row r="488" spans="1:50" x14ac:dyDescent="0.35">
      <c r="A488" t="s">
        <v>482</v>
      </c>
      <c r="B488">
        <v>89.16</v>
      </c>
      <c r="D488" t="s">
        <v>478</v>
      </c>
      <c r="E488">
        <v>78.09</v>
      </c>
      <c r="G488" t="s">
        <v>482</v>
      </c>
      <c r="H488">
        <v>0.61399999999999999</v>
      </c>
      <c r="J488" t="s">
        <v>478</v>
      </c>
      <c r="K488">
        <v>26.67</v>
      </c>
      <c r="M488" t="s">
        <v>478</v>
      </c>
      <c r="N488">
        <v>52.77</v>
      </c>
      <c r="P488" t="s">
        <v>520</v>
      </c>
      <c r="Q488">
        <v>35.24</v>
      </c>
      <c r="S488" t="s">
        <v>482</v>
      </c>
      <c r="T488">
        <v>0.23599999999999999</v>
      </c>
      <c r="V488" t="s">
        <v>478</v>
      </c>
      <c r="W488">
        <v>37.06</v>
      </c>
      <c r="Y488" t="s">
        <v>1000</v>
      </c>
      <c r="Z488">
        <v>2.93</v>
      </c>
      <c r="AC488" s="4" t="s">
        <v>470</v>
      </c>
      <c r="AD488" s="5">
        <v>52024514</v>
      </c>
      <c r="AE488" s="5">
        <v>32126432</v>
      </c>
      <c r="AF488" s="5">
        <v>17388766</v>
      </c>
      <c r="AI488" t="s">
        <v>1000</v>
      </c>
      <c r="AJ488">
        <v>37.1</v>
      </c>
      <c r="AL488" t="s">
        <v>482</v>
      </c>
      <c r="AM488">
        <v>24.21</v>
      </c>
      <c r="AO488" t="s">
        <v>482</v>
      </c>
      <c r="AP488">
        <v>61.72</v>
      </c>
      <c r="AQ488">
        <v>65.52</v>
      </c>
      <c r="AS488" t="s">
        <v>482</v>
      </c>
      <c r="AT488">
        <v>9.1</v>
      </c>
      <c r="AU488">
        <v>8.83</v>
      </c>
      <c r="AW488" t="s">
        <v>482</v>
      </c>
      <c r="AX488">
        <v>36.08</v>
      </c>
    </row>
    <row r="489" spans="1:50" x14ac:dyDescent="0.35">
      <c r="A489" t="s">
        <v>483</v>
      </c>
      <c r="B489">
        <v>98.63</v>
      </c>
      <c r="D489" t="s">
        <v>996</v>
      </c>
      <c r="E489">
        <v>77.959999999999994</v>
      </c>
      <c r="G489" t="s">
        <v>483</v>
      </c>
      <c r="H489">
        <v>0.61</v>
      </c>
      <c r="J489" t="s">
        <v>996</v>
      </c>
      <c r="K489">
        <v>24</v>
      </c>
      <c r="M489" t="s">
        <v>996</v>
      </c>
      <c r="N489">
        <v>50.89</v>
      </c>
      <c r="P489" t="s">
        <v>521</v>
      </c>
      <c r="Q489">
        <v>32.58</v>
      </c>
      <c r="S489" t="s">
        <v>483</v>
      </c>
      <c r="T489">
        <v>0.22</v>
      </c>
      <c r="V489" t="s">
        <v>996</v>
      </c>
      <c r="W489">
        <v>42.79</v>
      </c>
      <c r="Y489" t="s">
        <v>1001</v>
      </c>
      <c r="Z489">
        <v>2.91</v>
      </c>
      <c r="AC489" s="4" t="s">
        <v>1140</v>
      </c>
      <c r="AD489" s="5">
        <v>72209042</v>
      </c>
      <c r="AE489" s="5">
        <v>10693966</v>
      </c>
      <c r="AF489" s="5">
        <v>15853570</v>
      </c>
      <c r="AI489" t="s">
        <v>1001</v>
      </c>
      <c r="AJ489">
        <v>35.32</v>
      </c>
      <c r="AL489" t="s">
        <v>483</v>
      </c>
      <c r="AM489">
        <v>22.39</v>
      </c>
      <c r="AO489" t="s">
        <v>483</v>
      </c>
      <c r="AP489">
        <v>60.78</v>
      </c>
      <c r="AQ489">
        <v>64.540000000000006</v>
      </c>
      <c r="AS489" t="s">
        <v>483</v>
      </c>
      <c r="AT489">
        <v>9.34</v>
      </c>
      <c r="AU489">
        <v>9.3699999999999992</v>
      </c>
      <c r="AW489" t="s">
        <v>483</v>
      </c>
      <c r="AX489">
        <v>40.69</v>
      </c>
    </row>
    <row r="490" spans="1:50" x14ac:dyDescent="0.35">
      <c r="A490" t="s">
        <v>484</v>
      </c>
      <c r="B490">
        <v>88.88</v>
      </c>
      <c r="D490" t="s">
        <v>997</v>
      </c>
      <c r="E490">
        <v>69.41</v>
      </c>
      <c r="G490" t="s">
        <v>484</v>
      </c>
      <c r="H490">
        <v>0.64200000000000002</v>
      </c>
      <c r="J490" t="s">
        <v>997</v>
      </c>
      <c r="K490">
        <v>16.670000000000002</v>
      </c>
      <c r="M490" t="s">
        <v>997</v>
      </c>
      <c r="N490">
        <v>61.49</v>
      </c>
      <c r="P490" t="s">
        <v>531</v>
      </c>
      <c r="Q490">
        <v>43.89</v>
      </c>
      <c r="S490" t="s">
        <v>484</v>
      </c>
      <c r="T490">
        <v>0.26700000000000002</v>
      </c>
      <c r="V490" t="s">
        <v>997</v>
      </c>
      <c r="W490">
        <v>37.340000000000003</v>
      </c>
      <c r="Y490" t="s">
        <v>1002</v>
      </c>
      <c r="Z490">
        <v>2.64</v>
      </c>
      <c r="AC490" s="4" t="s">
        <v>161</v>
      </c>
      <c r="AD490" s="5">
        <v>28514202</v>
      </c>
      <c r="AE490" s="5">
        <v>26444493</v>
      </c>
      <c r="AF490" s="5">
        <v>36189938</v>
      </c>
      <c r="AI490" t="s">
        <v>1002</v>
      </c>
      <c r="AJ490">
        <v>50.49</v>
      </c>
      <c r="AL490" t="s">
        <v>484</v>
      </c>
      <c r="AM490">
        <v>21.08</v>
      </c>
      <c r="AO490" t="s">
        <v>484</v>
      </c>
      <c r="AP490">
        <v>58.68</v>
      </c>
      <c r="AQ490">
        <v>62.34</v>
      </c>
      <c r="AS490" t="s">
        <v>484</v>
      </c>
      <c r="AT490">
        <v>9.18</v>
      </c>
      <c r="AU490">
        <v>8.1300000000000008</v>
      </c>
      <c r="AW490" t="s">
        <v>484</v>
      </c>
      <c r="AX490">
        <v>29.18</v>
      </c>
    </row>
    <row r="491" spans="1:50" x14ac:dyDescent="0.35">
      <c r="A491" t="s">
        <v>485</v>
      </c>
      <c r="B491">
        <v>90.47</v>
      </c>
      <c r="D491" t="s">
        <v>998</v>
      </c>
      <c r="E491">
        <v>64.95</v>
      </c>
      <c r="G491" t="s">
        <v>485</v>
      </c>
      <c r="H491">
        <v>0.57299999999999995</v>
      </c>
      <c r="J491" t="s">
        <v>998</v>
      </c>
      <c r="K491">
        <v>12.5</v>
      </c>
      <c r="M491" t="s">
        <v>998</v>
      </c>
      <c r="N491">
        <v>57.29</v>
      </c>
      <c r="P491" t="s">
        <v>532</v>
      </c>
      <c r="Q491">
        <v>47.9</v>
      </c>
      <c r="S491" t="s">
        <v>485</v>
      </c>
      <c r="T491">
        <v>0.17299999999999999</v>
      </c>
      <c r="V491" t="s">
        <v>998</v>
      </c>
      <c r="W491">
        <v>34.53</v>
      </c>
      <c r="Y491" t="s">
        <v>1003</v>
      </c>
      <c r="Z491">
        <v>3.14</v>
      </c>
      <c r="AC491" s="4" t="s">
        <v>163</v>
      </c>
      <c r="AD491" s="5">
        <v>37815691</v>
      </c>
      <c r="AE491" s="5">
        <v>18358729</v>
      </c>
      <c r="AF491" s="5">
        <v>35957686</v>
      </c>
      <c r="AI491" t="s">
        <v>1003</v>
      </c>
      <c r="AJ491">
        <v>43.76</v>
      </c>
      <c r="AL491" t="s">
        <v>485</v>
      </c>
      <c r="AM491">
        <v>28.78</v>
      </c>
      <c r="AO491" t="s">
        <v>485</v>
      </c>
      <c r="AP491">
        <v>61.54</v>
      </c>
      <c r="AQ491">
        <v>65.33</v>
      </c>
      <c r="AS491" t="s">
        <v>485</v>
      </c>
      <c r="AT491">
        <v>9.01</v>
      </c>
      <c r="AU491">
        <v>8.8699999999999992</v>
      </c>
      <c r="AW491" t="s">
        <v>485</v>
      </c>
      <c r="AX491">
        <v>32.79</v>
      </c>
    </row>
    <row r="492" spans="1:50" x14ac:dyDescent="0.35">
      <c r="A492" t="s">
        <v>486</v>
      </c>
      <c r="B492">
        <v>87.21</v>
      </c>
      <c r="D492" t="s">
        <v>999</v>
      </c>
      <c r="E492">
        <v>55.56</v>
      </c>
      <c r="G492" t="s">
        <v>486</v>
      </c>
      <c r="H492">
        <v>0.59799999999999998</v>
      </c>
      <c r="J492" t="s">
        <v>999</v>
      </c>
      <c r="K492">
        <v>8</v>
      </c>
      <c r="M492" t="s">
        <v>999</v>
      </c>
      <c r="N492">
        <v>57.34</v>
      </c>
      <c r="P492" t="s">
        <v>533</v>
      </c>
      <c r="Q492">
        <v>35.93</v>
      </c>
      <c r="S492" t="s">
        <v>486</v>
      </c>
      <c r="T492">
        <v>0.27100000000000002</v>
      </c>
      <c r="V492" t="s">
        <v>999</v>
      </c>
      <c r="W492">
        <v>28.73</v>
      </c>
      <c r="Y492" t="s">
        <v>1004</v>
      </c>
      <c r="Z492">
        <v>2.96</v>
      </c>
      <c r="AC492" s="4" t="s">
        <v>159</v>
      </c>
      <c r="AD492" s="5">
        <v>27738015</v>
      </c>
      <c r="AE492" s="5">
        <v>15602875</v>
      </c>
      <c r="AF492" s="5">
        <v>6347835</v>
      </c>
      <c r="AI492" t="s">
        <v>1004</v>
      </c>
      <c r="AJ492">
        <v>37.68</v>
      </c>
      <c r="AL492" t="s">
        <v>486</v>
      </c>
      <c r="AM492">
        <v>15.28</v>
      </c>
      <c r="AO492" t="s">
        <v>486</v>
      </c>
      <c r="AP492">
        <v>65.040000000000006</v>
      </c>
      <c r="AQ492">
        <v>68.98</v>
      </c>
      <c r="AS492" t="s">
        <v>486</v>
      </c>
      <c r="AT492">
        <v>8.5</v>
      </c>
      <c r="AU492">
        <v>7.97</v>
      </c>
      <c r="AW492" t="s">
        <v>486</v>
      </c>
      <c r="AX492">
        <v>33.96</v>
      </c>
    </row>
    <row r="493" spans="1:50" x14ac:dyDescent="0.35">
      <c r="A493" t="s">
        <v>487</v>
      </c>
      <c r="B493">
        <v>97.86</v>
      </c>
      <c r="D493" t="s">
        <v>1000</v>
      </c>
      <c r="E493">
        <v>63.22</v>
      </c>
      <c r="G493" t="s">
        <v>487</v>
      </c>
      <c r="H493">
        <v>0.48499999999999999</v>
      </c>
      <c r="J493" t="s">
        <v>1000</v>
      </c>
      <c r="K493">
        <v>8</v>
      </c>
      <c r="M493" t="s">
        <v>1000</v>
      </c>
      <c r="N493">
        <v>47.85</v>
      </c>
      <c r="P493" t="s">
        <v>534</v>
      </c>
      <c r="Q493">
        <v>27.98</v>
      </c>
      <c r="S493" t="s">
        <v>487</v>
      </c>
      <c r="T493">
        <v>0.17</v>
      </c>
      <c r="V493" t="s">
        <v>1000</v>
      </c>
      <c r="W493">
        <v>40.909999999999997</v>
      </c>
      <c r="Y493" t="s">
        <v>1005</v>
      </c>
      <c r="Z493">
        <v>2.2599999999999998</v>
      </c>
      <c r="AC493" s="4" t="s">
        <v>164</v>
      </c>
      <c r="AD493" s="5">
        <v>28518856</v>
      </c>
      <c r="AE493" s="5">
        <v>15485191</v>
      </c>
      <c r="AF493" s="5">
        <v>1984479</v>
      </c>
      <c r="AI493" t="s">
        <v>1005</v>
      </c>
      <c r="AJ493">
        <v>25.14</v>
      </c>
      <c r="AL493" t="s">
        <v>487</v>
      </c>
      <c r="AM493">
        <v>5.25</v>
      </c>
      <c r="AO493" t="s">
        <v>487</v>
      </c>
      <c r="AP493">
        <v>69.430000000000007</v>
      </c>
      <c r="AQ493">
        <v>73.400000000000006</v>
      </c>
      <c r="AS493" t="s">
        <v>487</v>
      </c>
      <c r="AT493">
        <v>12.25</v>
      </c>
      <c r="AU493">
        <v>12.16</v>
      </c>
      <c r="AW493" t="s">
        <v>487</v>
      </c>
      <c r="AX493">
        <v>66</v>
      </c>
    </row>
    <row r="494" spans="1:50" x14ac:dyDescent="0.35">
      <c r="A494" t="s">
        <v>488</v>
      </c>
      <c r="B494">
        <v>88.56</v>
      </c>
      <c r="D494" t="s">
        <v>1001</v>
      </c>
      <c r="E494">
        <v>56.39</v>
      </c>
      <c r="G494" t="s">
        <v>488</v>
      </c>
      <c r="H494">
        <v>0.56200000000000006</v>
      </c>
      <c r="J494" t="s">
        <v>1001</v>
      </c>
      <c r="K494">
        <v>3.33</v>
      </c>
      <c r="M494" t="s">
        <v>1001</v>
      </c>
      <c r="N494">
        <v>51.08</v>
      </c>
      <c r="P494" t="s">
        <v>535</v>
      </c>
      <c r="Q494">
        <v>48.03</v>
      </c>
      <c r="S494" t="s">
        <v>488</v>
      </c>
      <c r="T494">
        <v>0.224</v>
      </c>
      <c r="V494" t="s">
        <v>1001</v>
      </c>
      <c r="W494">
        <v>37.659999999999997</v>
      </c>
      <c r="Y494" t="s">
        <v>1006</v>
      </c>
      <c r="Z494">
        <v>2.4</v>
      </c>
      <c r="AC494" s="4" t="s">
        <v>165</v>
      </c>
      <c r="AD494" s="5">
        <v>15283772</v>
      </c>
      <c r="AE494" s="5">
        <v>8943373</v>
      </c>
      <c r="AF494" s="5">
        <v>3958644</v>
      </c>
      <c r="AI494" t="s">
        <v>1006</v>
      </c>
      <c r="AJ494">
        <v>33.82</v>
      </c>
      <c r="AL494" t="s">
        <v>488</v>
      </c>
      <c r="AM494">
        <v>20.68</v>
      </c>
      <c r="AO494" t="s">
        <v>488</v>
      </c>
      <c r="AP494">
        <v>64.739999999999995</v>
      </c>
      <c r="AQ494">
        <v>68.66</v>
      </c>
      <c r="AS494" t="s">
        <v>488</v>
      </c>
      <c r="AT494">
        <v>11.1</v>
      </c>
      <c r="AU494">
        <v>10.43</v>
      </c>
      <c r="AW494" t="s">
        <v>488</v>
      </c>
      <c r="AX494">
        <v>47.03</v>
      </c>
    </row>
    <row r="495" spans="1:50" x14ac:dyDescent="0.35">
      <c r="A495" t="s">
        <v>489</v>
      </c>
      <c r="B495">
        <v>90.59</v>
      </c>
      <c r="D495" t="s">
        <v>1002</v>
      </c>
      <c r="E495">
        <v>53.45</v>
      </c>
      <c r="G495" t="s">
        <v>489</v>
      </c>
      <c r="H495">
        <v>0.51900000000000002</v>
      </c>
      <c r="J495" t="s">
        <v>1002</v>
      </c>
      <c r="K495">
        <v>4</v>
      </c>
      <c r="M495" t="s">
        <v>1002</v>
      </c>
      <c r="N495">
        <v>51.3</v>
      </c>
      <c r="P495" t="s">
        <v>544</v>
      </c>
      <c r="Q495">
        <v>18.59</v>
      </c>
      <c r="S495" t="s">
        <v>489</v>
      </c>
      <c r="T495">
        <v>0.30299999999999999</v>
      </c>
      <c r="V495" t="s">
        <v>1002</v>
      </c>
      <c r="W495">
        <v>31.81</v>
      </c>
      <c r="Y495" t="s">
        <v>489</v>
      </c>
      <c r="Z495">
        <v>2.4700000000000002</v>
      </c>
      <c r="AC495" s="4" t="s">
        <v>162</v>
      </c>
      <c r="AD495" s="5">
        <v>51310960</v>
      </c>
      <c r="AE495" s="5">
        <v>28645843</v>
      </c>
      <c r="AF495" s="5">
        <v>44945480</v>
      </c>
      <c r="AI495" t="s">
        <v>489</v>
      </c>
      <c r="AJ495">
        <v>34.58</v>
      </c>
      <c r="AL495" t="s">
        <v>489</v>
      </c>
      <c r="AM495">
        <v>6.46</v>
      </c>
      <c r="AO495" t="s">
        <v>489</v>
      </c>
      <c r="AP495">
        <v>67.17</v>
      </c>
      <c r="AQ495">
        <v>71.14</v>
      </c>
      <c r="AS495" t="s">
        <v>489</v>
      </c>
      <c r="AT495">
        <v>9.52</v>
      </c>
      <c r="AU495">
        <v>9.01</v>
      </c>
      <c r="AW495" t="s">
        <v>489</v>
      </c>
      <c r="AX495">
        <v>38.450000000000003</v>
      </c>
    </row>
    <row r="496" spans="1:50" x14ac:dyDescent="0.35">
      <c r="A496" t="s">
        <v>490</v>
      </c>
      <c r="B496">
        <v>89.12</v>
      </c>
      <c r="D496" t="s">
        <v>1003</v>
      </c>
      <c r="E496">
        <v>57.47</v>
      </c>
      <c r="G496" t="s">
        <v>490</v>
      </c>
      <c r="H496">
        <v>0.53200000000000003</v>
      </c>
      <c r="J496" t="s">
        <v>1003</v>
      </c>
      <c r="K496">
        <v>5</v>
      </c>
      <c r="M496" t="s">
        <v>1003</v>
      </c>
      <c r="N496">
        <v>44.68</v>
      </c>
      <c r="P496" t="s">
        <v>516</v>
      </c>
      <c r="Q496">
        <v>23.02</v>
      </c>
      <c r="S496" t="s">
        <v>490</v>
      </c>
      <c r="T496">
        <v>0.33500000000000002</v>
      </c>
      <c r="V496" t="s">
        <v>1003</v>
      </c>
      <c r="W496">
        <v>41.38</v>
      </c>
      <c r="Y496" t="s">
        <v>1007</v>
      </c>
      <c r="Z496">
        <v>2.2200000000000002</v>
      </c>
      <c r="AC496" s="4" t="s">
        <v>160</v>
      </c>
      <c r="AD496" s="5">
        <v>33607656</v>
      </c>
      <c r="AE496" s="5">
        <v>17195059</v>
      </c>
      <c r="AF496" s="5">
        <v>22809372</v>
      </c>
      <c r="AI496" t="s">
        <v>1007</v>
      </c>
      <c r="AJ496">
        <v>43.79</v>
      </c>
      <c r="AL496" t="s">
        <v>490</v>
      </c>
      <c r="AM496">
        <v>8.74</v>
      </c>
      <c r="AO496" t="s">
        <v>490</v>
      </c>
      <c r="AP496">
        <v>64.989999999999995</v>
      </c>
      <c r="AQ496">
        <v>68.930000000000007</v>
      </c>
      <c r="AS496" t="s">
        <v>490</v>
      </c>
      <c r="AT496">
        <v>9.09</v>
      </c>
      <c r="AU496">
        <v>8.41</v>
      </c>
      <c r="AW496" t="s">
        <v>490</v>
      </c>
      <c r="AX496">
        <v>31.09</v>
      </c>
    </row>
    <row r="497" spans="1:50" x14ac:dyDescent="0.35">
      <c r="A497" t="s">
        <v>491</v>
      </c>
      <c r="B497">
        <v>90.46</v>
      </c>
      <c r="D497" t="s">
        <v>1004</v>
      </c>
      <c r="E497">
        <v>62.19</v>
      </c>
      <c r="G497" t="s">
        <v>491</v>
      </c>
      <c r="H497">
        <v>0.60599999999999998</v>
      </c>
      <c r="J497" t="s">
        <v>1004</v>
      </c>
      <c r="K497">
        <v>10</v>
      </c>
      <c r="M497" t="s">
        <v>1004</v>
      </c>
      <c r="N497">
        <v>51.74</v>
      </c>
      <c r="P497" t="s">
        <v>525</v>
      </c>
      <c r="Q497">
        <v>39.130000000000003</v>
      </c>
      <c r="S497" t="s">
        <v>491</v>
      </c>
      <c r="T497">
        <v>0.28799999999999998</v>
      </c>
      <c r="V497" t="s">
        <v>1004</v>
      </c>
      <c r="W497">
        <v>31.75</v>
      </c>
      <c r="Y497" t="s">
        <v>1008</v>
      </c>
      <c r="Z497">
        <v>2.75</v>
      </c>
      <c r="AC497" s="4" t="s">
        <v>1141</v>
      </c>
      <c r="AD497" s="5">
        <v>7391531</v>
      </c>
      <c r="AE497" s="5">
        <v>12029818</v>
      </c>
      <c r="AF497" s="5">
        <v>83350185</v>
      </c>
      <c r="AI497" t="s">
        <v>1008</v>
      </c>
      <c r="AJ497">
        <v>38.9</v>
      </c>
      <c r="AL497" t="s">
        <v>491</v>
      </c>
      <c r="AM497">
        <v>11.44</v>
      </c>
      <c r="AO497" t="s">
        <v>491</v>
      </c>
      <c r="AP497">
        <v>63.18</v>
      </c>
      <c r="AQ497">
        <v>67.03</v>
      </c>
      <c r="AS497" t="s">
        <v>491</v>
      </c>
      <c r="AT497">
        <v>9.5500000000000007</v>
      </c>
      <c r="AU497">
        <v>9.02</v>
      </c>
      <c r="AW497" t="s">
        <v>491</v>
      </c>
      <c r="AX497">
        <v>39.270000000000003</v>
      </c>
    </row>
    <row r="498" spans="1:50" x14ac:dyDescent="0.35">
      <c r="A498" t="s">
        <v>492</v>
      </c>
      <c r="B498">
        <v>92.85</v>
      </c>
      <c r="D498" t="s">
        <v>1005</v>
      </c>
      <c r="E498">
        <v>74.709999999999994</v>
      </c>
      <c r="G498" t="s">
        <v>492</v>
      </c>
      <c r="H498">
        <v>0.85699999999999998</v>
      </c>
      <c r="J498" t="s">
        <v>1005</v>
      </c>
      <c r="K498">
        <v>17.14</v>
      </c>
      <c r="M498" t="s">
        <v>1005</v>
      </c>
      <c r="N498">
        <v>50.58</v>
      </c>
      <c r="P498" t="s">
        <v>526</v>
      </c>
      <c r="Q498">
        <v>48.88</v>
      </c>
      <c r="S498" t="s">
        <v>492</v>
      </c>
      <c r="T498">
        <v>0.309</v>
      </c>
      <c r="V498" t="s">
        <v>1005</v>
      </c>
      <c r="W498">
        <v>41.2</v>
      </c>
      <c r="Y498" t="s">
        <v>1009</v>
      </c>
      <c r="Z498">
        <v>2.5</v>
      </c>
      <c r="AC498" s="4" t="s">
        <v>1160</v>
      </c>
      <c r="AD498" s="5">
        <v>79101182</v>
      </c>
      <c r="AE498" s="5">
        <v>34968562</v>
      </c>
      <c r="AF498" s="5">
        <v>41946068</v>
      </c>
      <c r="AI498" t="s">
        <v>1009</v>
      </c>
      <c r="AJ498">
        <v>45.8</v>
      </c>
      <c r="AL498" t="s">
        <v>492</v>
      </c>
      <c r="AM498">
        <v>8.17</v>
      </c>
      <c r="AO498" t="s">
        <v>492</v>
      </c>
      <c r="AP498">
        <v>62.09</v>
      </c>
      <c r="AQ498">
        <v>65.89</v>
      </c>
      <c r="AS498" t="s">
        <v>492</v>
      </c>
      <c r="AT498">
        <v>9.39</v>
      </c>
      <c r="AU498">
        <v>8.89</v>
      </c>
      <c r="AW498" t="s">
        <v>492</v>
      </c>
      <c r="AX498">
        <v>32.35</v>
      </c>
    </row>
    <row r="499" spans="1:50" x14ac:dyDescent="0.35">
      <c r="A499" t="s">
        <v>493</v>
      </c>
      <c r="B499">
        <v>87.58</v>
      </c>
      <c r="D499" t="s">
        <v>1006</v>
      </c>
      <c r="E499">
        <v>58.53</v>
      </c>
      <c r="G499" t="s">
        <v>493</v>
      </c>
      <c r="H499">
        <v>0.61499999999999999</v>
      </c>
      <c r="J499" t="s">
        <v>1006</v>
      </c>
      <c r="K499">
        <v>10</v>
      </c>
      <c r="M499" t="s">
        <v>1006</v>
      </c>
      <c r="N499">
        <v>50.01</v>
      </c>
      <c r="P499" t="s">
        <v>527</v>
      </c>
      <c r="Q499">
        <v>42.88</v>
      </c>
      <c r="S499" t="s">
        <v>493</v>
      </c>
      <c r="T499">
        <v>0.35499999999999998</v>
      </c>
      <c r="V499" t="s">
        <v>1006</v>
      </c>
      <c r="W499">
        <v>26.73</v>
      </c>
      <c r="Y499" t="s">
        <v>1010</v>
      </c>
      <c r="Z499">
        <v>2.86</v>
      </c>
      <c r="AC499" s="4" t="s">
        <v>505</v>
      </c>
      <c r="AD499" s="5">
        <v>78394207</v>
      </c>
      <c r="AE499" s="5">
        <v>27645565</v>
      </c>
      <c r="AF499" s="5">
        <v>23255750</v>
      </c>
      <c r="AI499" t="s">
        <v>1010</v>
      </c>
      <c r="AJ499">
        <v>43.06</v>
      </c>
      <c r="AL499" t="s">
        <v>493</v>
      </c>
      <c r="AM499">
        <v>5.68</v>
      </c>
      <c r="AO499" t="s">
        <v>493</v>
      </c>
      <c r="AP499">
        <v>64.59</v>
      </c>
      <c r="AQ499">
        <v>68.5</v>
      </c>
      <c r="AS499" t="s">
        <v>493</v>
      </c>
      <c r="AT499">
        <v>8.5399999999999991</v>
      </c>
      <c r="AU499">
        <v>7.82</v>
      </c>
      <c r="AW499" t="s">
        <v>493</v>
      </c>
      <c r="AX499">
        <v>26.53</v>
      </c>
    </row>
    <row r="500" spans="1:50" x14ac:dyDescent="0.35">
      <c r="A500" t="s">
        <v>494</v>
      </c>
      <c r="B500">
        <v>90.03</v>
      </c>
      <c r="D500" t="s">
        <v>489</v>
      </c>
      <c r="E500">
        <v>79.05</v>
      </c>
      <c r="G500" t="s">
        <v>494</v>
      </c>
      <c r="H500">
        <v>0.56000000000000005</v>
      </c>
      <c r="J500" t="s">
        <v>489</v>
      </c>
      <c r="K500">
        <v>28.89</v>
      </c>
      <c r="M500" t="s">
        <v>489</v>
      </c>
      <c r="N500">
        <v>48.93</v>
      </c>
      <c r="P500" t="s">
        <v>524</v>
      </c>
      <c r="Q500">
        <v>28.76</v>
      </c>
      <c r="S500" t="s">
        <v>494</v>
      </c>
      <c r="T500">
        <v>0.317</v>
      </c>
      <c r="V500" t="s">
        <v>489</v>
      </c>
      <c r="W500">
        <v>36.409999999999997</v>
      </c>
      <c r="Y500" t="s">
        <v>1011</v>
      </c>
      <c r="Z500">
        <v>2.48</v>
      </c>
      <c r="AC500" s="4" t="s">
        <v>504</v>
      </c>
      <c r="AD500" s="5">
        <v>53196447</v>
      </c>
      <c r="AE500" s="5">
        <v>28139027</v>
      </c>
      <c r="AF500" s="5">
        <v>80592677</v>
      </c>
      <c r="AI500" t="s">
        <v>1011</v>
      </c>
      <c r="AJ500">
        <v>29.03</v>
      </c>
      <c r="AL500" t="s">
        <v>494</v>
      </c>
      <c r="AM500">
        <v>4.62</v>
      </c>
      <c r="AO500" t="s">
        <v>494</v>
      </c>
      <c r="AP500">
        <v>68.19</v>
      </c>
      <c r="AQ500">
        <v>72.13</v>
      </c>
      <c r="AS500" t="s">
        <v>494</v>
      </c>
      <c r="AT500">
        <v>9.2200000000000006</v>
      </c>
      <c r="AU500">
        <v>8.25</v>
      </c>
      <c r="AW500" t="s">
        <v>494</v>
      </c>
      <c r="AX500">
        <v>32.200000000000003</v>
      </c>
    </row>
    <row r="501" spans="1:50" x14ac:dyDescent="0.35">
      <c r="A501" t="s">
        <v>495</v>
      </c>
      <c r="B501">
        <v>82.59</v>
      </c>
      <c r="D501" t="s">
        <v>1007</v>
      </c>
      <c r="E501">
        <v>73.55</v>
      </c>
      <c r="G501" t="s">
        <v>495</v>
      </c>
      <c r="H501">
        <v>0.59699999999999998</v>
      </c>
      <c r="J501" t="s">
        <v>1007</v>
      </c>
      <c r="K501">
        <v>24</v>
      </c>
      <c r="M501" t="s">
        <v>1007</v>
      </c>
      <c r="N501">
        <v>47.56</v>
      </c>
      <c r="P501" t="s">
        <v>541</v>
      </c>
      <c r="Q501">
        <v>67.17</v>
      </c>
      <c r="S501" t="s">
        <v>495</v>
      </c>
      <c r="T501">
        <v>0.316</v>
      </c>
      <c r="V501" t="s">
        <v>1007</v>
      </c>
      <c r="W501">
        <v>33.520000000000003</v>
      </c>
      <c r="Y501" t="s">
        <v>1012</v>
      </c>
      <c r="Z501">
        <v>2.73</v>
      </c>
      <c r="AC501" s="4" t="s">
        <v>503</v>
      </c>
      <c r="AD501" s="5">
        <v>50631855</v>
      </c>
      <c r="AE501" s="5">
        <v>30591623</v>
      </c>
      <c r="AF501" s="5">
        <v>25797305</v>
      </c>
      <c r="AI501" t="s">
        <v>1012</v>
      </c>
      <c r="AJ501">
        <v>28.62</v>
      </c>
      <c r="AL501" t="s">
        <v>495</v>
      </c>
      <c r="AM501">
        <v>12.47</v>
      </c>
      <c r="AO501" t="s">
        <v>495</v>
      </c>
      <c r="AP501">
        <v>67.97</v>
      </c>
      <c r="AQ501">
        <v>71.92</v>
      </c>
      <c r="AS501" t="s">
        <v>495</v>
      </c>
      <c r="AT501">
        <v>9.09</v>
      </c>
      <c r="AU501">
        <v>8.42</v>
      </c>
      <c r="AW501" t="s">
        <v>495</v>
      </c>
      <c r="AX501">
        <v>30.21</v>
      </c>
    </row>
    <row r="502" spans="1:50" x14ac:dyDescent="0.35">
      <c r="A502" t="s">
        <v>496</v>
      </c>
      <c r="B502">
        <v>71.58</v>
      </c>
      <c r="D502" t="s">
        <v>1008</v>
      </c>
      <c r="E502">
        <v>53.32</v>
      </c>
      <c r="G502" t="s">
        <v>496</v>
      </c>
      <c r="H502">
        <v>0.55600000000000005</v>
      </c>
      <c r="J502" t="s">
        <v>1008</v>
      </c>
      <c r="K502">
        <v>5</v>
      </c>
      <c r="M502" t="s">
        <v>1008</v>
      </c>
      <c r="N502">
        <v>43.86</v>
      </c>
      <c r="P502" t="s">
        <v>543</v>
      </c>
      <c r="Q502">
        <v>66.760000000000005</v>
      </c>
      <c r="S502" t="s">
        <v>496</v>
      </c>
      <c r="T502">
        <v>0.33600000000000002</v>
      </c>
      <c r="V502" t="s">
        <v>1008</v>
      </c>
      <c r="W502">
        <v>30.86</v>
      </c>
      <c r="Y502" t="s">
        <v>1013</v>
      </c>
      <c r="Z502">
        <v>2.95</v>
      </c>
      <c r="AC502" s="4" t="s">
        <v>502</v>
      </c>
      <c r="AD502" s="5">
        <v>80033494</v>
      </c>
      <c r="AE502" s="5">
        <v>38819114</v>
      </c>
      <c r="AF502" s="5">
        <v>41164930</v>
      </c>
      <c r="AI502" t="s">
        <v>1013</v>
      </c>
      <c r="AJ502">
        <v>35.26</v>
      </c>
      <c r="AL502" t="s">
        <v>496</v>
      </c>
      <c r="AM502">
        <v>5.38</v>
      </c>
      <c r="AO502" t="s">
        <v>496</v>
      </c>
      <c r="AP502">
        <v>66.16</v>
      </c>
      <c r="AQ502">
        <v>70.150000000000006</v>
      </c>
      <c r="AS502" t="s">
        <v>496</v>
      </c>
      <c r="AT502">
        <v>8.0299999999999994</v>
      </c>
      <c r="AU502">
        <v>7.08</v>
      </c>
      <c r="AW502" t="s">
        <v>496</v>
      </c>
      <c r="AX502">
        <v>26.21</v>
      </c>
    </row>
    <row r="503" spans="1:50" x14ac:dyDescent="0.35">
      <c r="A503" t="s">
        <v>497</v>
      </c>
      <c r="B503">
        <v>84.51</v>
      </c>
      <c r="D503" t="s">
        <v>1009</v>
      </c>
      <c r="E503">
        <v>44.91</v>
      </c>
      <c r="G503" t="s">
        <v>497</v>
      </c>
      <c r="H503">
        <v>0.61699999999999999</v>
      </c>
      <c r="J503" t="s">
        <v>1009</v>
      </c>
      <c r="K503" t="s">
        <v>548</v>
      </c>
      <c r="M503" t="s">
        <v>1009</v>
      </c>
      <c r="N503">
        <v>56.72</v>
      </c>
      <c r="P503" t="s">
        <v>519</v>
      </c>
      <c r="Q503">
        <v>28.08</v>
      </c>
      <c r="S503" t="s">
        <v>497</v>
      </c>
      <c r="T503">
        <v>0.36199999999999999</v>
      </c>
      <c r="V503" t="s">
        <v>1009</v>
      </c>
      <c r="W503">
        <v>28.14</v>
      </c>
      <c r="Y503" t="s">
        <v>1014</v>
      </c>
      <c r="Z503">
        <v>2.41</v>
      </c>
      <c r="AC503" s="4" t="s">
        <v>511</v>
      </c>
      <c r="AD503" s="5">
        <v>34239704</v>
      </c>
      <c r="AE503" s="5">
        <v>22982862</v>
      </c>
      <c r="AF503" s="5">
        <v>26056999</v>
      </c>
      <c r="AI503" t="s">
        <v>1014</v>
      </c>
      <c r="AJ503">
        <v>33.119999999999997</v>
      </c>
      <c r="AL503" t="s">
        <v>497</v>
      </c>
      <c r="AM503">
        <v>7.31</v>
      </c>
      <c r="AO503" t="s">
        <v>497</v>
      </c>
      <c r="AP503">
        <v>60.95</v>
      </c>
      <c r="AQ503">
        <v>64.72</v>
      </c>
      <c r="AS503" t="s">
        <v>497</v>
      </c>
      <c r="AT503">
        <v>8.33</v>
      </c>
      <c r="AU503">
        <v>7.76</v>
      </c>
      <c r="AW503" t="s">
        <v>497</v>
      </c>
      <c r="AX503">
        <v>22.37</v>
      </c>
    </row>
    <row r="504" spans="1:50" x14ac:dyDescent="0.35">
      <c r="A504" t="s">
        <v>498</v>
      </c>
      <c r="B504">
        <v>92.37</v>
      </c>
      <c r="D504" t="s">
        <v>1010</v>
      </c>
      <c r="E504">
        <v>47.19</v>
      </c>
      <c r="G504" t="s">
        <v>498</v>
      </c>
      <c r="H504">
        <v>0.40600000000000003</v>
      </c>
      <c r="J504" t="s">
        <v>1010</v>
      </c>
      <c r="K504">
        <v>6.67</v>
      </c>
      <c r="M504" t="s">
        <v>1010</v>
      </c>
      <c r="N504">
        <v>51.12</v>
      </c>
      <c r="P504" t="s">
        <v>522</v>
      </c>
      <c r="Q504">
        <v>58.96</v>
      </c>
      <c r="S504" t="s">
        <v>498</v>
      </c>
      <c r="T504">
        <v>0.22900000000000001</v>
      </c>
      <c r="V504" t="s">
        <v>1010</v>
      </c>
      <c r="W504">
        <v>21.19</v>
      </c>
      <c r="Y504" t="s">
        <v>1015</v>
      </c>
      <c r="Z504">
        <v>2.0699999999999998</v>
      </c>
      <c r="AC504" s="4" t="s">
        <v>512</v>
      </c>
      <c r="AD504" s="5">
        <v>25815254</v>
      </c>
      <c r="AE504" s="5">
        <v>19405360</v>
      </c>
      <c r="AF504" s="5">
        <v>62342105</v>
      </c>
      <c r="AI504" t="s">
        <v>1015</v>
      </c>
      <c r="AJ504">
        <v>26.06</v>
      </c>
      <c r="AL504" t="s">
        <v>498</v>
      </c>
      <c r="AM504">
        <v>3.39</v>
      </c>
      <c r="AO504" t="s">
        <v>498</v>
      </c>
      <c r="AP504">
        <v>69.760000000000005</v>
      </c>
      <c r="AQ504">
        <v>73.739999999999995</v>
      </c>
      <c r="AS504" t="s">
        <v>498</v>
      </c>
      <c r="AT504">
        <v>12.34</v>
      </c>
      <c r="AU504">
        <v>11.7</v>
      </c>
      <c r="AW504" t="s">
        <v>498</v>
      </c>
      <c r="AX504">
        <v>67.14</v>
      </c>
    </row>
    <row r="505" spans="1:50" x14ac:dyDescent="0.35">
      <c r="A505" t="s">
        <v>499</v>
      </c>
      <c r="B505">
        <v>96.34</v>
      </c>
      <c r="D505" t="s">
        <v>1011</v>
      </c>
      <c r="E505">
        <v>68.400000000000006</v>
      </c>
      <c r="G505" t="s">
        <v>499</v>
      </c>
      <c r="H505">
        <v>0.47099999999999997</v>
      </c>
      <c r="J505" t="s">
        <v>1011</v>
      </c>
      <c r="K505">
        <v>20</v>
      </c>
      <c r="M505" t="s">
        <v>1011</v>
      </c>
      <c r="N505">
        <v>45.45</v>
      </c>
      <c r="P505" t="s">
        <v>542</v>
      </c>
      <c r="Q505">
        <v>41.29</v>
      </c>
      <c r="S505" t="s">
        <v>499</v>
      </c>
      <c r="T505">
        <v>0.19900000000000001</v>
      </c>
      <c r="V505" t="s">
        <v>1011</v>
      </c>
      <c r="W505">
        <v>29.62</v>
      </c>
      <c r="Y505" t="s">
        <v>1016</v>
      </c>
      <c r="Z505">
        <v>2.11</v>
      </c>
      <c r="AC505" s="4" t="s">
        <v>1142</v>
      </c>
      <c r="AD505" s="5">
        <v>130078048</v>
      </c>
      <c r="AE505" s="5">
        <v>35513552</v>
      </c>
      <c r="AF505" s="5">
        <v>13304552</v>
      </c>
      <c r="AI505" t="s">
        <v>1016</v>
      </c>
      <c r="AJ505">
        <v>27.64</v>
      </c>
      <c r="AL505" t="s">
        <v>499</v>
      </c>
      <c r="AM505">
        <v>6.35</v>
      </c>
      <c r="AO505" t="s">
        <v>499</v>
      </c>
      <c r="AP505">
        <v>68.180000000000007</v>
      </c>
      <c r="AQ505">
        <v>72.12</v>
      </c>
      <c r="AS505" t="s">
        <v>499</v>
      </c>
      <c r="AT505">
        <v>10.48</v>
      </c>
      <c r="AU505">
        <v>9.81</v>
      </c>
      <c r="AW505" t="s">
        <v>499</v>
      </c>
      <c r="AX505">
        <v>43.94</v>
      </c>
    </row>
    <row r="506" spans="1:50" x14ac:dyDescent="0.35">
      <c r="A506" t="s">
        <v>500</v>
      </c>
      <c r="B506">
        <v>84.18</v>
      </c>
      <c r="D506" t="s">
        <v>1012</v>
      </c>
      <c r="E506">
        <v>50.05</v>
      </c>
      <c r="G506" t="s">
        <v>500</v>
      </c>
      <c r="H506">
        <v>0.53700000000000003</v>
      </c>
      <c r="J506" t="s">
        <v>1012</v>
      </c>
      <c r="K506">
        <v>5</v>
      </c>
      <c r="M506" t="s">
        <v>1012</v>
      </c>
      <c r="N506">
        <v>52.42</v>
      </c>
      <c r="P506" t="s">
        <v>540</v>
      </c>
      <c r="Q506">
        <v>47.27</v>
      </c>
      <c r="S506" t="s">
        <v>500</v>
      </c>
      <c r="T506">
        <v>0.29899999999999999</v>
      </c>
      <c r="V506" t="s">
        <v>1012</v>
      </c>
      <c r="W506">
        <v>25.63</v>
      </c>
      <c r="Y506" t="s">
        <v>500</v>
      </c>
      <c r="Z506">
        <v>2.66</v>
      </c>
      <c r="AC506" s="4" t="s">
        <v>473</v>
      </c>
      <c r="AD506" s="5">
        <v>69278048</v>
      </c>
      <c r="AE506" s="5">
        <v>40517642</v>
      </c>
      <c r="AF506" s="5">
        <v>18257802</v>
      </c>
      <c r="AI506" t="s">
        <v>500</v>
      </c>
      <c r="AJ506">
        <v>47.23</v>
      </c>
      <c r="AL506" t="s">
        <v>500</v>
      </c>
      <c r="AM506">
        <v>20.49</v>
      </c>
      <c r="AO506" t="s">
        <v>500</v>
      </c>
      <c r="AP506">
        <v>64.88</v>
      </c>
      <c r="AQ506">
        <v>68.81</v>
      </c>
      <c r="AS506" t="s">
        <v>500</v>
      </c>
      <c r="AT506">
        <v>10.46</v>
      </c>
      <c r="AU506">
        <v>7.88</v>
      </c>
      <c r="AW506" t="s">
        <v>500</v>
      </c>
      <c r="AX506">
        <v>49.64</v>
      </c>
    </row>
    <row r="507" spans="1:50" x14ac:dyDescent="0.35">
      <c r="A507" t="s">
        <v>501</v>
      </c>
      <c r="B507">
        <v>83.88</v>
      </c>
      <c r="D507" t="s">
        <v>1013</v>
      </c>
      <c r="E507">
        <v>54.56</v>
      </c>
      <c r="G507" t="s">
        <v>501</v>
      </c>
      <c r="H507">
        <v>0.52400000000000002</v>
      </c>
      <c r="J507" t="s">
        <v>1013</v>
      </c>
      <c r="K507">
        <v>10</v>
      </c>
      <c r="M507" t="s">
        <v>1013</v>
      </c>
      <c r="N507">
        <v>40.409999999999997</v>
      </c>
      <c r="P507" t="s">
        <v>523</v>
      </c>
      <c r="Q507">
        <v>39.43</v>
      </c>
      <c r="S507" t="s">
        <v>501</v>
      </c>
      <c r="T507">
        <v>0.26100000000000001</v>
      </c>
      <c r="V507" t="s">
        <v>1013</v>
      </c>
      <c r="W507">
        <v>27.13</v>
      </c>
      <c r="Y507" t="s">
        <v>1017</v>
      </c>
      <c r="Z507">
        <v>2.4700000000000002</v>
      </c>
      <c r="AC507" s="4" t="s">
        <v>476</v>
      </c>
      <c r="AD507" s="5">
        <v>85399519</v>
      </c>
      <c r="AE507" s="5">
        <v>39893114</v>
      </c>
      <c r="AF507" s="5">
        <v>22363906</v>
      </c>
      <c r="AI507" t="s">
        <v>1017</v>
      </c>
      <c r="AJ507">
        <v>30.16</v>
      </c>
      <c r="AL507" t="s">
        <v>501</v>
      </c>
      <c r="AM507">
        <v>21.38</v>
      </c>
      <c r="AO507" t="s">
        <v>501</v>
      </c>
      <c r="AP507">
        <v>67.08</v>
      </c>
      <c r="AQ507">
        <v>71.05</v>
      </c>
      <c r="AS507" t="s">
        <v>501</v>
      </c>
      <c r="AT507">
        <v>10.81</v>
      </c>
      <c r="AU507">
        <v>8.69</v>
      </c>
      <c r="AW507" t="s">
        <v>501</v>
      </c>
      <c r="AX507">
        <v>56.06</v>
      </c>
    </row>
    <row r="508" spans="1:50" x14ac:dyDescent="0.35">
      <c r="A508" t="s">
        <v>502</v>
      </c>
      <c r="B508">
        <v>84.3</v>
      </c>
      <c r="D508" t="s">
        <v>1014</v>
      </c>
      <c r="E508">
        <v>58.6</v>
      </c>
      <c r="G508" t="s">
        <v>502</v>
      </c>
      <c r="H508">
        <v>0.51100000000000001</v>
      </c>
      <c r="J508" t="s">
        <v>1014</v>
      </c>
      <c r="K508">
        <v>25</v>
      </c>
      <c r="M508" t="s">
        <v>1014</v>
      </c>
      <c r="N508">
        <v>50.34</v>
      </c>
      <c r="P508" t="s">
        <v>536</v>
      </c>
      <c r="Q508">
        <v>20.68</v>
      </c>
      <c r="S508" t="s">
        <v>502</v>
      </c>
      <c r="T508">
        <v>0.247</v>
      </c>
      <c r="V508" t="s">
        <v>1014</v>
      </c>
      <c r="W508">
        <v>13</v>
      </c>
      <c r="Y508" t="s">
        <v>1018</v>
      </c>
      <c r="Z508">
        <v>2.84</v>
      </c>
      <c r="AC508" s="4" t="s">
        <v>474</v>
      </c>
      <c r="AD508" s="5">
        <v>94734478</v>
      </c>
      <c r="AE508" s="5">
        <v>63454540</v>
      </c>
      <c r="AF508" s="5">
        <v>9578493</v>
      </c>
      <c r="AI508" t="s">
        <v>1018</v>
      </c>
      <c r="AJ508">
        <v>44.19</v>
      </c>
      <c r="AL508" t="s">
        <v>502</v>
      </c>
      <c r="AM508">
        <v>14.57</v>
      </c>
      <c r="AO508" t="s">
        <v>502</v>
      </c>
      <c r="AP508">
        <v>63.74</v>
      </c>
      <c r="AQ508">
        <v>67.61</v>
      </c>
      <c r="AS508" t="s">
        <v>502</v>
      </c>
      <c r="AT508">
        <v>10.24</v>
      </c>
      <c r="AU508">
        <v>7.97</v>
      </c>
      <c r="AW508" t="s">
        <v>502</v>
      </c>
      <c r="AX508">
        <v>46.95</v>
      </c>
    </row>
    <row r="509" spans="1:50" x14ac:dyDescent="0.35">
      <c r="A509" t="s">
        <v>503</v>
      </c>
      <c r="B509">
        <v>79.72</v>
      </c>
      <c r="D509" t="s">
        <v>1015</v>
      </c>
      <c r="E509">
        <v>74.45</v>
      </c>
      <c r="G509" t="s">
        <v>503</v>
      </c>
      <c r="H509">
        <v>0.58699999999999997</v>
      </c>
      <c r="J509" t="s">
        <v>1015</v>
      </c>
      <c r="K509">
        <v>20</v>
      </c>
      <c r="M509" t="s">
        <v>1015</v>
      </c>
      <c r="N509">
        <v>49.26</v>
      </c>
      <c r="P509" t="s">
        <v>517</v>
      </c>
      <c r="Q509">
        <v>30.07</v>
      </c>
      <c r="S509" t="s">
        <v>503</v>
      </c>
      <c r="T509">
        <v>0.28999999999999998</v>
      </c>
      <c r="V509" t="s">
        <v>1015</v>
      </c>
      <c r="W509">
        <v>36.520000000000003</v>
      </c>
      <c r="Y509" t="s">
        <v>1019</v>
      </c>
      <c r="Z509">
        <v>4.05</v>
      </c>
      <c r="AC509" s="4" t="s">
        <v>475</v>
      </c>
      <c r="AD509" s="5">
        <v>72375372</v>
      </c>
      <c r="AE509" s="5">
        <v>19678257</v>
      </c>
      <c r="AF509" s="5">
        <v>27629506</v>
      </c>
      <c r="AI509" t="s">
        <v>1019</v>
      </c>
      <c r="AJ509">
        <v>66.69</v>
      </c>
      <c r="AL509" t="s">
        <v>503</v>
      </c>
      <c r="AM509">
        <v>28.9</v>
      </c>
      <c r="AO509" t="s">
        <v>503</v>
      </c>
      <c r="AP509">
        <v>59.07</v>
      </c>
      <c r="AQ509">
        <v>62.75</v>
      </c>
      <c r="AS509" t="s">
        <v>503</v>
      </c>
      <c r="AT509">
        <v>9.52</v>
      </c>
      <c r="AU509">
        <v>7.27</v>
      </c>
      <c r="AW509" t="s">
        <v>503</v>
      </c>
      <c r="AX509">
        <v>34.29</v>
      </c>
    </row>
    <row r="510" spans="1:50" x14ac:dyDescent="0.35">
      <c r="A510" t="s">
        <v>504</v>
      </c>
      <c r="B510">
        <v>86.5</v>
      </c>
      <c r="D510" t="s">
        <v>1016</v>
      </c>
      <c r="E510">
        <v>67.739999999999995</v>
      </c>
      <c r="G510" t="s">
        <v>504</v>
      </c>
      <c r="H510">
        <v>0.56399999999999995</v>
      </c>
      <c r="J510" t="s">
        <v>1016</v>
      </c>
      <c r="K510">
        <v>16</v>
      </c>
      <c r="M510" t="s">
        <v>1016</v>
      </c>
      <c r="N510">
        <v>50.25</v>
      </c>
      <c r="P510" t="s">
        <v>537</v>
      </c>
      <c r="Q510">
        <v>20.07</v>
      </c>
      <c r="S510" t="s">
        <v>504</v>
      </c>
      <c r="T510">
        <v>0.36499999999999999</v>
      </c>
      <c r="V510" t="s">
        <v>1016</v>
      </c>
      <c r="W510">
        <v>33.19</v>
      </c>
      <c r="Y510" t="s">
        <v>1020</v>
      </c>
      <c r="Z510">
        <v>2.48</v>
      </c>
      <c r="AC510" s="4" t="s">
        <v>1143</v>
      </c>
      <c r="AD510" s="5">
        <v>50311049</v>
      </c>
      <c r="AE510" s="5">
        <v>35755372</v>
      </c>
      <c r="AF510" s="5">
        <v>36862497</v>
      </c>
      <c r="AI510" t="s">
        <v>1020</v>
      </c>
      <c r="AJ510">
        <v>56.95</v>
      </c>
      <c r="AL510" t="s">
        <v>504</v>
      </c>
      <c r="AM510">
        <v>28.24</v>
      </c>
      <c r="AO510" t="s">
        <v>504</v>
      </c>
      <c r="AP510">
        <v>59.95</v>
      </c>
      <c r="AQ510">
        <v>63.67</v>
      </c>
      <c r="AS510" t="s">
        <v>504</v>
      </c>
      <c r="AT510">
        <v>9.7100000000000009</v>
      </c>
      <c r="AU510">
        <v>8.5</v>
      </c>
      <c r="AW510" t="s">
        <v>504</v>
      </c>
      <c r="AX510">
        <v>45.17</v>
      </c>
    </row>
    <row r="511" spans="1:50" x14ac:dyDescent="0.35">
      <c r="A511" t="s">
        <v>505</v>
      </c>
      <c r="B511">
        <v>84.86</v>
      </c>
      <c r="D511" t="s">
        <v>500</v>
      </c>
      <c r="E511">
        <v>62.42</v>
      </c>
      <c r="G511" t="s">
        <v>505</v>
      </c>
      <c r="H511">
        <v>0.48499999999999999</v>
      </c>
      <c r="J511" t="s">
        <v>500</v>
      </c>
      <c r="K511">
        <v>14.29</v>
      </c>
      <c r="M511" t="s">
        <v>500</v>
      </c>
      <c r="N511">
        <v>42.4</v>
      </c>
      <c r="P511" t="s">
        <v>530</v>
      </c>
      <c r="Q511">
        <v>51.68</v>
      </c>
      <c r="S511" t="s">
        <v>505</v>
      </c>
      <c r="T511">
        <v>0.35899999999999999</v>
      </c>
      <c r="V511" t="s">
        <v>500</v>
      </c>
      <c r="W511">
        <v>28.46</v>
      </c>
      <c r="Y511" t="s">
        <v>1021</v>
      </c>
      <c r="Z511">
        <v>2.29</v>
      </c>
      <c r="AC511" s="4" t="s">
        <v>477</v>
      </c>
      <c r="AD511" s="5">
        <v>44235636</v>
      </c>
      <c r="AE511" s="5">
        <v>21832361</v>
      </c>
      <c r="AF511" s="5">
        <v>12999985</v>
      </c>
      <c r="AI511" t="s">
        <v>1021</v>
      </c>
      <c r="AJ511">
        <v>28.17</v>
      </c>
      <c r="AL511" t="s">
        <v>505</v>
      </c>
      <c r="AM511">
        <v>18.73</v>
      </c>
      <c r="AO511" t="s">
        <v>505</v>
      </c>
      <c r="AP511">
        <v>67.62</v>
      </c>
      <c r="AQ511">
        <v>71.569999999999993</v>
      </c>
      <c r="AS511" t="s">
        <v>505</v>
      </c>
      <c r="AT511">
        <v>11.15</v>
      </c>
      <c r="AU511">
        <v>8.5299999999999994</v>
      </c>
      <c r="AW511" t="s">
        <v>505</v>
      </c>
      <c r="AX511">
        <v>42.47</v>
      </c>
    </row>
    <row r="512" spans="1:50" x14ac:dyDescent="0.35">
      <c r="A512" t="s">
        <v>506</v>
      </c>
      <c r="B512">
        <v>83.54</v>
      </c>
      <c r="D512" t="s">
        <v>1017</v>
      </c>
      <c r="E512">
        <v>59.49</v>
      </c>
      <c r="G512" t="s">
        <v>506</v>
      </c>
      <c r="H512">
        <v>0.57599999999999996</v>
      </c>
      <c r="J512" t="s">
        <v>1017</v>
      </c>
      <c r="K512">
        <v>10</v>
      </c>
      <c r="M512" t="s">
        <v>1017</v>
      </c>
      <c r="N512">
        <v>41.12</v>
      </c>
      <c r="P512" t="s">
        <v>538</v>
      </c>
      <c r="Q512">
        <v>26.1</v>
      </c>
      <c r="S512" t="s">
        <v>506</v>
      </c>
      <c r="T512">
        <v>0.309</v>
      </c>
      <c r="V512" t="s">
        <v>1017</v>
      </c>
      <c r="W512">
        <v>31.26</v>
      </c>
      <c r="Y512" t="s">
        <v>1022</v>
      </c>
      <c r="Z512">
        <v>3.24</v>
      </c>
      <c r="AC512" s="4" t="s">
        <v>1144</v>
      </c>
      <c r="AD512" s="5">
        <v>116535602</v>
      </c>
      <c r="AE512" s="5">
        <v>10303350</v>
      </c>
      <c r="AF512" s="5">
        <v>105232136</v>
      </c>
      <c r="AI512" t="s">
        <v>1022</v>
      </c>
      <c r="AJ512">
        <v>58.98</v>
      </c>
      <c r="AL512" t="s">
        <v>506</v>
      </c>
      <c r="AM512">
        <v>18.11</v>
      </c>
      <c r="AO512" t="s">
        <v>506</v>
      </c>
      <c r="AP512">
        <v>65.09</v>
      </c>
      <c r="AQ512">
        <v>69.03</v>
      </c>
      <c r="AS512" t="s">
        <v>506</v>
      </c>
      <c r="AT512">
        <v>9.77</v>
      </c>
      <c r="AU512">
        <v>7.62</v>
      </c>
      <c r="AW512" t="s">
        <v>506</v>
      </c>
      <c r="AX512">
        <v>27.04</v>
      </c>
    </row>
    <row r="513" spans="1:50" x14ac:dyDescent="0.35">
      <c r="A513" t="s">
        <v>507</v>
      </c>
      <c r="B513">
        <v>86.83</v>
      </c>
      <c r="D513" t="s">
        <v>1018</v>
      </c>
      <c r="E513">
        <v>80.75</v>
      </c>
      <c r="G513" t="s">
        <v>507</v>
      </c>
      <c r="H513">
        <v>0.56499999999999995</v>
      </c>
      <c r="J513" t="s">
        <v>1018</v>
      </c>
      <c r="K513">
        <v>30</v>
      </c>
      <c r="M513" t="s">
        <v>1018</v>
      </c>
      <c r="N513">
        <v>51.13</v>
      </c>
      <c r="P513" t="s">
        <v>539</v>
      </c>
      <c r="Q513">
        <v>17.940000000000001</v>
      </c>
      <c r="S513" t="s">
        <v>507</v>
      </c>
      <c r="T513">
        <v>0.34100000000000003</v>
      </c>
      <c r="V513" t="s">
        <v>1018</v>
      </c>
      <c r="W513">
        <v>37.5</v>
      </c>
      <c r="Y513" t="s">
        <v>1023</v>
      </c>
      <c r="Z513">
        <v>2.48</v>
      </c>
      <c r="AC513" s="4" t="s">
        <v>389</v>
      </c>
      <c r="AD513" s="5">
        <v>58240824</v>
      </c>
      <c r="AE513" s="5">
        <v>11320233</v>
      </c>
      <c r="AF513" s="5">
        <v>22586880</v>
      </c>
      <c r="AI513" t="s">
        <v>1023</v>
      </c>
      <c r="AJ513">
        <v>41.41</v>
      </c>
      <c r="AL513" t="s">
        <v>507</v>
      </c>
      <c r="AM513">
        <v>26.88</v>
      </c>
      <c r="AO513" t="s">
        <v>507</v>
      </c>
      <c r="AP513">
        <v>64.98</v>
      </c>
      <c r="AQ513">
        <v>68.91</v>
      </c>
      <c r="AS513" t="s">
        <v>507</v>
      </c>
      <c r="AT513">
        <v>9.33</v>
      </c>
      <c r="AU513">
        <v>8.2799999999999994</v>
      </c>
      <c r="AW513" t="s">
        <v>507</v>
      </c>
      <c r="AX513">
        <v>37.33</v>
      </c>
    </row>
    <row r="514" spans="1:50" x14ac:dyDescent="0.35">
      <c r="A514" t="s">
        <v>508</v>
      </c>
      <c r="B514">
        <v>79.02</v>
      </c>
      <c r="D514" t="s">
        <v>1019</v>
      </c>
      <c r="E514">
        <v>52.94</v>
      </c>
      <c r="G514" t="s">
        <v>508</v>
      </c>
      <c r="H514">
        <v>0.622</v>
      </c>
      <c r="J514" t="s">
        <v>1019</v>
      </c>
      <c r="K514">
        <v>10</v>
      </c>
      <c r="M514" t="s">
        <v>1019</v>
      </c>
      <c r="N514">
        <v>38.770000000000003</v>
      </c>
      <c r="P514" t="s">
        <v>528</v>
      </c>
      <c r="Q514">
        <v>56.8</v>
      </c>
      <c r="S514" t="s">
        <v>508</v>
      </c>
      <c r="T514">
        <v>0.33800000000000002</v>
      </c>
      <c r="V514" t="s">
        <v>1019</v>
      </c>
      <c r="W514">
        <v>22.08</v>
      </c>
      <c r="Y514" t="s">
        <v>1024</v>
      </c>
      <c r="Z514">
        <v>3.6</v>
      </c>
      <c r="AC514" s="4" t="s">
        <v>388</v>
      </c>
      <c r="AD514" s="5">
        <v>96817917</v>
      </c>
      <c r="AE514" s="5">
        <v>25084597</v>
      </c>
      <c r="AF514" s="5">
        <v>112120122</v>
      </c>
      <c r="AI514" t="s">
        <v>1024</v>
      </c>
      <c r="AJ514">
        <v>54.74</v>
      </c>
      <c r="AL514" t="s">
        <v>508</v>
      </c>
      <c r="AM514">
        <v>16.760000000000002</v>
      </c>
      <c r="AO514" t="s">
        <v>508</v>
      </c>
      <c r="AP514">
        <v>63.53</v>
      </c>
      <c r="AQ514">
        <v>67.39</v>
      </c>
      <c r="AS514" t="s">
        <v>508</v>
      </c>
      <c r="AT514">
        <v>9.3800000000000008</v>
      </c>
      <c r="AU514">
        <v>7.99</v>
      </c>
      <c r="AW514" t="s">
        <v>508</v>
      </c>
      <c r="AX514">
        <v>30.66</v>
      </c>
    </row>
    <row r="515" spans="1:50" x14ac:dyDescent="0.35">
      <c r="A515" t="s">
        <v>509</v>
      </c>
      <c r="B515">
        <v>70.180000000000007</v>
      </c>
      <c r="D515" t="s">
        <v>1020</v>
      </c>
      <c r="E515">
        <v>53.82</v>
      </c>
      <c r="G515" t="s">
        <v>509</v>
      </c>
      <c r="H515">
        <v>0.84199999999999997</v>
      </c>
      <c r="J515" t="s">
        <v>1020</v>
      </c>
      <c r="K515">
        <v>10</v>
      </c>
      <c r="M515" t="s">
        <v>1020</v>
      </c>
      <c r="N515">
        <v>33.42</v>
      </c>
      <c r="P515" t="s">
        <v>529</v>
      </c>
      <c r="Q515">
        <v>25.43</v>
      </c>
      <c r="S515" t="s">
        <v>509</v>
      </c>
      <c r="T515">
        <v>0.27</v>
      </c>
      <c r="V515" t="s">
        <v>1020</v>
      </c>
      <c r="W515">
        <v>25.01</v>
      </c>
      <c r="Y515" t="s">
        <v>1025</v>
      </c>
      <c r="Z515">
        <v>4.08</v>
      </c>
      <c r="AC515" s="4" t="s">
        <v>391</v>
      </c>
      <c r="AD515" s="5">
        <v>69650158</v>
      </c>
      <c r="AE515" s="5">
        <v>22551232</v>
      </c>
      <c r="AF515" s="5">
        <v>15693831</v>
      </c>
      <c r="AI515" t="s">
        <v>1025</v>
      </c>
      <c r="AJ515">
        <v>71.14</v>
      </c>
      <c r="AL515" t="s">
        <v>509</v>
      </c>
      <c r="AM515">
        <v>31.23</v>
      </c>
      <c r="AO515" t="s">
        <v>509</v>
      </c>
      <c r="AP515">
        <v>59.34</v>
      </c>
      <c r="AQ515">
        <v>63.03</v>
      </c>
      <c r="AS515" t="s">
        <v>509</v>
      </c>
      <c r="AT515">
        <v>7.89</v>
      </c>
      <c r="AU515">
        <v>5.4</v>
      </c>
      <c r="AW515" t="s">
        <v>509</v>
      </c>
      <c r="AX515">
        <v>36.619999999999997</v>
      </c>
    </row>
    <row r="516" spans="1:50" x14ac:dyDescent="0.35">
      <c r="A516" t="s">
        <v>510</v>
      </c>
      <c r="B516">
        <v>79.02</v>
      </c>
      <c r="D516" t="s">
        <v>1021</v>
      </c>
      <c r="E516">
        <v>74.12</v>
      </c>
      <c r="G516" t="s">
        <v>510</v>
      </c>
      <c r="H516">
        <v>0.80300000000000005</v>
      </c>
      <c r="J516" t="s">
        <v>1021</v>
      </c>
      <c r="K516">
        <v>28</v>
      </c>
      <c r="M516" t="s">
        <v>1021</v>
      </c>
      <c r="N516">
        <v>45.44</v>
      </c>
      <c r="S516" t="s">
        <v>510</v>
      </c>
      <c r="T516">
        <v>0.20599999999999999</v>
      </c>
      <c r="V516" t="s">
        <v>1021</v>
      </c>
      <c r="W516">
        <v>30.44</v>
      </c>
      <c r="Y516" t="s">
        <v>1026</v>
      </c>
      <c r="Z516">
        <v>3.49</v>
      </c>
      <c r="AC516" s="4" t="s">
        <v>392</v>
      </c>
      <c r="AD516" s="5">
        <v>14836688</v>
      </c>
      <c r="AE516" s="5">
        <v>9916402</v>
      </c>
      <c r="AF516" s="5">
        <v>3237467</v>
      </c>
      <c r="AI516" t="s">
        <v>1026</v>
      </c>
      <c r="AJ516">
        <v>71.14</v>
      </c>
      <c r="AL516" t="s">
        <v>510</v>
      </c>
      <c r="AM516">
        <v>30.28</v>
      </c>
      <c r="AO516" t="s">
        <v>510</v>
      </c>
      <c r="AP516">
        <v>63.92</v>
      </c>
      <c r="AQ516">
        <v>67.8</v>
      </c>
      <c r="AS516" t="s">
        <v>510</v>
      </c>
      <c r="AT516">
        <v>9.43</v>
      </c>
      <c r="AU516">
        <v>6.93</v>
      </c>
      <c r="AW516" t="s">
        <v>510</v>
      </c>
      <c r="AX516">
        <v>48.34</v>
      </c>
    </row>
    <row r="517" spans="1:50" x14ac:dyDescent="0.35">
      <c r="A517" t="s">
        <v>511</v>
      </c>
      <c r="B517">
        <v>66.819999999999993</v>
      </c>
      <c r="D517" t="s">
        <v>1022</v>
      </c>
      <c r="E517">
        <v>69.59</v>
      </c>
      <c r="G517" t="s">
        <v>511</v>
      </c>
      <c r="H517">
        <v>0.48</v>
      </c>
      <c r="J517" t="s">
        <v>1022</v>
      </c>
      <c r="K517">
        <v>20</v>
      </c>
      <c r="M517" t="s">
        <v>1022</v>
      </c>
      <c r="N517">
        <v>47.44</v>
      </c>
      <c r="S517" t="s">
        <v>511</v>
      </c>
      <c r="T517">
        <v>0.38400000000000001</v>
      </c>
      <c r="V517" t="s">
        <v>1022</v>
      </c>
      <c r="W517">
        <v>30.92</v>
      </c>
      <c r="Y517" t="s">
        <v>1027</v>
      </c>
      <c r="Z517">
        <v>2.62</v>
      </c>
      <c r="AC517" s="4" t="s">
        <v>390</v>
      </c>
      <c r="AD517" s="5">
        <v>25678444</v>
      </c>
      <c r="AE517" s="5">
        <v>13513380</v>
      </c>
      <c r="AF517" s="5">
        <v>41970503</v>
      </c>
      <c r="AI517" t="s">
        <v>1027</v>
      </c>
      <c r="AJ517">
        <v>54.99</v>
      </c>
      <c r="AL517" t="s">
        <v>511</v>
      </c>
      <c r="AM517">
        <v>27.8</v>
      </c>
      <c r="AO517" t="s">
        <v>511</v>
      </c>
      <c r="AP517">
        <v>66.14</v>
      </c>
      <c r="AQ517">
        <v>70.13</v>
      </c>
      <c r="AS517" t="s">
        <v>511</v>
      </c>
      <c r="AT517">
        <v>9.75</v>
      </c>
      <c r="AU517">
        <v>6.31</v>
      </c>
      <c r="AW517" t="s">
        <v>511</v>
      </c>
      <c r="AX517">
        <v>40.840000000000003</v>
      </c>
    </row>
    <row r="518" spans="1:50" x14ac:dyDescent="0.35">
      <c r="A518" t="s">
        <v>512</v>
      </c>
      <c r="B518">
        <v>78.94</v>
      </c>
      <c r="D518" t="s">
        <v>1023</v>
      </c>
      <c r="E518">
        <v>59.91</v>
      </c>
      <c r="G518" t="s">
        <v>512</v>
      </c>
      <c r="H518">
        <v>0.65100000000000002</v>
      </c>
      <c r="J518" t="s">
        <v>1023</v>
      </c>
      <c r="K518">
        <v>16</v>
      </c>
      <c r="M518" t="s">
        <v>1023</v>
      </c>
      <c r="N518">
        <v>44.29</v>
      </c>
      <c r="S518" t="s">
        <v>512</v>
      </c>
      <c r="T518">
        <v>0.39700000000000002</v>
      </c>
      <c r="V518" t="s">
        <v>1023</v>
      </c>
      <c r="W518">
        <v>22.32</v>
      </c>
      <c r="Y518" t="s">
        <v>1028</v>
      </c>
      <c r="Z518">
        <v>2.85</v>
      </c>
      <c r="AC518" s="4" t="s">
        <v>1145</v>
      </c>
      <c r="AD518" s="5">
        <v>3389925</v>
      </c>
      <c r="AE518" s="5">
        <v>12588531</v>
      </c>
      <c r="AF518" s="5">
        <v>41751258</v>
      </c>
      <c r="AI518" t="s">
        <v>1028</v>
      </c>
      <c r="AJ518">
        <v>54.54</v>
      </c>
      <c r="AL518" t="s">
        <v>512</v>
      </c>
      <c r="AM518">
        <v>32.29</v>
      </c>
      <c r="AO518" t="s">
        <v>512</v>
      </c>
      <c r="AP518">
        <v>65.77</v>
      </c>
      <c r="AQ518">
        <v>69.739999999999995</v>
      </c>
      <c r="AS518" t="s">
        <v>512</v>
      </c>
      <c r="AT518">
        <v>9.06</v>
      </c>
      <c r="AU518">
        <v>4.91</v>
      </c>
      <c r="AW518" t="s">
        <v>512</v>
      </c>
      <c r="AX518">
        <v>20.32</v>
      </c>
    </row>
    <row r="519" spans="1:50" x14ac:dyDescent="0.35">
      <c r="A519" t="s">
        <v>513</v>
      </c>
      <c r="B519">
        <v>92.14</v>
      </c>
      <c r="D519" t="s">
        <v>1024</v>
      </c>
      <c r="E519">
        <v>53.96</v>
      </c>
      <c r="G519" t="s">
        <v>513</v>
      </c>
      <c r="H519">
        <v>0.45200000000000001</v>
      </c>
      <c r="J519" t="s">
        <v>1024</v>
      </c>
      <c r="K519">
        <v>10</v>
      </c>
      <c r="M519" t="s">
        <v>1024</v>
      </c>
      <c r="N519">
        <v>44.95</v>
      </c>
      <c r="S519" t="s">
        <v>513</v>
      </c>
      <c r="T519">
        <v>0.23499999999999999</v>
      </c>
      <c r="V519" t="s">
        <v>1024</v>
      </c>
      <c r="W519">
        <v>25.16</v>
      </c>
      <c r="Y519" t="s">
        <v>1029</v>
      </c>
      <c r="Z519">
        <v>2.2000000000000002</v>
      </c>
      <c r="AC519" s="4" t="s">
        <v>516</v>
      </c>
      <c r="AD519" s="5">
        <v>141316508</v>
      </c>
      <c r="AE519" s="5">
        <v>80489057</v>
      </c>
      <c r="AF519" s="5">
        <v>68959226</v>
      </c>
      <c r="AI519" t="s">
        <v>1029</v>
      </c>
      <c r="AJ519">
        <v>26.93</v>
      </c>
      <c r="AL519" t="s">
        <v>513</v>
      </c>
      <c r="AM519">
        <v>14.41</v>
      </c>
      <c r="AO519" t="s">
        <v>513</v>
      </c>
      <c r="AP519">
        <v>69.97</v>
      </c>
      <c r="AQ519">
        <v>73.959999999999994</v>
      </c>
      <c r="AS519" t="s">
        <v>513</v>
      </c>
      <c r="AT519">
        <v>11.58</v>
      </c>
      <c r="AU519">
        <v>11.47</v>
      </c>
      <c r="AW519" t="s">
        <v>513</v>
      </c>
      <c r="AX519">
        <v>70.97</v>
      </c>
    </row>
    <row r="520" spans="1:50" x14ac:dyDescent="0.35">
      <c r="A520" t="s">
        <v>514</v>
      </c>
      <c r="B520" t="s">
        <v>548</v>
      </c>
      <c r="D520" t="s">
        <v>1025</v>
      </c>
      <c r="E520">
        <v>40.03</v>
      </c>
      <c r="G520" t="s">
        <v>514</v>
      </c>
      <c r="H520" t="s">
        <v>548</v>
      </c>
      <c r="J520" t="s">
        <v>1025</v>
      </c>
      <c r="K520" t="s">
        <v>548</v>
      </c>
      <c r="M520" t="s">
        <v>1025</v>
      </c>
      <c r="N520">
        <v>51.69</v>
      </c>
      <c r="S520" t="s">
        <v>514</v>
      </c>
      <c r="T520" t="s">
        <v>548</v>
      </c>
      <c r="V520" t="s">
        <v>1025</v>
      </c>
      <c r="W520">
        <v>37.57</v>
      </c>
      <c r="Y520" t="s">
        <v>515</v>
      </c>
      <c r="Z520">
        <v>2.76</v>
      </c>
      <c r="AC520" s="4" t="s">
        <v>525</v>
      </c>
      <c r="AD520" s="5">
        <v>90868345</v>
      </c>
      <c r="AE520" s="5">
        <v>44402507</v>
      </c>
      <c r="AF520" s="5">
        <v>88795612</v>
      </c>
      <c r="AI520" t="s">
        <v>515</v>
      </c>
      <c r="AJ520">
        <v>49.04</v>
      </c>
      <c r="AL520" t="s">
        <v>514</v>
      </c>
      <c r="AM520" t="s">
        <v>548</v>
      </c>
      <c r="AO520" t="s">
        <v>514</v>
      </c>
      <c r="AP520" t="s">
        <v>548</v>
      </c>
      <c r="AQ520" t="s">
        <v>548</v>
      </c>
      <c r="AS520" t="s">
        <v>514</v>
      </c>
      <c r="AT520" t="s">
        <v>548</v>
      </c>
      <c r="AU520" t="s">
        <v>548</v>
      </c>
      <c r="AW520" t="s">
        <v>514</v>
      </c>
      <c r="AX520" t="s">
        <v>548</v>
      </c>
    </row>
    <row r="521" spans="1:50" x14ac:dyDescent="0.35">
      <c r="A521" t="s">
        <v>508</v>
      </c>
      <c r="B521" t="s">
        <v>548</v>
      </c>
      <c r="D521" t="s">
        <v>1026</v>
      </c>
      <c r="E521">
        <v>45.08</v>
      </c>
      <c r="G521" t="s">
        <v>508</v>
      </c>
      <c r="H521" t="s">
        <v>548</v>
      </c>
      <c r="J521" t="s">
        <v>1026</v>
      </c>
      <c r="K521" t="s">
        <v>548</v>
      </c>
      <c r="M521" t="s">
        <v>1026</v>
      </c>
      <c r="N521">
        <v>48.12</v>
      </c>
      <c r="S521" t="s">
        <v>508</v>
      </c>
      <c r="T521" t="s">
        <v>548</v>
      </c>
      <c r="V521" t="s">
        <v>1026</v>
      </c>
      <c r="W521">
        <v>31.03</v>
      </c>
      <c r="Y521" t="s">
        <v>1030</v>
      </c>
      <c r="Z521">
        <v>2.74</v>
      </c>
      <c r="AC521" s="4" t="s">
        <v>526</v>
      </c>
      <c r="AD521" s="5">
        <v>100312131</v>
      </c>
      <c r="AE521" s="5">
        <v>39685262</v>
      </c>
      <c r="AF521" s="5">
        <v>75111935</v>
      </c>
      <c r="AI521" t="s">
        <v>1030</v>
      </c>
      <c r="AJ521">
        <v>31.15</v>
      </c>
      <c r="AL521" t="s">
        <v>508</v>
      </c>
      <c r="AM521" t="s">
        <v>548</v>
      </c>
      <c r="AO521" t="s">
        <v>508</v>
      </c>
      <c r="AP521" t="s">
        <v>548</v>
      </c>
      <c r="AQ521" t="s">
        <v>548</v>
      </c>
      <c r="AS521" t="s">
        <v>508</v>
      </c>
      <c r="AT521" t="s">
        <v>548</v>
      </c>
      <c r="AU521" t="s">
        <v>548</v>
      </c>
      <c r="AW521" t="s">
        <v>508</v>
      </c>
      <c r="AX521" t="s">
        <v>548</v>
      </c>
    </row>
    <row r="522" spans="1:50" x14ac:dyDescent="0.35">
      <c r="A522" t="s">
        <v>507</v>
      </c>
      <c r="B522" t="s">
        <v>548</v>
      </c>
      <c r="D522" t="s">
        <v>1027</v>
      </c>
      <c r="E522">
        <v>63.86</v>
      </c>
      <c r="G522" t="s">
        <v>507</v>
      </c>
      <c r="H522" t="s">
        <v>548</v>
      </c>
      <c r="J522" t="s">
        <v>1027</v>
      </c>
      <c r="K522">
        <v>20</v>
      </c>
      <c r="M522" t="s">
        <v>1027</v>
      </c>
      <c r="N522">
        <v>32.090000000000003</v>
      </c>
      <c r="S522" t="s">
        <v>507</v>
      </c>
      <c r="T522" t="s">
        <v>548</v>
      </c>
      <c r="V522" t="s">
        <v>1027</v>
      </c>
      <c r="W522">
        <v>66.33</v>
      </c>
      <c r="Y522" t="s">
        <v>1031</v>
      </c>
      <c r="Z522">
        <v>2.39</v>
      </c>
      <c r="AC522" s="4" t="s">
        <v>527</v>
      </c>
      <c r="AD522" s="5">
        <v>108534698</v>
      </c>
      <c r="AE522" s="5">
        <v>53425762</v>
      </c>
      <c r="AF522" s="5">
        <v>67641073</v>
      </c>
      <c r="AI522" t="s">
        <v>1031</v>
      </c>
      <c r="AJ522">
        <v>41.48</v>
      </c>
      <c r="AL522" t="s">
        <v>507</v>
      </c>
      <c r="AM522" t="s">
        <v>548</v>
      </c>
      <c r="AO522" t="s">
        <v>507</v>
      </c>
      <c r="AP522" t="s">
        <v>548</v>
      </c>
      <c r="AQ522" t="s">
        <v>548</v>
      </c>
      <c r="AS522" t="s">
        <v>507</v>
      </c>
      <c r="AT522" t="s">
        <v>548</v>
      </c>
      <c r="AU522" t="s">
        <v>548</v>
      </c>
      <c r="AW522" t="s">
        <v>507</v>
      </c>
      <c r="AX522" t="s">
        <v>548</v>
      </c>
    </row>
    <row r="523" spans="1:50" x14ac:dyDescent="0.35">
      <c r="A523" t="s">
        <v>506</v>
      </c>
      <c r="B523" t="s">
        <v>548</v>
      </c>
      <c r="D523" t="s">
        <v>1028</v>
      </c>
      <c r="E523">
        <v>38.21</v>
      </c>
      <c r="G523" t="s">
        <v>506</v>
      </c>
      <c r="H523" t="s">
        <v>548</v>
      </c>
      <c r="J523" t="s">
        <v>1028</v>
      </c>
      <c r="K523">
        <v>5</v>
      </c>
      <c r="M523" t="s">
        <v>1028</v>
      </c>
      <c r="N523">
        <v>25.97</v>
      </c>
      <c r="S523" t="s">
        <v>506</v>
      </c>
      <c r="T523" t="s">
        <v>548</v>
      </c>
      <c r="V523" t="s">
        <v>1028</v>
      </c>
      <c r="W523">
        <v>25.07</v>
      </c>
      <c r="Y523" t="s">
        <v>1032</v>
      </c>
      <c r="Z523">
        <v>2.83</v>
      </c>
      <c r="AC523" s="4" t="s">
        <v>1146</v>
      </c>
      <c r="AD523" s="5">
        <v>2306636</v>
      </c>
      <c r="AE523" s="5">
        <v>16125094</v>
      </c>
      <c r="AF523" s="5">
        <v>15137831</v>
      </c>
      <c r="AI523" t="s">
        <v>1032</v>
      </c>
      <c r="AJ523">
        <v>36.97</v>
      </c>
      <c r="AL523" t="s">
        <v>506</v>
      </c>
      <c r="AM523" t="s">
        <v>548</v>
      </c>
      <c r="AO523" t="s">
        <v>506</v>
      </c>
      <c r="AP523" t="s">
        <v>548</v>
      </c>
      <c r="AQ523" t="s">
        <v>548</v>
      </c>
      <c r="AS523" t="s">
        <v>506</v>
      </c>
      <c r="AT523" t="s">
        <v>548</v>
      </c>
      <c r="AU523" t="s">
        <v>548</v>
      </c>
      <c r="AW523" t="s">
        <v>506</v>
      </c>
      <c r="AX523" t="s">
        <v>548</v>
      </c>
    </row>
    <row r="524" spans="1:50" x14ac:dyDescent="0.35">
      <c r="A524" t="s">
        <v>510</v>
      </c>
      <c r="B524" t="s">
        <v>548</v>
      </c>
      <c r="D524" t="s">
        <v>1029</v>
      </c>
      <c r="E524">
        <v>69.89</v>
      </c>
      <c r="G524" t="s">
        <v>510</v>
      </c>
      <c r="H524" t="s">
        <v>548</v>
      </c>
      <c r="J524" t="s">
        <v>1029</v>
      </c>
      <c r="K524">
        <v>23.33</v>
      </c>
      <c r="M524" t="s">
        <v>1029</v>
      </c>
      <c r="N524">
        <v>41.99</v>
      </c>
      <c r="S524" t="s">
        <v>510</v>
      </c>
      <c r="T524" t="s">
        <v>548</v>
      </c>
      <c r="V524" t="s">
        <v>1029</v>
      </c>
      <c r="W524">
        <v>26.35</v>
      </c>
      <c r="Y524" t="s">
        <v>1033</v>
      </c>
      <c r="Z524">
        <v>2.59</v>
      </c>
      <c r="AC524" s="4" t="s">
        <v>524</v>
      </c>
      <c r="AD524" s="5">
        <v>65179188</v>
      </c>
      <c r="AE524" s="5">
        <v>21878316</v>
      </c>
      <c r="AF524" s="5">
        <v>12587791</v>
      </c>
      <c r="AI524" t="s">
        <v>1033</v>
      </c>
      <c r="AJ524">
        <v>39.71</v>
      </c>
      <c r="AL524" t="s">
        <v>510</v>
      </c>
      <c r="AM524" t="s">
        <v>548</v>
      </c>
      <c r="AO524" t="s">
        <v>510</v>
      </c>
      <c r="AP524" t="s">
        <v>548</v>
      </c>
      <c r="AQ524" t="s">
        <v>548</v>
      </c>
      <c r="AS524" t="s">
        <v>510</v>
      </c>
      <c r="AT524" t="s">
        <v>548</v>
      </c>
      <c r="AU524" t="s">
        <v>548</v>
      </c>
      <c r="AW524" t="s">
        <v>510</v>
      </c>
      <c r="AX524" t="s">
        <v>548</v>
      </c>
    </row>
    <row r="525" spans="1:50" x14ac:dyDescent="0.35">
      <c r="A525" t="s">
        <v>509</v>
      </c>
      <c r="B525" t="s">
        <v>548</v>
      </c>
      <c r="D525" t="s">
        <v>515</v>
      </c>
      <c r="E525">
        <v>65.7</v>
      </c>
      <c r="G525" t="s">
        <v>509</v>
      </c>
      <c r="H525" t="s">
        <v>548</v>
      </c>
      <c r="J525" t="s">
        <v>515</v>
      </c>
      <c r="K525">
        <v>12.73</v>
      </c>
      <c r="M525" t="s">
        <v>515</v>
      </c>
      <c r="N525">
        <v>35.770000000000003</v>
      </c>
      <c r="S525" t="s">
        <v>509</v>
      </c>
      <c r="T525" t="s">
        <v>548</v>
      </c>
      <c r="V525" t="s">
        <v>515</v>
      </c>
      <c r="W525">
        <v>36.840000000000003</v>
      </c>
      <c r="Y525" t="s">
        <v>1034</v>
      </c>
      <c r="Z525">
        <v>3.31</v>
      </c>
      <c r="AC525" s="4" t="s">
        <v>519</v>
      </c>
      <c r="AD525" s="5">
        <v>78845422</v>
      </c>
      <c r="AE525" s="5">
        <v>36307230</v>
      </c>
      <c r="AF525" s="5">
        <v>36271451</v>
      </c>
      <c r="AI525" t="s">
        <v>1034</v>
      </c>
      <c r="AJ525">
        <v>33.19</v>
      </c>
      <c r="AL525" t="s">
        <v>509</v>
      </c>
      <c r="AM525" t="s">
        <v>548</v>
      </c>
      <c r="AO525" t="s">
        <v>509</v>
      </c>
      <c r="AP525" t="s">
        <v>548</v>
      </c>
      <c r="AQ525" t="s">
        <v>548</v>
      </c>
      <c r="AS525" t="s">
        <v>509</v>
      </c>
      <c r="AT525" t="s">
        <v>548</v>
      </c>
      <c r="AU525" t="s">
        <v>548</v>
      </c>
      <c r="AW525" t="s">
        <v>509</v>
      </c>
      <c r="AX525" t="s">
        <v>548</v>
      </c>
    </row>
    <row r="526" spans="1:50" x14ac:dyDescent="0.35">
      <c r="A526" t="s">
        <v>513</v>
      </c>
      <c r="B526" t="s">
        <v>548</v>
      </c>
      <c r="D526" t="s">
        <v>1030</v>
      </c>
      <c r="E526">
        <v>58.74</v>
      </c>
      <c r="G526" t="s">
        <v>513</v>
      </c>
      <c r="H526" t="s">
        <v>548</v>
      </c>
      <c r="J526" t="s">
        <v>1030</v>
      </c>
      <c r="K526">
        <v>6.67</v>
      </c>
      <c r="M526" t="s">
        <v>1030</v>
      </c>
      <c r="N526">
        <v>42.12</v>
      </c>
      <c r="S526" t="s">
        <v>513</v>
      </c>
      <c r="T526" t="s">
        <v>548</v>
      </c>
      <c r="V526" t="s">
        <v>1030</v>
      </c>
      <c r="W526">
        <v>37.26</v>
      </c>
      <c r="Y526" t="s">
        <v>1035</v>
      </c>
      <c r="Z526">
        <v>3.26</v>
      </c>
      <c r="AC526" s="4" t="s">
        <v>522</v>
      </c>
      <c r="AD526" s="5">
        <v>94757244</v>
      </c>
      <c r="AE526" s="5">
        <v>36868241</v>
      </c>
      <c r="AF526" s="5">
        <v>13172512</v>
      </c>
      <c r="AI526" t="s">
        <v>1035</v>
      </c>
      <c r="AJ526">
        <v>35.93</v>
      </c>
      <c r="AL526" t="s">
        <v>513</v>
      </c>
      <c r="AM526" t="s">
        <v>548</v>
      </c>
      <c r="AO526" t="s">
        <v>513</v>
      </c>
      <c r="AP526" t="s">
        <v>548</v>
      </c>
      <c r="AQ526" t="s">
        <v>548</v>
      </c>
      <c r="AS526" t="s">
        <v>513</v>
      </c>
      <c r="AT526" t="s">
        <v>548</v>
      </c>
      <c r="AU526" t="s">
        <v>548</v>
      </c>
      <c r="AW526" t="s">
        <v>513</v>
      </c>
      <c r="AX526" t="s">
        <v>548</v>
      </c>
    </row>
    <row r="527" spans="1:50" x14ac:dyDescent="0.35">
      <c r="A527" t="s">
        <v>515</v>
      </c>
      <c r="B527">
        <v>81.64</v>
      </c>
      <c r="D527" t="s">
        <v>1031</v>
      </c>
      <c r="E527">
        <v>65.63</v>
      </c>
      <c r="G527" t="s">
        <v>515</v>
      </c>
      <c r="H527">
        <v>0.51800000000000002</v>
      </c>
      <c r="J527" t="s">
        <v>1031</v>
      </c>
      <c r="K527">
        <v>10</v>
      </c>
      <c r="M527" t="s">
        <v>1031</v>
      </c>
      <c r="N527">
        <v>49.21</v>
      </c>
      <c r="S527" t="s">
        <v>515</v>
      </c>
      <c r="T527">
        <v>0.27800000000000002</v>
      </c>
      <c r="V527" t="s">
        <v>1031</v>
      </c>
      <c r="W527">
        <v>47.71</v>
      </c>
      <c r="Y527" t="s">
        <v>1036</v>
      </c>
      <c r="Z527">
        <v>2.69</v>
      </c>
      <c r="AC527" s="4" t="s">
        <v>523</v>
      </c>
      <c r="AD527" s="5">
        <v>20417978</v>
      </c>
      <c r="AE527" s="5">
        <v>70081096</v>
      </c>
      <c r="AF527" s="5">
        <v>7481475</v>
      </c>
      <c r="AI527" t="s">
        <v>1036</v>
      </c>
      <c r="AJ527">
        <v>41.48</v>
      </c>
      <c r="AL527" t="s">
        <v>515</v>
      </c>
      <c r="AM527">
        <v>26.03</v>
      </c>
      <c r="AO527" t="s">
        <v>515</v>
      </c>
      <c r="AP527">
        <v>64.53</v>
      </c>
      <c r="AQ527">
        <v>68.45</v>
      </c>
      <c r="AS527" t="s">
        <v>515</v>
      </c>
      <c r="AT527">
        <v>7.62</v>
      </c>
      <c r="AU527">
        <v>6.45</v>
      </c>
      <c r="AW527" t="s">
        <v>515</v>
      </c>
      <c r="AX527">
        <v>32.700000000000003</v>
      </c>
    </row>
    <row r="528" spans="1:50" x14ac:dyDescent="0.35">
      <c r="A528" t="s">
        <v>516</v>
      </c>
      <c r="B528">
        <v>89.64</v>
      </c>
      <c r="D528" t="s">
        <v>1032</v>
      </c>
      <c r="E528">
        <v>70.2</v>
      </c>
      <c r="G528" t="s">
        <v>516</v>
      </c>
      <c r="H528">
        <v>0.496</v>
      </c>
      <c r="J528" t="s">
        <v>1032</v>
      </c>
      <c r="K528">
        <v>16</v>
      </c>
      <c r="M528" t="s">
        <v>1032</v>
      </c>
      <c r="N528">
        <v>39.869999999999997</v>
      </c>
      <c r="S528" t="s">
        <v>516</v>
      </c>
      <c r="T528">
        <v>0.28699999999999998</v>
      </c>
      <c r="V528" t="s">
        <v>1032</v>
      </c>
      <c r="W528">
        <v>34.29</v>
      </c>
      <c r="Y528" t="s">
        <v>1037</v>
      </c>
      <c r="Z528">
        <v>2.46</v>
      </c>
      <c r="AC528" s="4" t="s">
        <v>541</v>
      </c>
      <c r="AD528" s="5">
        <v>55070728</v>
      </c>
      <c r="AE528" s="5">
        <v>36395786</v>
      </c>
      <c r="AF528" s="5">
        <v>11132498</v>
      </c>
      <c r="AI528" t="s">
        <v>1037</v>
      </c>
      <c r="AJ528">
        <v>51.27</v>
      </c>
      <c r="AL528" t="s">
        <v>516</v>
      </c>
      <c r="AM528">
        <v>10.01</v>
      </c>
      <c r="AO528" t="s">
        <v>516</v>
      </c>
      <c r="AP528">
        <v>65.66</v>
      </c>
      <c r="AQ528">
        <v>69.63</v>
      </c>
      <c r="AS528" t="s">
        <v>516</v>
      </c>
      <c r="AT528">
        <v>9.27</v>
      </c>
      <c r="AU528">
        <v>9</v>
      </c>
      <c r="AW528" t="s">
        <v>516</v>
      </c>
      <c r="AX528">
        <v>52.55</v>
      </c>
    </row>
    <row r="529" spans="1:50" x14ac:dyDescent="0.35">
      <c r="A529" t="s">
        <v>517</v>
      </c>
      <c r="B529">
        <v>85.8</v>
      </c>
      <c r="D529" t="s">
        <v>1033</v>
      </c>
      <c r="E529">
        <v>72.41</v>
      </c>
      <c r="G529" t="s">
        <v>517</v>
      </c>
      <c r="H529">
        <v>0.50900000000000001</v>
      </c>
      <c r="J529" t="s">
        <v>1033</v>
      </c>
      <c r="K529">
        <v>20</v>
      </c>
      <c r="M529" t="s">
        <v>1033</v>
      </c>
      <c r="N529">
        <v>38.659999999999997</v>
      </c>
      <c r="S529" t="s">
        <v>517</v>
      </c>
      <c r="T529">
        <v>0.23</v>
      </c>
      <c r="V529" t="s">
        <v>1033</v>
      </c>
      <c r="W529">
        <v>35</v>
      </c>
      <c r="Y529" t="s">
        <v>1038</v>
      </c>
      <c r="Z529">
        <v>2.42</v>
      </c>
      <c r="AC529" s="4" t="s">
        <v>540</v>
      </c>
      <c r="AD529" s="5">
        <v>13009724</v>
      </c>
      <c r="AE529" s="5">
        <v>72854624</v>
      </c>
      <c r="AF529" s="5">
        <v>25322661</v>
      </c>
      <c r="AI529" t="s">
        <v>1038</v>
      </c>
      <c r="AJ529">
        <v>32.130000000000003</v>
      </c>
      <c r="AL529" t="s">
        <v>517</v>
      </c>
      <c r="AM529">
        <v>34.71</v>
      </c>
      <c r="AO529" t="s">
        <v>517</v>
      </c>
      <c r="AP529">
        <v>58.71</v>
      </c>
      <c r="AQ529">
        <v>62.38</v>
      </c>
      <c r="AS529" t="s">
        <v>517</v>
      </c>
      <c r="AT529">
        <v>7.15</v>
      </c>
      <c r="AU529">
        <v>5.32</v>
      </c>
      <c r="AW529" t="s">
        <v>517</v>
      </c>
      <c r="AX529">
        <v>31.94</v>
      </c>
    </row>
    <row r="530" spans="1:50" x14ac:dyDescent="0.35">
      <c r="A530" t="s">
        <v>518</v>
      </c>
      <c r="B530">
        <v>91.61</v>
      </c>
      <c r="D530" t="s">
        <v>1034</v>
      </c>
      <c r="E530">
        <v>68.760000000000005</v>
      </c>
      <c r="G530" t="s">
        <v>518</v>
      </c>
      <c r="H530">
        <v>0.47799999999999998</v>
      </c>
      <c r="J530" t="s">
        <v>1034</v>
      </c>
      <c r="K530">
        <v>16</v>
      </c>
      <c r="M530" t="s">
        <v>1034</v>
      </c>
      <c r="N530">
        <v>32.409999999999997</v>
      </c>
      <c r="S530" t="s">
        <v>518</v>
      </c>
      <c r="T530">
        <v>0.23499999999999999</v>
      </c>
      <c r="V530" t="s">
        <v>1034</v>
      </c>
      <c r="W530">
        <v>37.67</v>
      </c>
      <c r="Y530" t="s">
        <v>1039</v>
      </c>
      <c r="Z530">
        <v>3.51</v>
      </c>
      <c r="AC530" s="4" t="s">
        <v>542</v>
      </c>
      <c r="AD530" s="5">
        <v>18271122</v>
      </c>
      <c r="AE530" s="5">
        <v>58682267</v>
      </c>
      <c r="AF530" s="5">
        <v>27605853</v>
      </c>
      <c r="AI530" t="s">
        <v>1039</v>
      </c>
      <c r="AJ530">
        <v>46.72</v>
      </c>
      <c r="AL530" t="s">
        <v>518</v>
      </c>
      <c r="AM530">
        <v>11.45</v>
      </c>
      <c r="AO530" t="s">
        <v>518</v>
      </c>
      <c r="AP530">
        <v>65.84</v>
      </c>
      <c r="AQ530">
        <v>69.819999999999993</v>
      </c>
      <c r="AS530" t="s">
        <v>518</v>
      </c>
      <c r="AT530">
        <v>10.61</v>
      </c>
      <c r="AU530">
        <v>9.5500000000000007</v>
      </c>
      <c r="AW530" t="s">
        <v>518</v>
      </c>
      <c r="AX530">
        <v>54.14</v>
      </c>
    </row>
    <row r="531" spans="1:50" x14ac:dyDescent="0.35">
      <c r="A531" t="s">
        <v>519</v>
      </c>
      <c r="B531">
        <v>91.19</v>
      </c>
      <c r="D531" t="s">
        <v>1035</v>
      </c>
      <c r="E531">
        <v>70.709999999999994</v>
      </c>
      <c r="G531" t="s">
        <v>519</v>
      </c>
      <c r="H531">
        <v>0.496</v>
      </c>
      <c r="J531" t="s">
        <v>1035</v>
      </c>
      <c r="K531">
        <v>24</v>
      </c>
      <c r="M531" t="s">
        <v>1035</v>
      </c>
      <c r="N531">
        <v>45.44</v>
      </c>
      <c r="S531" t="s">
        <v>519</v>
      </c>
      <c r="T531">
        <v>0.34100000000000003</v>
      </c>
      <c r="V531" t="s">
        <v>1035</v>
      </c>
      <c r="W531">
        <v>31.04</v>
      </c>
      <c r="Y531" t="s">
        <v>1040</v>
      </c>
      <c r="Z531">
        <v>3.85</v>
      </c>
      <c r="AC531" s="4" t="s">
        <v>543</v>
      </c>
      <c r="AD531" s="5">
        <v>63812447</v>
      </c>
      <c r="AE531" s="5">
        <v>33386007</v>
      </c>
      <c r="AF531" s="5">
        <v>16961750</v>
      </c>
      <c r="AI531" t="s">
        <v>1040</v>
      </c>
      <c r="AJ531">
        <v>61.39</v>
      </c>
      <c r="AL531" t="s">
        <v>519</v>
      </c>
      <c r="AM531">
        <v>23.35</v>
      </c>
      <c r="AO531" t="s">
        <v>519</v>
      </c>
      <c r="AP531">
        <v>66.790000000000006</v>
      </c>
      <c r="AQ531">
        <v>70.760000000000005</v>
      </c>
      <c r="AS531" t="s">
        <v>519</v>
      </c>
      <c r="AT531">
        <v>10.56</v>
      </c>
      <c r="AU531">
        <v>9.6999999999999993</v>
      </c>
      <c r="AW531" t="s">
        <v>519</v>
      </c>
      <c r="AX531">
        <v>54.06</v>
      </c>
    </row>
    <row r="532" spans="1:50" x14ac:dyDescent="0.35">
      <c r="A532" t="s">
        <v>520</v>
      </c>
      <c r="B532">
        <v>89.9</v>
      </c>
      <c r="D532" t="s">
        <v>1036</v>
      </c>
      <c r="E532">
        <v>40.200000000000003</v>
      </c>
      <c r="G532" t="s">
        <v>520</v>
      </c>
      <c r="H532">
        <v>0.57999999999999996</v>
      </c>
      <c r="J532" t="s">
        <v>1036</v>
      </c>
      <c r="K532">
        <v>4</v>
      </c>
      <c r="M532" t="s">
        <v>1036</v>
      </c>
      <c r="N532">
        <v>12.45</v>
      </c>
      <c r="S532" t="s">
        <v>520</v>
      </c>
      <c r="T532">
        <v>0.28299999999999997</v>
      </c>
      <c r="V532" t="s">
        <v>1036</v>
      </c>
      <c r="W532">
        <v>48.61</v>
      </c>
      <c r="Y532" t="s">
        <v>1041</v>
      </c>
      <c r="Z532">
        <v>4.22</v>
      </c>
      <c r="AC532" s="4" t="s">
        <v>1147</v>
      </c>
      <c r="AD532" s="5">
        <v>1281787</v>
      </c>
      <c r="AE532" s="5">
        <v>14754237</v>
      </c>
      <c r="AF532" s="5">
        <v>15689448</v>
      </c>
      <c r="AI532" t="s">
        <v>1041</v>
      </c>
      <c r="AJ532">
        <v>57.03</v>
      </c>
      <c r="AL532" t="s">
        <v>520</v>
      </c>
      <c r="AM532">
        <v>25.89</v>
      </c>
      <c r="AO532" t="s">
        <v>520</v>
      </c>
      <c r="AP532">
        <v>67.709999999999994</v>
      </c>
      <c r="AQ532">
        <v>71.66</v>
      </c>
      <c r="AS532" t="s">
        <v>520</v>
      </c>
      <c r="AT532">
        <v>10.35</v>
      </c>
      <c r="AU532">
        <v>8.85</v>
      </c>
      <c r="AW532" t="s">
        <v>520</v>
      </c>
      <c r="AX532">
        <v>45.11</v>
      </c>
    </row>
    <row r="533" spans="1:50" x14ac:dyDescent="0.35">
      <c r="A533" t="s">
        <v>521</v>
      </c>
      <c r="B533">
        <v>90.96</v>
      </c>
      <c r="D533" t="s">
        <v>1037</v>
      </c>
      <c r="E533">
        <v>38.72</v>
      </c>
      <c r="G533" t="s">
        <v>521</v>
      </c>
      <c r="H533">
        <v>0.39200000000000002</v>
      </c>
      <c r="J533" t="s">
        <v>1037</v>
      </c>
      <c r="K533">
        <v>6.67</v>
      </c>
      <c r="M533" t="s">
        <v>1037</v>
      </c>
      <c r="N533">
        <v>6.07</v>
      </c>
      <c r="S533" t="s">
        <v>521</v>
      </c>
      <c r="T533">
        <v>0.25</v>
      </c>
      <c r="V533" t="s">
        <v>1037</v>
      </c>
      <c r="W533">
        <v>44.45</v>
      </c>
      <c r="Y533" t="s">
        <v>1042</v>
      </c>
      <c r="Z533">
        <v>2.57</v>
      </c>
      <c r="AC533" s="4" t="s">
        <v>517</v>
      </c>
      <c r="AD533" s="5">
        <v>61669485</v>
      </c>
      <c r="AE533" s="5">
        <v>60884852</v>
      </c>
      <c r="AF533" s="5">
        <v>12511079</v>
      </c>
      <c r="AI533" t="s">
        <v>1042</v>
      </c>
      <c r="AJ533">
        <v>60.55</v>
      </c>
      <c r="AL533" t="s">
        <v>521</v>
      </c>
      <c r="AM533">
        <v>23.53</v>
      </c>
      <c r="AO533" t="s">
        <v>521</v>
      </c>
      <c r="AP533">
        <v>66.81</v>
      </c>
      <c r="AQ533">
        <v>70.78</v>
      </c>
      <c r="AS533" t="s">
        <v>521</v>
      </c>
      <c r="AT533">
        <v>10.82</v>
      </c>
      <c r="AU533">
        <v>9.8000000000000007</v>
      </c>
      <c r="AW533" t="s">
        <v>521</v>
      </c>
      <c r="AX533">
        <v>50.03</v>
      </c>
    </row>
    <row r="534" spans="1:50" x14ac:dyDescent="0.35">
      <c r="A534" t="s">
        <v>522</v>
      </c>
      <c r="B534">
        <v>69.27</v>
      </c>
      <c r="D534" t="s">
        <v>1038</v>
      </c>
      <c r="E534">
        <v>51.06</v>
      </c>
      <c r="G534" t="s">
        <v>522</v>
      </c>
      <c r="H534">
        <v>0.67400000000000004</v>
      </c>
      <c r="J534" t="s">
        <v>1038</v>
      </c>
      <c r="K534">
        <v>5.88</v>
      </c>
      <c r="M534" t="s">
        <v>1038</v>
      </c>
      <c r="N534">
        <v>39.74</v>
      </c>
      <c r="S534" t="s">
        <v>522</v>
      </c>
      <c r="T534">
        <v>0.312</v>
      </c>
      <c r="V534" t="s">
        <v>1038</v>
      </c>
      <c r="W534">
        <v>23.24</v>
      </c>
      <c r="Y534" t="s">
        <v>1043</v>
      </c>
      <c r="Z534">
        <v>3.1</v>
      </c>
      <c r="AC534" s="4" t="s">
        <v>528</v>
      </c>
      <c r="AD534" s="5">
        <v>76317383</v>
      </c>
      <c r="AE534" s="5">
        <v>62480653</v>
      </c>
      <c r="AF534" s="5">
        <v>10150449</v>
      </c>
      <c r="AI534" t="s">
        <v>1043</v>
      </c>
      <c r="AJ534">
        <v>61.39</v>
      </c>
      <c r="AL534" t="s">
        <v>522</v>
      </c>
      <c r="AM534">
        <v>35.39</v>
      </c>
      <c r="AO534" t="s">
        <v>522</v>
      </c>
      <c r="AP534">
        <v>65.3</v>
      </c>
      <c r="AQ534">
        <v>69.25</v>
      </c>
      <c r="AS534" t="s">
        <v>522</v>
      </c>
      <c r="AT534">
        <v>5.08</v>
      </c>
      <c r="AU534">
        <v>3.46</v>
      </c>
      <c r="AW534" t="s">
        <v>522</v>
      </c>
      <c r="AX534">
        <v>11.1</v>
      </c>
    </row>
    <row r="535" spans="1:50" x14ac:dyDescent="0.35">
      <c r="A535" t="s">
        <v>523</v>
      </c>
      <c r="B535">
        <v>67.86</v>
      </c>
      <c r="D535" t="s">
        <v>1039</v>
      </c>
      <c r="E535">
        <v>52.35</v>
      </c>
      <c r="G535" t="s">
        <v>523</v>
      </c>
      <c r="H535">
        <v>0.52</v>
      </c>
      <c r="J535" t="s">
        <v>1039</v>
      </c>
      <c r="K535">
        <v>5</v>
      </c>
      <c r="M535" t="s">
        <v>1039</v>
      </c>
      <c r="N535">
        <v>35.81</v>
      </c>
      <c r="S535" t="s">
        <v>523</v>
      </c>
      <c r="T535">
        <v>0.21099999999999999</v>
      </c>
      <c r="V535" t="s">
        <v>1039</v>
      </c>
      <c r="W535">
        <v>35.869999999999997</v>
      </c>
      <c r="Y535" t="s">
        <v>1044</v>
      </c>
      <c r="Z535">
        <v>2.79</v>
      </c>
      <c r="AC535" s="4" t="s">
        <v>529</v>
      </c>
      <c r="AD535" s="5">
        <v>50149281</v>
      </c>
      <c r="AE535" s="5">
        <v>55728448</v>
      </c>
      <c r="AF535" s="5">
        <v>77001145</v>
      </c>
      <c r="AI535" t="s">
        <v>1044</v>
      </c>
      <c r="AJ535">
        <v>55.27</v>
      </c>
      <c r="AL535" t="s">
        <v>523</v>
      </c>
      <c r="AM535">
        <v>35.6</v>
      </c>
      <c r="AO535" t="s">
        <v>523</v>
      </c>
      <c r="AP535">
        <v>64.010000000000005</v>
      </c>
      <c r="AQ535">
        <v>67.89</v>
      </c>
      <c r="AS535" t="s">
        <v>523</v>
      </c>
      <c r="AT535">
        <v>5.59</v>
      </c>
      <c r="AU535">
        <v>3.96</v>
      </c>
      <c r="AW535" t="s">
        <v>523</v>
      </c>
      <c r="AX535">
        <v>20.92</v>
      </c>
    </row>
    <row r="536" spans="1:50" x14ac:dyDescent="0.35">
      <c r="A536" t="s">
        <v>524</v>
      </c>
      <c r="B536">
        <v>77.790000000000006</v>
      </c>
      <c r="D536" t="s">
        <v>1040</v>
      </c>
      <c r="E536">
        <v>56.55</v>
      </c>
      <c r="G536" t="s">
        <v>524</v>
      </c>
      <c r="H536">
        <v>0.51300000000000001</v>
      </c>
      <c r="J536" t="s">
        <v>1040</v>
      </c>
      <c r="K536">
        <v>8</v>
      </c>
      <c r="M536" t="s">
        <v>1040</v>
      </c>
      <c r="N536">
        <v>28.92</v>
      </c>
      <c r="S536" t="s">
        <v>524</v>
      </c>
      <c r="T536">
        <v>0.27</v>
      </c>
      <c r="V536" t="s">
        <v>1040</v>
      </c>
      <c r="W536">
        <v>42.01</v>
      </c>
      <c r="Y536" t="s">
        <v>1045</v>
      </c>
      <c r="Z536">
        <v>2.56</v>
      </c>
      <c r="AC536" s="4" t="s">
        <v>530</v>
      </c>
      <c r="AD536" s="5">
        <v>38708652</v>
      </c>
      <c r="AE536" s="5">
        <v>63012028</v>
      </c>
      <c r="AF536" s="5">
        <v>18990296</v>
      </c>
      <c r="AI536" t="s">
        <v>1045</v>
      </c>
      <c r="AJ536">
        <v>39.72</v>
      </c>
      <c r="AL536" t="s">
        <v>524</v>
      </c>
      <c r="AM536">
        <v>13.55</v>
      </c>
      <c r="AO536" t="s">
        <v>524</v>
      </c>
      <c r="AP536">
        <v>70.86</v>
      </c>
      <c r="AQ536">
        <v>74.900000000000006</v>
      </c>
      <c r="AS536" t="s">
        <v>524</v>
      </c>
      <c r="AT536">
        <v>10.63</v>
      </c>
      <c r="AU536">
        <v>10.17</v>
      </c>
      <c r="AW536" t="s">
        <v>524</v>
      </c>
      <c r="AX536">
        <v>57.44</v>
      </c>
    </row>
    <row r="537" spans="1:50" x14ac:dyDescent="0.35">
      <c r="A537" t="s">
        <v>525</v>
      </c>
      <c r="B537">
        <v>80.459999999999994</v>
      </c>
      <c r="D537" t="s">
        <v>1041</v>
      </c>
      <c r="E537">
        <v>73.680000000000007</v>
      </c>
      <c r="G537" t="s">
        <v>525</v>
      </c>
      <c r="H537">
        <v>0.52900000000000003</v>
      </c>
      <c r="J537" t="s">
        <v>1041</v>
      </c>
      <c r="K537">
        <v>32</v>
      </c>
      <c r="M537" t="s">
        <v>1041</v>
      </c>
      <c r="N537">
        <v>25.18</v>
      </c>
      <c r="S537" t="s">
        <v>525</v>
      </c>
      <c r="T537">
        <v>0.27600000000000002</v>
      </c>
      <c r="V537" t="s">
        <v>1041</v>
      </c>
      <c r="W537">
        <v>42.41</v>
      </c>
      <c r="Y537" t="s">
        <v>1046</v>
      </c>
      <c r="Z537">
        <v>2.66</v>
      </c>
      <c r="AC537" s="4" t="s">
        <v>538</v>
      </c>
      <c r="AD537" s="5">
        <v>41457298</v>
      </c>
      <c r="AE537" s="5">
        <v>46771084</v>
      </c>
      <c r="AF537" s="5">
        <v>45258825</v>
      </c>
      <c r="AI537" t="s">
        <v>1046</v>
      </c>
      <c r="AJ537">
        <v>39.72</v>
      </c>
      <c r="AL537" t="s">
        <v>525</v>
      </c>
      <c r="AM537">
        <v>19.8</v>
      </c>
      <c r="AO537" t="s">
        <v>525</v>
      </c>
      <c r="AP537">
        <v>59.17</v>
      </c>
      <c r="AQ537">
        <v>62.86</v>
      </c>
      <c r="AS537" t="s">
        <v>525</v>
      </c>
      <c r="AT537">
        <v>9.61</v>
      </c>
      <c r="AU537">
        <v>8.68</v>
      </c>
      <c r="AW537" t="s">
        <v>525</v>
      </c>
      <c r="AX537">
        <v>47.36</v>
      </c>
    </row>
    <row r="538" spans="1:50" x14ac:dyDescent="0.35">
      <c r="A538" t="s">
        <v>526</v>
      </c>
      <c r="B538">
        <v>85.16</v>
      </c>
      <c r="D538" t="s">
        <v>1042</v>
      </c>
      <c r="E538">
        <v>53.31</v>
      </c>
      <c r="G538" t="s">
        <v>526</v>
      </c>
      <c r="H538">
        <v>0.63800000000000001</v>
      </c>
      <c r="J538" t="s">
        <v>1042</v>
      </c>
      <c r="K538">
        <v>3.03</v>
      </c>
      <c r="M538" t="s">
        <v>1042</v>
      </c>
      <c r="N538">
        <v>29.83</v>
      </c>
      <c r="S538" t="s">
        <v>526</v>
      </c>
      <c r="T538">
        <v>0.374</v>
      </c>
      <c r="V538" t="s">
        <v>1042</v>
      </c>
      <c r="W538">
        <v>43.14</v>
      </c>
      <c r="Y538" t="s">
        <v>1047</v>
      </c>
      <c r="Z538">
        <v>3.31</v>
      </c>
      <c r="AC538" s="4" t="s">
        <v>539</v>
      </c>
      <c r="AD538" s="5">
        <v>36594520</v>
      </c>
      <c r="AE538" s="5">
        <v>52051742</v>
      </c>
      <c r="AF538" s="5">
        <v>9429187</v>
      </c>
      <c r="AI538" t="s">
        <v>1047</v>
      </c>
      <c r="AJ538">
        <v>42.69</v>
      </c>
      <c r="AL538" t="s">
        <v>526</v>
      </c>
      <c r="AM538">
        <v>25.72</v>
      </c>
      <c r="AO538" t="s">
        <v>526</v>
      </c>
      <c r="AP538">
        <v>64.010000000000005</v>
      </c>
      <c r="AQ538">
        <v>67.89</v>
      </c>
      <c r="AS538" t="s">
        <v>526</v>
      </c>
      <c r="AT538">
        <v>7.74</v>
      </c>
      <c r="AU538">
        <v>6.15</v>
      </c>
      <c r="AW538" t="s">
        <v>526</v>
      </c>
      <c r="AX538">
        <v>30.21</v>
      </c>
    </row>
    <row r="539" spans="1:50" x14ac:dyDescent="0.35">
      <c r="A539" t="s">
        <v>527</v>
      </c>
      <c r="B539">
        <v>55.99</v>
      </c>
      <c r="D539" t="s">
        <v>1043</v>
      </c>
      <c r="E539">
        <v>49.53</v>
      </c>
      <c r="G539" t="s">
        <v>527</v>
      </c>
      <c r="H539">
        <v>0.47899999999999998</v>
      </c>
      <c r="J539" t="s">
        <v>1043</v>
      </c>
      <c r="K539">
        <v>4</v>
      </c>
      <c r="M539" t="s">
        <v>1043</v>
      </c>
      <c r="N539">
        <v>24.48</v>
      </c>
      <c r="S539" t="s">
        <v>527</v>
      </c>
      <c r="T539">
        <v>0.36599999999999999</v>
      </c>
      <c r="V539" t="s">
        <v>1043</v>
      </c>
      <c r="W539">
        <v>45.2</v>
      </c>
      <c r="Y539" t="s">
        <v>1048</v>
      </c>
      <c r="Z539">
        <v>4.1100000000000003</v>
      </c>
      <c r="AC539" s="4" t="s">
        <v>537</v>
      </c>
      <c r="AD539" s="5">
        <v>51640650</v>
      </c>
      <c r="AE539" s="5">
        <v>53476360</v>
      </c>
      <c r="AF539" s="5">
        <v>9745830</v>
      </c>
      <c r="AI539" t="s">
        <v>1048</v>
      </c>
      <c r="AJ539">
        <v>41.48</v>
      </c>
      <c r="AL539" t="s">
        <v>527</v>
      </c>
      <c r="AM539">
        <v>24.36</v>
      </c>
      <c r="AO539" t="s">
        <v>527</v>
      </c>
      <c r="AP539">
        <v>57.44</v>
      </c>
      <c r="AQ539">
        <v>61.03</v>
      </c>
      <c r="AS539" t="s">
        <v>527</v>
      </c>
      <c r="AT539">
        <v>6.6</v>
      </c>
      <c r="AU539">
        <v>4.83</v>
      </c>
      <c r="AW539" t="s">
        <v>527</v>
      </c>
      <c r="AX539">
        <v>29.22</v>
      </c>
    </row>
    <row r="540" spans="1:50" x14ac:dyDescent="0.35">
      <c r="A540" t="s">
        <v>528</v>
      </c>
      <c r="B540">
        <v>75.56</v>
      </c>
      <c r="D540" t="s">
        <v>1044</v>
      </c>
      <c r="E540">
        <v>41.47</v>
      </c>
      <c r="G540" t="s">
        <v>528</v>
      </c>
      <c r="H540">
        <v>0.66500000000000004</v>
      </c>
      <c r="J540" t="s">
        <v>1044</v>
      </c>
      <c r="K540">
        <v>6.67</v>
      </c>
      <c r="M540" t="s">
        <v>1044</v>
      </c>
      <c r="N540">
        <v>7.29</v>
      </c>
      <c r="S540" t="s">
        <v>528</v>
      </c>
      <c r="T540">
        <v>0.47899999999999998</v>
      </c>
      <c r="V540" t="s">
        <v>1044</v>
      </c>
      <c r="W540">
        <v>43.72</v>
      </c>
      <c r="Y540" t="s">
        <v>1049</v>
      </c>
      <c r="Z540">
        <v>3.58</v>
      </c>
      <c r="AC540" s="4" t="s">
        <v>536</v>
      </c>
      <c r="AD540" s="5">
        <v>21459250</v>
      </c>
      <c r="AE540" s="5">
        <v>50312820</v>
      </c>
      <c r="AF540" s="5">
        <v>34893650</v>
      </c>
      <c r="AI540" t="s">
        <v>1049</v>
      </c>
      <c r="AJ540">
        <v>47.01</v>
      </c>
      <c r="AL540" t="s">
        <v>528</v>
      </c>
      <c r="AM540">
        <v>36.08</v>
      </c>
      <c r="AO540" t="s">
        <v>528</v>
      </c>
      <c r="AP540">
        <v>64.510000000000005</v>
      </c>
      <c r="AQ540">
        <v>68.42</v>
      </c>
      <c r="AS540" t="s">
        <v>528</v>
      </c>
      <c r="AT540">
        <v>5.84</v>
      </c>
      <c r="AU540">
        <v>3.2</v>
      </c>
      <c r="AW540" t="s">
        <v>528</v>
      </c>
      <c r="AX540">
        <v>8.4499999999999993</v>
      </c>
    </row>
    <row r="541" spans="1:50" x14ac:dyDescent="0.35">
      <c r="A541" t="s">
        <v>529</v>
      </c>
      <c r="B541">
        <v>81.94</v>
      </c>
      <c r="D541" t="s">
        <v>1045</v>
      </c>
      <c r="E541">
        <v>70.349999999999994</v>
      </c>
      <c r="G541" t="s">
        <v>529</v>
      </c>
      <c r="H541">
        <v>0.67600000000000005</v>
      </c>
      <c r="J541" t="s">
        <v>1045</v>
      </c>
      <c r="K541">
        <v>20</v>
      </c>
      <c r="M541" t="s">
        <v>1045</v>
      </c>
      <c r="N541">
        <v>29.88</v>
      </c>
      <c r="S541" t="s">
        <v>529</v>
      </c>
      <c r="T541">
        <v>0.41099999999999998</v>
      </c>
      <c r="V541" t="s">
        <v>1045</v>
      </c>
      <c r="W541">
        <v>35.61</v>
      </c>
      <c r="Y541" t="s">
        <v>1050</v>
      </c>
      <c r="Z541">
        <v>2.5299999999999998</v>
      </c>
      <c r="AC541" s="4" t="s">
        <v>1148</v>
      </c>
      <c r="AD541" s="5">
        <v>4108069</v>
      </c>
      <c r="AE541" s="5">
        <v>14482536</v>
      </c>
      <c r="AF541" s="5">
        <v>69437420</v>
      </c>
      <c r="AI541" t="s">
        <v>1050</v>
      </c>
      <c r="AJ541">
        <v>75.83</v>
      </c>
      <c r="AL541" t="s">
        <v>529</v>
      </c>
      <c r="AM541">
        <v>29.79</v>
      </c>
      <c r="AO541" t="s">
        <v>529</v>
      </c>
      <c r="AP541">
        <v>63.11</v>
      </c>
      <c r="AQ541">
        <v>66.959999999999994</v>
      </c>
      <c r="AS541" t="s">
        <v>529</v>
      </c>
      <c r="AT541">
        <v>5.21</v>
      </c>
      <c r="AU541">
        <v>2.71</v>
      </c>
      <c r="AW541" t="s">
        <v>529</v>
      </c>
      <c r="AX541">
        <v>10.050000000000001</v>
      </c>
    </row>
    <row r="542" spans="1:50" x14ac:dyDescent="0.35">
      <c r="A542" t="s">
        <v>530</v>
      </c>
      <c r="B542">
        <v>62.43</v>
      </c>
      <c r="D542" t="s">
        <v>1046</v>
      </c>
      <c r="E542">
        <v>63.87</v>
      </c>
      <c r="G542" t="s">
        <v>530</v>
      </c>
      <c r="H542">
        <v>0.58599999999999997</v>
      </c>
      <c r="J542" t="s">
        <v>1046</v>
      </c>
      <c r="K542">
        <v>10</v>
      </c>
      <c r="M542" t="s">
        <v>1046</v>
      </c>
      <c r="N542">
        <v>41.09</v>
      </c>
      <c r="S542" t="s">
        <v>530</v>
      </c>
      <c r="T542">
        <v>0.217</v>
      </c>
      <c r="V542" t="s">
        <v>1046</v>
      </c>
      <c r="W542">
        <v>35.47</v>
      </c>
      <c r="Y542" t="s">
        <v>1051</v>
      </c>
      <c r="Z542">
        <v>2.69</v>
      </c>
      <c r="AC542" s="4" t="s">
        <v>507</v>
      </c>
      <c r="AD542" s="5">
        <v>51863225</v>
      </c>
      <c r="AE542" s="5">
        <v>35215159</v>
      </c>
      <c r="AF542" s="5">
        <v>32893791</v>
      </c>
      <c r="AI542" t="s">
        <v>1051</v>
      </c>
      <c r="AJ542">
        <v>57.68</v>
      </c>
      <c r="AL542" t="s">
        <v>530</v>
      </c>
      <c r="AM542">
        <v>31.57</v>
      </c>
      <c r="AO542" t="s">
        <v>530</v>
      </c>
      <c r="AP542">
        <v>64.42</v>
      </c>
      <c r="AQ542">
        <v>68.33</v>
      </c>
      <c r="AS542" t="s">
        <v>530</v>
      </c>
      <c r="AT542">
        <v>4.8499999999999996</v>
      </c>
      <c r="AU542">
        <v>2.34</v>
      </c>
      <c r="AW542" t="s">
        <v>530</v>
      </c>
      <c r="AX542">
        <v>6.24</v>
      </c>
    </row>
    <row r="543" spans="1:50" x14ac:dyDescent="0.35">
      <c r="A543" t="s">
        <v>531</v>
      </c>
      <c r="B543">
        <v>83.72</v>
      </c>
      <c r="D543" t="s">
        <v>1047</v>
      </c>
      <c r="E543">
        <v>55.92</v>
      </c>
      <c r="G543" t="s">
        <v>531</v>
      </c>
      <c r="H543">
        <v>0.439</v>
      </c>
      <c r="J543" t="s">
        <v>1047</v>
      </c>
      <c r="K543">
        <v>5</v>
      </c>
      <c r="M543" t="s">
        <v>1047</v>
      </c>
      <c r="N543">
        <v>38.31</v>
      </c>
      <c r="S543" t="s">
        <v>531</v>
      </c>
      <c r="T543">
        <v>0.24099999999999999</v>
      </c>
      <c r="V543" t="s">
        <v>1047</v>
      </c>
      <c r="W543">
        <v>35.75</v>
      </c>
      <c r="Y543" t="s">
        <v>1052</v>
      </c>
      <c r="Z543">
        <v>2.44</v>
      </c>
      <c r="AC543" s="4" t="s">
        <v>513</v>
      </c>
      <c r="AD543" s="5">
        <v>55950177</v>
      </c>
      <c r="AE543" s="5">
        <v>22125378</v>
      </c>
      <c r="AF543" s="5">
        <v>1098971</v>
      </c>
      <c r="AI543" t="s">
        <v>1052</v>
      </c>
      <c r="AJ543">
        <v>46.28</v>
      </c>
      <c r="AL543" t="s">
        <v>531</v>
      </c>
      <c r="AM543">
        <v>13.21</v>
      </c>
      <c r="AO543" t="s">
        <v>531</v>
      </c>
      <c r="AP543">
        <v>65.14</v>
      </c>
      <c r="AQ543">
        <v>69.09</v>
      </c>
      <c r="AS543" t="s">
        <v>531</v>
      </c>
      <c r="AT543">
        <v>9.99</v>
      </c>
      <c r="AU543">
        <v>8.7100000000000009</v>
      </c>
      <c r="AW543" t="s">
        <v>531</v>
      </c>
      <c r="AX543">
        <v>48.9</v>
      </c>
    </row>
    <row r="544" spans="1:50" x14ac:dyDescent="0.35">
      <c r="A544" t="s">
        <v>532</v>
      </c>
      <c r="B544">
        <v>87.92</v>
      </c>
      <c r="D544" t="s">
        <v>1048</v>
      </c>
      <c r="E544">
        <v>64.180000000000007</v>
      </c>
      <c r="G544" t="s">
        <v>532</v>
      </c>
      <c r="H544">
        <v>0.53400000000000003</v>
      </c>
      <c r="J544" t="s">
        <v>1048</v>
      </c>
      <c r="K544">
        <v>15</v>
      </c>
      <c r="M544" t="s">
        <v>1048</v>
      </c>
      <c r="N544">
        <v>37.51</v>
      </c>
      <c r="S544" t="s">
        <v>532</v>
      </c>
      <c r="T544">
        <v>0.36399999999999999</v>
      </c>
      <c r="V544" t="s">
        <v>1048</v>
      </c>
      <c r="W544">
        <v>32.03</v>
      </c>
      <c r="Y544" t="s">
        <v>1053</v>
      </c>
      <c r="Z544">
        <v>2.79</v>
      </c>
      <c r="AC544" s="4" t="s">
        <v>508</v>
      </c>
      <c r="AD544" s="5">
        <v>80367871</v>
      </c>
      <c r="AE544" s="5">
        <v>43970995</v>
      </c>
      <c r="AF544" s="5">
        <v>59535413</v>
      </c>
      <c r="AI544" t="s">
        <v>1053</v>
      </c>
      <c r="AJ544">
        <v>47.01</v>
      </c>
      <c r="AL544" t="s">
        <v>532</v>
      </c>
      <c r="AM544">
        <v>15.68</v>
      </c>
      <c r="AO544" t="s">
        <v>532</v>
      </c>
      <c r="AP544">
        <v>65.31</v>
      </c>
      <c r="AQ544">
        <v>69.260000000000005</v>
      </c>
      <c r="AS544" t="s">
        <v>532</v>
      </c>
      <c r="AT544">
        <v>9.06</v>
      </c>
      <c r="AU544">
        <v>7.93</v>
      </c>
      <c r="AW544" t="s">
        <v>532</v>
      </c>
      <c r="AX544">
        <v>35.65</v>
      </c>
    </row>
    <row r="545" spans="1:50" x14ac:dyDescent="0.35">
      <c r="A545" t="s">
        <v>533</v>
      </c>
      <c r="B545">
        <v>71.52</v>
      </c>
      <c r="D545" t="s">
        <v>1049</v>
      </c>
      <c r="E545">
        <v>54.83</v>
      </c>
      <c r="G545" t="s">
        <v>533</v>
      </c>
      <c r="H545">
        <v>0.63400000000000001</v>
      </c>
      <c r="J545" t="s">
        <v>1049</v>
      </c>
      <c r="K545">
        <v>15.79</v>
      </c>
      <c r="M545" t="s">
        <v>1049</v>
      </c>
      <c r="N545">
        <v>15.58</v>
      </c>
      <c r="S545" t="s">
        <v>533</v>
      </c>
      <c r="T545">
        <v>0.32100000000000001</v>
      </c>
      <c r="V545" t="s">
        <v>1049</v>
      </c>
      <c r="W545">
        <v>41.69</v>
      </c>
      <c r="Y545" t="s">
        <v>1054</v>
      </c>
      <c r="Z545">
        <v>2.77</v>
      </c>
      <c r="AC545" s="4" t="s">
        <v>506</v>
      </c>
      <c r="AD545" s="5">
        <v>52946067</v>
      </c>
      <c r="AE545" s="5">
        <v>25857074</v>
      </c>
      <c r="AF545" s="5">
        <v>56622176</v>
      </c>
      <c r="AI545" t="s">
        <v>1054</v>
      </c>
      <c r="AJ545">
        <v>59.99</v>
      </c>
      <c r="AL545" t="s">
        <v>533</v>
      </c>
      <c r="AM545">
        <v>29.16</v>
      </c>
      <c r="AO545" t="s">
        <v>533</v>
      </c>
      <c r="AP545">
        <v>65</v>
      </c>
      <c r="AQ545">
        <v>68.94</v>
      </c>
      <c r="AS545" t="s">
        <v>533</v>
      </c>
      <c r="AT545">
        <v>9.92</v>
      </c>
      <c r="AU545">
        <v>8.7200000000000006</v>
      </c>
      <c r="AW545" t="s">
        <v>533</v>
      </c>
      <c r="AX545">
        <v>38.020000000000003</v>
      </c>
    </row>
    <row r="546" spans="1:50" x14ac:dyDescent="0.35">
      <c r="A546" t="s">
        <v>534</v>
      </c>
      <c r="B546">
        <v>78.27</v>
      </c>
      <c r="D546" t="s">
        <v>1050</v>
      </c>
      <c r="E546">
        <v>42.56</v>
      </c>
      <c r="G546" t="s">
        <v>534</v>
      </c>
      <c r="H546">
        <v>0.53</v>
      </c>
      <c r="J546" t="s">
        <v>1050</v>
      </c>
      <c r="K546">
        <v>4</v>
      </c>
      <c r="M546" t="s">
        <v>1050</v>
      </c>
      <c r="N546">
        <v>14.91</v>
      </c>
      <c r="S546" t="s">
        <v>534</v>
      </c>
      <c r="T546">
        <v>0.28699999999999998</v>
      </c>
      <c r="V546" t="s">
        <v>1050</v>
      </c>
      <c r="W546">
        <v>43.59</v>
      </c>
      <c r="Y546" t="s">
        <v>1055</v>
      </c>
      <c r="Z546">
        <v>3.28</v>
      </c>
      <c r="AC546" s="4" t="s">
        <v>510</v>
      </c>
      <c r="AD546" s="5">
        <v>22996067</v>
      </c>
      <c r="AE546" s="5">
        <v>24757417</v>
      </c>
      <c r="AF546" s="5">
        <v>69025785</v>
      </c>
      <c r="AI546" t="s">
        <v>1055</v>
      </c>
      <c r="AJ546">
        <v>60.34</v>
      </c>
      <c r="AL546" t="s">
        <v>534</v>
      </c>
      <c r="AM546">
        <v>36.99</v>
      </c>
      <c r="AO546" t="s">
        <v>534</v>
      </c>
      <c r="AP546">
        <v>64.75</v>
      </c>
      <c r="AQ546">
        <v>68.67</v>
      </c>
      <c r="AS546" t="s">
        <v>534</v>
      </c>
      <c r="AT546">
        <v>9.69</v>
      </c>
      <c r="AU546">
        <v>8.35</v>
      </c>
      <c r="AW546" t="s">
        <v>534</v>
      </c>
      <c r="AX546">
        <v>42.03</v>
      </c>
    </row>
    <row r="547" spans="1:50" x14ac:dyDescent="0.35">
      <c r="A547" t="s">
        <v>535</v>
      </c>
      <c r="B547">
        <v>83.31</v>
      </c>
      <c r="D547" t="s">
        <v>1051</v>
      </c>
      <c r="E547">
        <v>27.24</v>
      </c>
      <c r="G547" t="s">
        <v>535</v>
      </c>
      <c r="H547">
        <v>0.57799999999999996</v>
      </c>
      <c r="J547" t="s">
        <v>1051</v>
      </c>
      <c r="K547" t="s">
        <v>548</v>
      </c>
      <c r="M547" t="s">
        <v>1051</v>
      </c>
      <c r="N547">
        <v>7.33</v>
      </c>
      <c r="S547" t="s">
        <v>535</v>
      </c>
      <c r="T547">
        <v>0.27200000000000002</v>
      </c>
      <c r="V547" t="s">
        <v>1051</v>
      </c>
      <c r="W547">
        <v>42.12</v>
      </c>
      <c r="Y547" t="s">
        <v>1056</v>
      </c>
      <c r="Z547">
        <v>2.87</v>
      </c>
      <c r="AC547" s="4" t="s">
        <v>509</v>
      </c>
      <c r="AD547" s="5">
        <v>39579382</v>
      </c>
      <c r="AE547" s="5">
        <v>29736669</v>
      </c>
      <c r="AF547" s="5">
        <v>67814607</v>
      </c>
      <c r="AI547" t="s">
        <v>1056</v>
      </c>
      <c r="AJ547">
        <v>59.99</v>
      </c>
      <c r="AL547" t="s">
        <v>535</v>
      </c>
      <c r="AM547">
        <v>29.63</v>
      </c>
      <c r="AO547" t="s">
        <v>535</v>
      </c>
      <c r="AP547">
        <v>56.81</v>
      </c>
      <c r="AQ547">
        <v>60.37</v>
      </c>
      <c r="AS547" t="s">
        <v>535</v>
      </c>
      <c r="AT547">
        <v>6.57</v>
      </c>
      <c r="AU547">
        <v>4.9000000000000004</v>
      </c>
      <c r="AW547" t="s">
        <v>535</v>
      </c>
      <c r="AX547">
        <v>31.46</v>
      </c>
    </row>
    <row r="548" spans="1:50" x14ac:dyDescent="0.35">
      <c r="A548" t="s">
        <v>536</v>
      </c>
      <c r="B548">
        <v>89.97</v>
      </c>
      <c r="D548" t="s">
        <v>1052</v>
      </c>
      <c r="E548">
        <v>52.77</v>
      </c>
      <c r="G548" t="s">
        <v>536</v>
      </c>
      <c r="H548">
        <v>0.622</v>
      </c>
      <c r="J548" t="s">
        <v>1052</v>
      </c>
      <c r="K548">
        <v>10</v>
      </c>
      <c r="M548" t="s">
        <v>1052</v>
      </c>
      <c r="N548">
        <v>19.23</v>
      </c>
      <c r="S548" t="s">
        <v>536</v>
      </c>
      <c r="T548">
        <v>0.19400000000000001</v>
      </c>
      <c r="V548" t="s">
        <v>1052</v>
      </c>
      <c r="W548">
        <v>43.79</v>
      </c>
      <c r="Y548" t="s">
        <v>1057</v>
      </c>
      <c r="Z548">
        <v>3.34</v>
      </c>
      <c r="AC548" t="s">
        <v>1085</v>
      </c>
      <c r="AI548" t="s">
        <v>1057</v>
      </c>
      <c r="AJ548">
        <v>60.34</v>
      </c>
      <c r="AL548" t="s">
        <v>536</v>
      </c>
      <c r="AM548">
        <v>37.090000000000003</v>
      </c>
      <c r="AO548" t="s">
        <v>536</v>
      </c>
      <c r="AP548">
        <v>54.08</v>
      </c>
      <c r="AQ548">
        <v>57.45</v>
      </c>
      <c r="AS548" t="s">
        <v>536</v>
      </c>
      <c r="AT548">
        <v>2.5099999999999998</v>
      </c>
      <c r="AU548">
        <v>1.7</v>
      </c>
      <c r="AW548" t="s">
        <v>536</v>
      </c>
      <c r="AX548">
        <v>12.43</v>
      </c>
    </row>
    <row r="549" spans="1:50" x14ac:dyDescent="0.35">
      <c r="A549" t="s">
        <v>537</v>
      </c>
      <c r="B549">
        <v>94.14</v>
      </c>
      <c r="D549" t="s">
        <v>1053</v>
      </c>
      <c r="E549">
        <v>44.15</v>
      </c>
      <c r="G549" t="s">
        <v>537</v>
      </c>
      <c r="H549">
        <v>0.83699999999999997</v>
      </c>
      <c r="J549" t="s">
        <v>1053</v>
      </c>
      <c r="K549" t="s">
        <v>548</v>
      </c>
      <c r="M549" t="s">
        <v>1053</v>
      </c>
      <c r="N549">
        <v>72.92</v>
      </c>
      <c r="S549" t="s">
        <v>537</v>
      </c>
      <c r="T549">
        <v>0.14899999999999999</v>
      </c>
      <c r="V549" t="s">
        <v>1053</v>
      </c>
      <c r="W549">
        <v>45.18</v>
      </c>
      <c r="Y549" t="s">
        <v>1058</v>
      </c>
      <c r="Z549">
        <v>2.31</v>
      </c>
      <c r="AC549" t="s">
        <v>168</v>
      </c>
      <c r="AI549" t="s">
        <v>1058</v>
      </c>
      <c r="AJ549">
        <v>30.14</v>
      </c>
      <c r="AL549" t="s">
        <v>537</v>
      </c>
      <c r="AM549">
        <v>36.94</v>
      </c>
      <c r="AO549" t="s">
        <v>537</v>
      </c>
      <c r="AP549">
        <v>64.599999999999994</v>
      </c>
      <c r="AQ549">
        <v>68.510000000000005</v>
      </c>
      <c r="AS549" t="s">
        <v>537</v>
      </c>
      <c r="AT549">
        <v>4.87</v>
      </c>
      <c r="AU549">
        <v>2.21</v>
      </c>
      <c r="AW549" t="s">
        <v>537</v>
      </c>
      <c r="AX549">
        <v>12.69</v>
      </c>
    </row>
    <row r="550" spans="1:50" x14ac:dyDescent="0.35">
      <c r="A550" t="s">
        <v>538</v>
      </c>
      <c r="B550">
        <v>89.17</v>
      </c>
      <c r="D550" t="s">
        <v>1054</v>
      </c>
      <c r="E550">
        <v>46.45</v>
      </c>
      <c r="G550" t="s">
        <v>538</v>
      </c>
      <c r="H550">
        <v>0.51200000000000001</v>
      </c>
      <c r="J550" t="s">
        <v>1054</v>
      </c>
      <c r="K550">
        <v>4</v>
      </c>
      <c r="M550" t="s">
        <v>1054</v>
      </c>
      <c r="N550">
        <v>27.11</v>
      </c>
      <c r="S550" t="s">
        <v>538</v>
      </c>
      <c r="T550">
        <v>0.20599999999999999</v>
      </c>
      <c r="V550" t="s">
        <v>1054</v>
      </c>
      <c r="W550">
        <v>30.36</v>
      </c>
      <c r="Y550" t="s">
        <v>549</v>
      </c>
      <c r="Z550">
        <v>2.1800000000000002</v>
      </c>
      <c r="AC550" t="s">
        <v>169</v>
      </c>
      <c r="AL550" t="s">
        <v>538</v>
      </c>
      <c r="AM550">
        <v>35.42</v>
      </c>
      <c r="AO550" t="s">
        <v>538</v>
      </c>
      <c r="AP550">
        <v>62.28</v>
      </c>
      <c r="AQ550">
        <v>66.09</v>
      </c>
      <c r="AS550" t="s">
        <v>538</v>
      </c>
      <c r="AT550">
        <v>5.27</v>
      </c>
      <c r="AU550">
        <v>2.67</v>
      </c>
      <c r="AW550" t="s">
        <v>538</v>
      </c>
      <c r="AX550">
        <v>19.649999999999999</v>
      </c>
    </row>
    <row r="551" spans="1:50" x14ac:dyDescent="0.35">
      <c r="A551" t="s">
        <v>539</v>
      </c>
      <c r="B551">
        <v>85.96</v>
      </c>
      <c r="D551" t="s">
        <v>1055</v>
      </c>
      <c r="E551">
        <v>51.83</v>
      </c>
      <c r="G551" t="s">
        <v>539</v>
      </c>
      <c r="H551">
        <v>0.82399999999999995</v>
      </c>
      <c r="J551" t="s">
        <v>1055</v>
      </c>
      <c r="K551" t="s">
        <v>548</v>
      </c>
      <c r="M551" t="s">
        <v>1055</v>
      </c>
      <c r="N551">
        <v>47.29</v>
      </c>
      <c r="S551" t="s">
        <v>539</v>
      </c>
      <c r="T551">
        <v>0.25700000000000001</v>
      </c>
      <c r="V551" t="s">
        <v>1055</v>
      </c>
      <c r="W551">
        <v>41.33</v>
      </c>
      <c r="AC551" t="s">
        <v>170</v>
      </c>
      <c r="AL551" t="s">
        <v>539</v>
      </c>
      <c r="AM551">
        <v>30.97</v>
      </c>
      <c r="AO551" t="s">
        <v>539</v>
      </c>
      <c r="AP551">
        <v>64.05</v>
      </c>
      <c r="AQ551">
        <v>67.94</v>
      </c>
      <c r="AS551" t="s">
        <v>539</v>
      </c>
      <c r="AT551">
        <v>5.13</v>
      </c>
      <c r="AU551">
        <v>3.34</v>
      </c>
      <c r="AW551" t="s">
        <v>539</v>
      </c>
      <c r="AX551">
        <v>21.79</v>
      </c>
    </row>
    <row r="552" spans="1:50" x14ac:dyDescent="0.35">
      <c r="A552" t="s">
        <v>540</v>
      </c>
      <c r="B552">
        <v>85.56</v>
      </c>
      <c r="D552" t="s">
        <v>1056</v>
      </c>
      <c r="E552">
        <v>35.89</v>
      </c>
      <c r="G552" t="s">
        <v>540</v>
      </c>
      <c r="H552">
        <v>0.69399999999999995</v>
      </c>
      <c r="J552" t="s">
        <v>1056</v>
      </c>
      <c r="K552" t="s">
        <v>548</v>
      </c>
      <c r="M552" t="s">
        <v>1056</v>
      </c>
      <c r="N552">
        <v>18.760000000000002</v>
      </c>
      <c r="S552" t="s">
        <v>540</v>
      </c>
      <c r="T552">
        <v>0.45400000000000001</v>
      </c>
      <c r="V552" t="s">
        <v>1056</v>
      </c>
      <c r="W552">
        <v>65.069999999999993</v>
      </c>
      <c r="AC552" t="s">
        <v>171</v>
      </c>
      <c r="AL552" t="s">
        <v>540</v>
      </c>
      <c r="AM552">
        <v>36.44</v>
      </c>
      <c r="AO552" t="s">
        <v>540</v>
      </c>
      <c r="AP552">
        <v>64.569999999999993</v>
      </c>
      <c r="AQ552">
        <v>68.400000000000006</v>
      </c>
      <c r="AS552" t="s">
        <v>540</v>
      </c>
      <c r="AT552">
        <v>2.77</v>
      </c>
      <c r="AU552">
        <v>1.37</v>
      </c>
      <c r="AW552" t="s">
        <v>540</v>
      </c>
      <c r="AX552">
        <v>2.06</v>
      </c>
    </row>
    <row r="553" spans="1:50" x14ac:dyDescent="0.35">
      <c r="A553" t="s">
        <v>541</v>
      </c>
      <c r="B553">
        <v>81.53</v>
      </c>
      <c r="D553" t="s">
        <v>1057</v>
      </c>
      <c r="E553">
        <v>49.7</v>
      </c>
      <c r="G553" t="s">
        <v>541</v>
      </c>
      <c r="H553">
        <v>0.69299999999999995</v>
      </c>
      <c r="J553" t="s">
        <v>1057</v>
      </c>
      <c r="K553" t="s">
        <v>548</v>
      </c>
      <c r="M553" t="s">
        <v>1057</v>
      </c>
      <c r="N553">
        <v>36.270000000000003</v>
      </c>
      <c r="S553" t="s">
        <v>541</v>
      </c>
      <c r="T553">
        <v>0.28799999999999998</v>
      </c>
      <c r="V553" t="s">
        <v>1057</v>
      </c>
      <c r="W553">
        <v>56.9</v>
      </c>
      <c r="AC553" t="s">
        <v>172</v>
      </c>
      <c r="AL553" t="s">
        <v>541</v>
      </c>
      <c r="AM553">
        <v>29.2</v>
      </c>
      <c r="AO553" t="s">
        <v>541</v>
      </c>
      <c r="AP553">
        <v>64.48</v>
      </c>
      <c r="AQ553">
        <v>68.39</v>
      </c>
      <c r="AS553" t="s">
        <v>541</v>
      </c>
      <c r="AT553">
        <v>5.45</v>
      </c>
      <c r="AU553">
        <v>4.13</v>
      </c>
      <c r="AW553" t="s">
        <v>541</v>
      </c>
      <c r="AX553">
        <v>11.05</v>
      </c>
    </row>
    <row r="554" spans="1:50" x14ac:dyDescent="0.35">
      <c r="A554" t="s">
        <v>542</v>
      </c>
      <c r="B554">
        <v>73.260000000000005</v>
      </c>
      <c r="D554" t="s">
        <v>544</v>
      </c>
      <c r="E554">
        <v>77.650000000000006</v>
      </c>
      <c r="G554" t="s">
        <v>542</v>
      </c>
      <c r="H554">
        <v>0.88700000000000001</v>
      </c>
      <c r="J554" t="s">
        <v>1058</v>
      </c>
      <c r="K554">
        <v>23.08</v>
      </c>
      <c r="M554" t="s">
        <v>1058</v>
      </c>
      <c r="N554">
        <v>40.54</v>
      </c>
      <c r="S554" t="s">
        <v>542</v>
      </c>
      <c r="T554">
        <v>0.48399999999999999</v>
      </c>
      <c r="V554" t="s">
        <v>1058</v>
      </c>
      <c r="W554">
        <v>35.24</v>
      </c>
      <c r="AL554" t="s">
        <v>542</v>
      </c>
      <c r="AM554">
        <v>40.01</v>
      </c>
      <c r="AO554" t="s">
        <v>542</v>
      </c>
      <c r="AP554">
        <v>64.22</v>
      </c>
      <c r="AQ554">
        <v>68.11</v>
      </c>
      <c r="AS554" t="s">
        <v>542</v>
      </c>
      <c r="AT554">
        <v>4.76</v>
      </c>
      <c r="AU554">
        <v>2.06</v>
      </c>
      <c r="AW554" t="s">
        <v>542</v>
      </c>
      <c r="AX554">
        <v>2.3199999999999998</v>
      </c>
    </row>
    <row r="555" spans="1:50" x14ac:dyDescent="0.35">
      <c r="A555" t="s">
        <v>543</v>
      </c>
      <c r="B555">
        <v>70.95</v>
      </c>
      <c r="D555" t="s">
        <v>549</v>
      </c>
      <c r="E555">
        <v>76.900000000000006</v>
      </c>
      <c r="G555" t="s">
        <v>543</v>
      </c>
      <c r="H555">
        <v>0.879</v>
      </c>
      <c r="J555" t="s">
        <v>549</v>
      </c>
      <c r="K555">
        <v>22.14</v>
      </c>
      <c r="M555" t="s">
        <v>549</v>
      </c>
      <c r="N555">
        <v>49.53</v>
      </c>
      <c r="S555" t="s">
        <v>543</v>
      </c>
      <c r="T555">
        <v>0.161</v>
      </c>
      <c r="V555" t="s">
        <v>549</v>
      </c>
      <c r="W555">
        <v>37.090000000000003</v>
      </c>
      <c r="AL555" t="s">
        <v>543</v>
      </c>
      <c r="AM555">
        <v>38.659999999999997</v>
      </c>
      <c r="AO555" t="s">
        <v>543</v>
      </c>
      <c r="AP555">
        <v>64.040000000000006</v>
      </c>
      <c r="AQ555">
        <v>67.92</v>
      </c>
      <c r="AS555" t="s">
        <v>543</v>
      </c>
      <c r="AT555">
        <v>4.4000000000000004</v>
      </c>
      <c r="AU555">
        <v>1.83</v>
      </c>
      <c r="AW555" t="s">
        <v>543</v>
      </c>
      <c r="AX555">
        <v>3.23</v>
      </c>
    </row>
    <row r="556" spans="1:50" x14ac:dyDescent="0.35">
      <c r="A556" t="s">
        <v>544</v>
      </c>
      <c r="B556">
        <v>94.74</v>
      </c>
      <c r="G556" t="s">
        <v>1058</v>
      </c>
      <c r="H556">
        <v>0.28999999999999998</v>
      </c>
      <c r="S556" t="s">
        <v>544</v>
      </c>
      <c r="T556">
        <v>0.19400000000000001</v>
      </c>
      <c r="AL556" t="s">
        <v>544</v>
      </c>
      <c r="AM556">
        <v>10.5</v>
      </c>
      <c r="AO556" t="s">
        <v>544</v>
      </c>
      <c r="AP556">
        <v>69.14</v>
      </c>
      <c r="AQ556">
        <v>73.099999999999994</v>
      </c>
      <c r="AS556" t="s">
        <v>544</v>
      </c>
      <c r="AT556">
        <v>12.17</v>
      </c>
      <c r="AU556">
        <v>11.67</v>
      </c>
      <c r="AW556" t="s">
        <v>544</v>
      </c>
      <c r="AX556">
        <v>69.7</v>
      </c>
    </row>
    <row r="557" spans="1:50" x14ac:dyDescent="0.35">
      <c r="A557" t="s">
        <v>545</v>
      </c>
      <c r="B557" t="s">
        <v>548</v>
      </c>
      <c r="G557" t="s">
        <v>545</v>
      </c>
      <c r="H557" t="s">
        <v>548</v>
      </c>
      <c r="S557" t="s">
        <v>545</v>
      </c>
      <c r="T557" t="s">
        <v>548</v>
      </c>
      <c r="AL557" t="s">
        <v>545</v>
      </c>
      <c r="AM557" t="s">
        <v>548</v>
      </c>
      <c r="AO557" t="s">
        <v>545</v>
      </c>
      <c r="AP557" t="s">
        <v>548</v>
      </c>
      <c r="AQ557" t="s">
        <v>548</v>
      </c>
      <c r="AS557" t="s">
        <v>545</v>
      </c>
      <c r="AT557" t="s">
        <v>548</v>
      </c>
      <c r="AU557" t="s">
        <v>548</v>
      </c>
      <c r="AW557" t="s">
        <v>545</v>
      </c>
      <c r="AX557" t="s">
        <v>548</v>
      </c>
    </row>
    <row r="558" spans="1:50" x14ac:dyDescent="0.35">
      <c r="A558" t="s">
        <v>516</v>
      </c>
      <c r="B558" t="s">
        <v>548</v>
      </c>
      <c r="G558" t="s">
        <v>516</v>
      </c>
      <c r="H558" t="s">
        <v>548</v>
      </c>
      <c r="S558" t="s">
        <v>516</v>
      </c>
      <c r="T558" t="s">
        <v>548</v>
      </c>
      <c r="AL558" t="s">
        <v>516</v>
      </c>
      <c r="AM558" t="s">
        <v>548</v>
      </c>
      <c r="AO558" t="s">
        <v>516</v>
      </c>
      <c r="AP558" t="s">
        <v>548</v>
      </c>
      <c r="AQ558" t="s">
        <v>548</v>
      </c>
      <c r="AS558" t="s">
        <v>516</v>
      </c>
      <c r="AT558" t="s">
        <v>548</v>
      </c>
      <c r="AU558" t="s">
        <v>548</v>
      </c>
      <c r="AW558" t="s">
        <v>516</v>
      </c>
      <c r="AX558" t="s">
        <v>548</v>
      </c>
    </row>
    <row r="559" spans="1:50" x14ac:dyDescent="0.35">
      <c r="A559" t="s">
        <v>525</v>
      </c>
      <c r="B559" t="s">
        <v>548</v>
      </c>
      <c r="G559" t="s">
        <v>525</v>
      </c>
      <c r="H559" t="s">
        <v>548</v>
      </c>
      <c r="S559" t="s">
        <v>525</v>
      </c>
      <c r="T559" t="s">
        <v>548</v>
      </c>
      <c r="AL559" t="s">
        <v>525</v>
      </c>
      <c r="AM559" t="s">
        <v>548</v>
      </c>
      <c r="AO559" t="s">
        <v>525</v>
      </c>
      <c r="AP559" t="s">
        <v>548</v>
      </c>
      <c r="AQ559" t="s">
        <v>548</v>
      </c>
      <c r="AS559" t="s">
        <v>525</v>
      </c>
      <c r="AT559" t="s">
        <v>548</v>
      </c>
      <c r="AU559" t="s">
        <v>548</v>
      </c>
      <c r="AW559" t="s">
        <v>525</v>
      </c>
      <c r="AX559" t="s">
        <v>548</v>
      </c>
    </row>
    <row r="560" spans="1:50" x14ac:dyDescent="0.35">
      <c r="A560" t="s">
        <v>526</v>
      </c>
      <c r="B560" t="s">
        <v>548</v>
      </c>
      <c r="G560" t="s">
        <v>526</v>
      </c>
      <c r="H560" t="s">
        <v>548</v>
      </c>
      <c r="S560" t="s">
        <v>526</v>
      </c>
      <c r="T560" t="s">
        <v>548</v>
      </c>
      <c r="AL560" t="s">
        <v>526</v>
      </c>
      <c r="AM560" t="s">
        <v>548</v>
      </c>
      <c r="AO560" t="s">
        <v>526</v>
      </c>
      <c r="AP560" t="s">
        <v>548</v>
      </c>
      <c r="AQ560" t="s">
        <v>548</v>
      </c>
      <c r="AS560" t="s">
        <v>526</v>
      </c>
      <c r="AT560" t="s">
        <v>548</v>
      </c>
      <c r="AU560" t="s">
        <v>548</v>
      </c>
      <c r="AW560" t="s">
        <v>526</v>
      </c>
      <c r="AX560" t="s">
        <v>548</v>
      </c>
    </row>
    <row r="561" spans="1:50" x14ac:dyDescent="0.35">
      <c r="A561" t="s">
        <v>527</v>
      </c>
      <c r="B561" t="s">
        <v>548</v>
      </c>
      <c r="G561" t="s">
        <v>527</v>
      </c>
      <c r="H561" t="s">
        <v>548</v>
      </c>
      <c r="S561" t="s">
        <v>527</v>
      </c>
      <c r="T561" t="s">
        <v>548</v>
      </c>
      <c r="AL561" t="s">
        <v>527</v>
      </c>
      <c r="AM561" t="s">
        <v>548</v>
      </c>
      <c r="AO561" t="s">
        <v>527</v>
      </c>
      <c r="AP561" t="s">
        <v>548</v>
      </c>
      <c r="AQ561" t="s">
        <v>548</v>
      </c>
      <c r="AS561" t="s">
        <v>527</v>
      </c>
      <c r="AT561" t="s">
        <v>548</v>
      </c>
      <c r="AU561" t="s">
        <v>548</v>
      </c>
      <c r="AW561" t="s">
        <v>527</v>
      </c>
      <c r="AX561" t="s">
        <v>548</v>
      </c>
    </row>
    <row r="562" spans="1:50" x14ac:dyDescent="0.35">
      <c r="A562" t="s">
        <v>546</v>
      </c>
      <c r="B562" t="s">
        <v>548</v>
      </c>
      <c r="G562" t="s">
        <v>546</v>
      </c>
      <c r="H562" t="s">
        <v>548</v>
      </c>
      <c r="S562" t="s">
        <v>546</v>
      </c>
      <c r="T562" t="s">
        <v>548</v>
      </c>
      <c r="AL562" t="s">
        <v>546</v>
      </c>
      <c r="AM562" t="s">
        <v>548</v>
      </c>
      <c r="AO562" t="s">
        <v>546</v>
      </c>
      <c r="AP562" t="s">
        <v>548</v>
      </c>
      <c r="AQ562" t="s">
        <v>548</v>
      </c>
      <c r="AS562" t="s">
        <v>546</v>
      </c>
      <c r="AT562" t="s">
        <v>548</v>
      </c>
      <c r="AU562" t="s">
        <v>548</v>
      </c>
      <c r="AW562" t="s">
        <v>546</v>
      </c>
      <c r="AX562" t="s">
        <v>548</v>
      </c>
    </row>
    <row r="563" spans="1:50" x14ac:dyDescent="0.35">
      <c r="A563" t="s">
        <v>524</v>
      </c>
      <c r="B563" t="s">
        <v>548</v>
      </c>
      <c r="G563" t="s">
        <v>524</v>
      </c>
      <c r="H563" t="s">
        <v>548</v>
      </c>
      <c r="S563" t="s">
        <v>524</v>
      </c>
      <c r="T563" t="s">
        <v>548</v>
      </c>
      <c r="AL563" t="s">
        <v>524</v>
      </c>
      <c r="AM563" t="s">
        <v>548</v>
      </c>
      <c r="AO563" t="s">
        <v>524</v>
      </c>
      <c r="AP563" t="s">
        <v>548</v>
      </c>
      <c r="AQ563" t="s">
        <v>548</v>
      </c>
      <c r="AS563" t="s">
        <v>524</v>
      </c>
      <c r="AT563" t="s">
        <v>548</v>
      </c>
      <c r="AU563" t="s">
        <v>548</v>
      </c>
      <c r="AW563" t="s">
        <v>524</v>
      </c>
      <c r="AX563" t="s">
        <v>548</v>
      </c>
    </row>
    <row r="564" spans="1:50" x14ac:dyDescent="0.35">
      <c r="A564" t="s">
        <v>541</v>
      </c>
      <c r="B564" t="s">
        <v>548</v>
      </c>
      <c r="G564" t="s">
        <v>541</v>
      </c>
      <c r="H564" t="s">
        <v>548</v>
      </c>
      <c r="S564" t="s">
        <v>541</v>
      </c>
      <c r="T564" t="s">
        <v>548</v>
      </c>
      <c r="AL564" t="s">
        <v>541</v>
      </c>
      <c r="AM564" t="s">
        <v>548</v>
      </c>
      <c r="AO564" t="s">
        <v>541</v>
      </c>
      <c r="AP564" t="s">
        <v>548</v>
      </c>
      <c r="AQ564" t="s">
        <v>548</v>
      </c>
      <c r="AS564" t="s">
        <v>541</v>
      </c>
      <c r="AT564" t="s">
        <v>548</v>
      </c>
      <c r="AU564" t="s">
        <v>548</v>
      </c>
      <c r="AW564" t="s">
        <v>541</v>
      </c>
      <c r="AX564" t="s">
        <v>548</v>
      </c>
    </row>
    <row r="565" spans="1:50" x14ac:dyDescent="0.35">
      <c r="A565" t="s">
        <v>543</v>
      </c>
      <c r="B565" t="s">
        <v>548</v>
      </c>
      <c r="G565" t="s">
        <v>543</v>
      </c>
      <c r="H565" t="s">
        <v>548</v>
      </c>
      <c r="S565" t="s">
        <v>543</v>
      </c>
      <c r="T565" t="s">
        <v>548</v>
      </c>
      <c r="AL565" t="s">
        <v>543</v>
      </c>
      <c r="AM565" t="s">
        <v>548</v>
      </c>
      <c r="AO565" t="s">
        <v>543</v>
      </c>
      <c r="AP565" t="s">
        <v>548</v>
      </c>
      <c r="AQ565" t="s">
        <v>548</v>
      </c>
      <c r="AS565" t="s">
        <v>543</v>
      </c>
      <c r="AT565" t="s">
        <v>548</v>
      </c>
      <c r="AU565" t="s">
        <v>548</v>
      </c>
      <c r="AW565" t="s">
        <v>543</v>
      </c>
      <c r="AX565" t="s">
        <v>548</v>
      </c>
    </row>
    <row r="566" spans="1:50" x14ac:dyDescent="0.35">
      <c r="A566" t="s">
        <v>519</v>
      </c>
      <c r="B566" t="s">
        <v>548</v>
      </c>
      <c r="G566" t="s">
        <v>519</v>
      </c>
      <c r="H566" t="s">
        <v>548</v>
      </c>
      <c r="S566" t="s">
        <v>519</v>
      </c>
      <c r="T566" t="s">
        <v>548</v>
      </c>
      <c r="AL566" t="s">
        <v>519</v>
      </c>
      <c r="AM566" t="s">
        <v>548</v>
      </c>
      <c r="AO566" t="s">
        <v>519</v>
      </c>
      <c r="AP566" t="s">
        <v>548</v>
      </c>
      <c r="AQ566" t="s">
        <v>548</v>
      </c>
      <c r="AS566" t="s">
        <v>519</v>
      </c>
      <c r="AT566" t="s">
        <v>548</v>
      </c>
      <c r="AU566" t="s">
        <v>548</v>
      </c>
      <c r="AW566" t="s">
        <v>519</v>
      </c>
      <c r="AX566" t="s">
        <v>548</v>
      </c>
    </row>
    <row r="567" spans="1:50" x14ac:dyDescent="0.35">
      <c r="A567" t="s">
        <v>522</v>
      </c>
      <c r="B567" t="s">
        <v>548</v>
      </c>
      <c r="G567" t="s">
        <v>522</v>
      </c>
      <c r="H567" t="s">
        <v>548</v>
      </c>
      <c r="S567" t="s">
        <v>522</v>
      </c>
      <c r="T567" t="s">
        <v>548</v>
      </c>
      <c r="AL567" t="s">
        <v>522</v>
      </c>
      <c r="AM567" t="s">
        <v>548</v>
      </c>
      <c r="AO567" t="s">
        <v>522</v>
      </c>
      <c r="AP567" t="s">
        <v>548</v>
      </c>
      <c r="AQ567" t="s">
        <v>548</v>
      </c>
      <c r="AS567" t="s">
        <v>522</v>
      </c>
      <c r="AT567" t="s">
        <v>548</v>
      </c>
      <c r="AU567" t="s">
        <v>548</v>
      </c>
      <c r="AW567" t="s">
        <v>522</v>
      </c>
      <c r="AX567" t="s">
        <v>548</v>
      </c>
    </row>
    <row r="568" spans="1:50" x14ac:dyDescent="0.35">
      <c r="A568" t="s">
        <v>542</v>
      </c>
      <c r="B568" t="s">
        <v>548</v>
      </c>
      <c r="G568" t="s">
        <v>542</v>
      </c>
      <c r="H568" t="s">
        <v>548</v>
      </c>
      <c r="S568" t="s">
        <v>542</v>
      </c>
      <c r="T568" t="s">
        <v>548</v>
      </c>
      <c r="AL568" t="s">
        <v>542</v>
      </c>
      <c r="AM568" t="s">
        <v>548</v>
      </c>
      <c r="AO568" t="s">
        <v>542</v>
      </c>
      <c r="AP568" t="s">
        <v>548</v>
      </c>
      <c r="AQ568" t="s">
        <v>548</v>
      </c>
      <c r="AS568" t="s">
        <v>542</v>
      </c>
      <c r="AT568" t="s">
        <v>548</v>
      </c>
      <c r="AU568" t="s">
        <v>548</v>
      </c>
      <c r="AW568" t="s">
        <v>542</v>
      </c>
      <c r="AX568" t="s">
        <v>548</v>
      </c>
    </row>
    <row r="569" spans="1:50" x14ac:dyDescent="0.35">
      <c r="A569" t="s">
        <v>540</v>
      </c>
      <c r="B569" t="s">
        <v>548</v>
      </c>
      <c r="G569" t="s">
        <v>540</v>
      </c>
      <c r="H569" t="s">
        <v>548</v>
      </c>
      <c r="S569" t="s">
        <v>540</v>
      </c>
      <c r="T569" t="s">
        <v>548</v>
      </c>
      <c r="AL569" t="s">
        <v>540</v>
      </c>
      <c r="AM569" t="s">
        <v>548</v>
      </c>
      <c r="AO569" t="s">
        <v>540</v>
      </c>
      <c r="AP569" t="s">
        <v>548</v>
      </c>
      <c r="AQ569" t="s">
        <v>548</v>
      </c>
      <c r="AS569" t="s">
        <v>540</v>
      </c>
      <c r="AT569" t="s">
        <v>548</v>
      </c>
      <c r="AU569" t="s">
        <v>548</v>
      </c>
      <c r="AW569" t="s">
        <v>540</v>
      </c>
      <c r="AX569" t="s">
        <v>548</v>
      </c>
    </row>
    <row r="570" spans="1:50" x14ac:dyDescent="0.35">
      <c r="A570" t="s">
        <v>523</v>
      </c>
      <c r="B570" t="s">
        <v>548</v>
      </c>
      <c r="G570" t="s">
        <v>523</v>
      </c>
      <c r="H570" t="s">
        <v>548</v>
      </c>
      <c r="S570" t="s">
        <v>523</v>
      </c>
      <c r="T570" t="s">
        <v>548</v>
      </c>
      <c r="AL570" t="s">
        <v>523</v>
      </c>
      <c r="AM570" t="s">
        <v>548</v>
      </c>
      <c r="AO570" t="s">
        <v>523</v>
      </c>
      <c r="AP570" t="s">
        <v>548</v>
      </c>
      <c r="AQ570" t="s">
        <v>548</v>
      </c>
      <c r="AS570" t="s">
        <v>523</v>
      </c>
      <c r="AT570" t="s">
        <v>548</v>
      </c>
      <c r="AU570" t="s">
        <v>548</v>
      </c>
      <c r="AW570" t="s">
        <v>523</v>
      </c>
      <c r="AX570" t="s">
        <v>548</v>
      </c>
    </row>
    <row r="571" spans="1:50" x14ac:dyDescent="0.35">
      <c r="A571" t="s">
        <v>547</v>
      </c>
      <c r="B571" t="s">
        <v>548</v>
      </c>
      <c r="G571" t="s">
        <v>547</v>
      </c>
      <c r="H571" t="s">
        <v>548</v>
      </c>
      <c r="S571" t="s">
        <v>547</v>
      </c>
      <c r="T571" t="s">
        <v>548</v>
      </c>
      <c r="AL571" t="s">
        <v>547</v>
      </c>
      <c r="AM571" t="s">
        <v>548</v>
      </c>
      <c r="AO571" t="s">
        <v>547</v>
      </c>
      <c r="AP571" t="s">
        <v>548</v>
      </c>
      <c r="AQ571" t="s">
        <v>548</v>
      </c>
      <c r="AS571" t="s">
        <v>547</v>
      </c>
      <c r="AT571" t="s">
        <v>548</v>
      </c>
      <c r="AU571" t="s">
        <v>548</v>
      </c>
      <c r="AW571" t="s">
        <v>547</v>
      </c>
      <c r="AX571" t="s">
        <v>548</v>
      </c>
    </row>
    <row r="572" spans="1:50" x14ac:dyDescent="0.35">
      <c r="A572" t="s">
        <v>536</v>
      </c>
      <c r="B572" t="s">
        <v>548</v>
      </c>
      <c r="G572" t="s">
        <v>536</v>
      </c>
      <c r="H572" t="s">
        <v>548</v>
      </c>
      <c r="S572" t="s">
        <v>536</v>
      </c>
      <c r="T572" t="s">
        <v>548</v>
      </c>
      <c r="AL572" t="s">
        <v>536</v>
      </c>
      <c r="AM572" t="s">
        <v>548</v>
      </c>
      <c r="AO572" t="s">
        <v>536</v>
      </c>
      <c r="AP572" t="s">
        <v>548</v>
      </c>
      <c r="AQ572" t="s">
        <v>548</v>
      </c>
      <c r="AS572" t="s">
        <v>536</v>
      </c>
      <c r="AT572" t="s">
        <v>548</v>
      </c>
      <c r="AU572" t="s">
        <v>548</v>
      </c>
      <c r="AW572" t="s">
        <v>536</v>
      </c>
      <c r="AX572" t="s">
        <v>548</v>
      </c>
    </row>
    <row r="573" spans="1:50" x14ac:dyDescent="0.35">
      <c r="A573" t="s">
        <v>517</v>
      </c>
      <c r="B573" t="s">
        <v>548</v>
      </c>
      <c r="G573" t="s">
        <v>517</v>
      </c>
      <c r="H573" t="s">
        <v>548</v>
      </c>
      <c r="S573" t="s">
        <v>517</v>
      </c>
      <c r="T573" t="s">
        <v>548</v>
      </c>
      <c r="AL573" t="s">
        <v>517</v>
      </c>
      <c r="AM573" t="s">
        <v>548</v>
      </c>
      <c r="AO573" t="s">
        <v>517</v>
      </c>
      <c r="AP573" t="s">
        <v>548</v>
      </c>
      <c r="AQ573" t="s">
        <v>548</v>
      </c>
      <c r="AS573" t="s">
        <v>517</v>
      </c>
      <c r="AT573" t="s">
        <v>548</v>
      </c>
      <c r="AU573" t="s">
        <v>548</v>
      </c>
      <c r="AW573" t="s">
        <v>517</v>
      </c>
      <c r="AX573" t="s">
        <v>548</v>
      </c>
    </row>
    <row r="574" spans="1:50" x14ac:dyDescent="0.35">
      <c r="A574" t="s">
        <v>537</v>
      </c>
      <c r="B574" t="s">
        <v>548</v>
      </c>
      <c r="G574" t="s">
        <v>537</v>
      </c>
      <c r="H574" t="s">
        <v>548</v>
      </c>
      <c r="S574" t="s">
        <v>537</v>
      </c>
      <c r="T574" t="s">
        <v>548</v>
      </c>
      <c r="AL574" t="s">
        <v>537</v>
      </c>
      <c r="AM574" t="s">
        <v>548</v>
      </c>
      <c r="AO574" t="s">
        <v>537</v>
      </c>
      <c r="AP574" t="s">
        <v>548</v>
      </c>
      <c r="AQ574" t="s">
        <v>548</v>
      </c>
      <c r="AS574" t="s">
        <v>537</v>
      </c>
      <c r="AT574" t="s">
        <v>548</v>
      </c>
      <c r="AU574" t="s">
        <v>548</v>
      </c>
      <c r="AW574" t="s">
        <v>537</v>
      </c>
      <c r="AX574" t="s">
        <v>548</v>
      </c>
    </row>
    <row r="575" spans="1:50" x14ac:dyDescent="0.35">
      <c r="A575" t="s">
        <v>530</v>
      </c>
      <c r="B575" t="s">
        <v>548</v>
      </c>
      <c r="G575" t="s">
        <v>530</v>
      </c>
      <c r="H575" t="s">
        <v>548</v>
      </c>
      <c r="S575" t="s">
        <v>530</v>
      </c>
      <c r="T575" t="s">
        <v>548</v>
      </c>
      <c r="AL575" t="s">
        <v>530</v>
      </c>
      <c r="AM575" t="s">
        <v>548</v>
      </c>
      <c r="AO575" t="s">
        <v>530</v>
      </c>
      <c r="AP575" t="s">
        <v>548</v>
      </c>
      <c r="AQ575" t="s">
        <v>548</v>
      </c>
      <c r="AS575" t="s">
        <v>530</v>
      </c>
      <c r="AT575" t="s">
        <v>548</v>
      </c>
      <c r="AU575" t="s">
        <v>548</v>
      </c>
      <c r="AW575" t="s">
        <v>530</v>
      </c>
      <c r="AX575" t="s">
        <v>548</v>
      </c>
    </row>
    <row r="576" spans="1:50" x14ac:dyDescent="0.35">
      <c r="A576" t="s">
        <v>538</v>
      </c>
      <c r="B576" t="s">
        <v>548</v>
      </c>
      <c r="G576" t="s">
        <v>538</v>
      </c>
      <c r="H576" t="s">
        <v>548</v>
      </c>
      <c r="S576" t="s">
        <v>538</v>
      </c>
      <c r="T576" t="s">
        <v>548</v>
      </c>
      <c r="AL576" t="s">
        <v>538</v>
      </c>
      <c r="AM576" t="s">
        <v>548</v>
      </c>
      <c r="AO576" t="s">
        <v>538</v>
      </c>
      <c r="AP576" t="s">
        <v>548</v>
      </c>
      <c r="AQ576" t="s">
        <v>548</v>
      </c>
      <c r="AS576" t="s">
        <v>538</v>
      </c>
      <c r="AT576" t="s">
        <v>548</v>
      </c>
      <c r="AU576" t="s">
        <v>548</v>
      </c>
      <c r="AW576" t="s">
        <v>538</v>
      </c>
      <c r="AX576" t="s">
        <v>548</v>
      </c>
    </row>
    <row r="577" spans="1:50" x14ac:dyDescent="0.35">
      <c r="A577" t="s">
        <v>539</v>
      </c>
      <c r="B577" t="s">
        <v>548</v>
      </c>
      <c r="G577" t="s">
        <v>539</v>
      </c>
      <c r="H577" t="s">
        <v>548</v>
      </c>
      <c r="S577" t="s">
        <v>539</v>
      </c>
      <c r="T577" t="s">
        <v>548</v>
      </c>
      <c r="AL577" t="s">
        <v>539</v>
      </c>
      <c r="AM577" t="s">
        <v>548</v>
      </c>
      <c r="AO577" t="s">
        <v>539</v>
      </c>
      <c r="AP577" t="s">
        <v>548</v>
      </c>
      <c r="AQ577" t="s">
        <v>548</v>
      </c>
      <c r="AS577" t="s">
        <v>539</v>
      </c>
      <c r="AT577" t="s">
        <v>548</v>
      </c>
      <c r="AU577" t="s">
        <v>548</v>
      </c>
      <c r="AW577" t="s">
        <v>539</v>
      </c>
      <c r="AX577" t="s">
        <v>548</v>
      </c>
    </row>
    <row r="578" spans="1:50" x14ac:dyDescent="0.35">
      <c r="A578" t="s">
        <v>528</v>
      </c>
      <c r="B578" t="s">
        <v>548</v>
      </c>
      <c r="G578" t="s">
        <v>528</v>
      </c>
      <c r="H578" t="s">
        <v>548</v>
      </c>
      <c r="S578" t="s">
        <v>528</v>
      </c>
      <c r="T578" t="s">
        <v>548</v>
      </c>
      <c r="AL578" t="s">
        <v>528</v>
      </c>
      <c r="AM578" t="s">
        <v>548</v>
      </c>
      <c r="AO578" t="s">
        <v>528</v>
      </c>
      <c r="AP578" t="s">
        <v>548</v>
      </c>
      <c r="AQ578" t="s">
        <v>548</v>
      </c>
      <c r="AS578" t="s">
        <v>528</v>
      </c>
      <c r="AT578" t="s">
        <v>548</v>
      </c>
      <c r="AU578" t="s">
        <v>548</v>
      </c>
      <c r="AW578" t="s">
        <v>528</v>
      </c>
      <c r="AX578" t="s">
        <v>548</v>
      </c>
    </row>
    <row r="579" spans="1:50" x14ac:dyDescent="0.35">
      <c r="A579" t="s">
        <v>529</v>
      </c>
      <c r="B579" t="s">
        <v>548</v>
      </c>
      <c r="G579" t="s">
        <v>529</v>
      </c>
      <c r="H579" t="s">
        <v>548</v>
      </c>
      <c r="S579" t="s">
        <v>529</v>
      </c>
      <c r="T579" t="s">
        <v>548</v>
      </c>
      <c r="AL579" t="s">
        <v>529</v>
      </c>
      <c r="AM579" t="s">
        <v>548</v>
      </c>
      <c r="AO579" t="s">
        <v>529</v>
      </c>
      <c r="AP579" t="s">
        <v>548</v>
      </c>
      <c r="AQ579" t="s">
        <v>548</v>
      </c>
      <c r="AS579" t="s">
        <v>529</v>
      </c>
      <c r="AT579" t="s">
        <v>548</v>
      </c>
      <c r="AU579" t="s">
        <v>548</v>
      </c>
      <c r="AW579" t="s">
        <v>529</v>
      </c>
      <c r="AX579" t="s">
        <v>548</v>
      </c>
    </row>
    <row r="580" spans="1:50" x14ac:dyDescent="0.35">
      <c r="A580" t="s">
        <v>549</v>
      </c>
      <c r="B580">
        <v>91.85</v>
      </c>
      <c r="G580" t="s">
        <v>549</v>
      </c>
      <c r="H580">
        <v>0.44700000000000001</v>
      </c>
      <c r="S580" t="s">
        <v>549</v>
      </c>
      <c r="T580">
        <v>0.25800000000000001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E7A2-5D04-4CE3-AEAF-91DCF98D561B}">
  <dimension ref="A1:T579"/>
  <sheetViews>
    <sheetView tabSelected="1" zoomScale="85" zoomScaleNormal="85" workbookViewId="0">
      <pane ySplit="1" topLeftCell="A2" activePane="bottomLeft" state="frozen"/>
      <selection pane="bottomLeft" activeCell="Q10" sqref="Q10"/>
    </sheetView>
  </sheetViews>
  <sheetFormatPr defaultRowHeight="14.5" x14ac:dyDescent="0.35"/>
  <cols>
    <col min="1" max="1" width="18.7265625" customWidth="1"/>
    <col min="14" max="14" width="9.81640625" bestFit="1" customWidth="1"/>
    <col min="15" max="15" width="11.81640625" bestFit="1" customWidth="1"/>
  </cols>
  <sheetData>
    <row r="1" spans="1:20" x14ac:dyDescent="0.35">
      <c r="A1" s="2" t="s">
        <v>1068</v>
      </c>
      <c r="B1" t="s">
        <v>550</v>
      </c>
      <c r="C1" t="s">
        <v>1060</v>
      </c>
      <c r="D1" t="s">
        <v>1059</v>
      </c>
      <c r="E1" t="s">
        <v>1096</v>
      </c>
      <c r="F1" t="s">
        <v>1097</v>
      </c>
      <c r="G1" t="s">
        <v>1098</v>
      </c>
      <c r="H1" t="s">
        <v>1099</v>
      </c>
      <c r="I1" t="s">
        <v>1100</v>
      </c>
      <c r="J1" t="s">
        <v>1101</v>
      </c>
      <c r="K1" t="s">
        <v>1170</v>
      </c>
      <c r="L1" t="s">
        <v>1163</v>
      </c>
      <c r="M1" t="s">
        <v>1174</v>
      </c>
      <c r="N1" t="s">
        <v>1175</v>
      </c>
      <c r="O1" t="s">
        <v>1177</v>
      </c>
      <c r="P1" t="s">
        <v>1178</v>
      </c>
      <c r="Q1" s="3" t="s">
        <v>1183</v>
      </c>
      <c r="R1" t="s">
        <v>1</v>
      </c>
      <c r="S1" t="s">
        <v>2</v>
      </c>
      <c r="T1" t="s">
        <v>1092</v>
      </c>
    </row>
    <row r="2" spans="1:20" x14ac:dyDescent="0.35">
      <c r="A2" t="s">
        <v>3</v>
      </c>
      <c r="B2">
        <v>92.55</v>
      </c>
      <c r="C2" cm="1">
        <f t="array" ref="C2">INDEX(DataAll!$E$2:$E$555,MATCH(LOWER(Data!A2),LOWER(DataAll!$D$2:$D$555),0))</f>
        <v>63.56</v>
      </c>
      <c r="D2" cm="1">
        <f t="array" ref="D2">INDEX(DataAll!$H$2:$H$579,MATCH(LOWER(Data!A2),LOWER(DataAll!$G$2:$G$555),0))</f>
        <v>0.48899999999999999</v>
      </c>
      <c r="E2" cm="1">
        <f t="array" ref="E2">INDEX(DataAll!$K$2:$K$579,MATCH(LOWER(Data!A2),LOWER(DataAll!$J$2:$J$555),0))</f>
        <v>11.11</v>
      </c>
      <c r="F2" cm="1">
        <f t="array" ref="F2">INDEX(DataAll!$N$2:$N$555,MATCH(LOWER(Data!A2),LOWER(DataAll!$M$2:$M$555),0))</f>
        <v>55.77</v>
      </c>
      <c r="G2" t="e" cm="1">
        <f t="array" ref="G2">INDEX(DataAll!$Q$2:$Q$555,MATCH(LOWER(Data!A2),LOWER(DataAll!$P$2:$P$555),0))</f>
        <v>#N/A</v>
      </c>
      <c r="H2" cm="1">
        <f t="array" ref="H2">INDEX(DataAll!$T$2:$T$555,MATCH(LOWER(Data!A2),LOWER(DataAll!$S$2:$S$555),0))</f>
        <v>0.20899999999999999</v>
      </c>
      <c r="I2" cm="1">
        <f t="array" ref="I2">INDEX(DataAll!$W$2:$W$555,MATCH(LOWER(Data!A2),LOWER(DataAll!$V$2:$V$555),0))</f>
        <v>34.5</v>
      </c>
      <c r="J2" cm="1">
        <f t="array" ref="J2">INDEX(DataAll!$Z$2:$Z$555,MATCH(LOWER(Data!A2),LOWER(DataAll!$Y$2:$Y$555),0))</f>
        <v>2.42</v>
      </c>
      <c r="K2" cm="1">
        <f t="array" ref="K2">INDEX(DataAll!$AM$2:$AM$555,MATCH(LOWER(Data!A2),LOWER(DataAll!$AL$2:$AL$555),0))</f>
        <v>14.45</v>
      </c>
      <c r="L2" cm="1">
        <f t="array" ref="L2">INDEX(DataAll!$AJ$2:$AJ$555,MATCH(LOWER(Data!A2),LOWER(DataAll!$AI$2:$AI$555),0))</f>
        <v>22.88</v>
      </c>
      <c r="M2" cm="1">
        <f t="array" ref="M2">INDEX(DataAll!$AP$2:$AP$555,MATCH(LOWER(Data!A2),LOWER(DataAll!$AO$2:$AO$555),0))</f>
        <v>68.42</v>
      </c>
      <c r="N2" cm="1">
        <f t="array" ref="N2">INDEX(DataAll!$AQ$2:$AQ$555,MATCH(LOWER(Data!A2),LOWER(DataAll!$AO$2:$AO$555),0))</f>
        <v>72.349999999999994</v>
      </c>
      <c r="O2" cm="1">
        <f t="array" ref="O2">INDEX(DataAll!$AT$2:$AT$555,MATCH(LOWER(Data!A2),LOWER(DataAll!$AS$2:$AS$555),0))</f>
        <v>9.6999999999999993</v>
      </c>
      <c r="P2" cm="1">
        <f t="array" ref="P2">INDEX(DataAll!$AU$2:$AU$555,MATCH(LOWER(Data!A2),LOWER(DataAll!$AS$2:$AS$555),0))</f>
        <v>9.4</v>
      </c>
      <c r="Q2" cm="1">
        <f t="array" ref="Q2">INDEX(DataAll!$AX$2:$AX$556,MATCH(LOWER(Data!A2),LOWER(DataAll!$AW$2:$AW$556),0))</f>
        <v>44.57</v>
      </c>
      <c r="R2" cm="1">
        <f t="array" ref="R2">INDEX('Longitude and Latitude'!$B$2:$B$579,MATCH(LOWER(Data!A2),LOWER('Longitude and Latitude'!$A$2:$A$579),0))</f>
        <v>4.6951349999999996</v>
      </c>
      <c r="S2" cm="1">
        <f t="array" ref="S2">INDEX('Longitude and Latitude'!$C$2:$C$579,MATCH(LOWER(Data!A2),LOWER('Longitude and Latitude'!$A$2:$A$579),0))</f>
        <v>96.749399299999993</v>
      </c>
      <c r="T2" t="b">
        <f>IF(EXACT(A2, UPPER(A2)), TRUE, FALSE)</f>
        <v>1</v>
      </c>
    </row>
    <row r="3" spans="1:20" x14ac:dyDescent="0.35">
      <c r="A3" t="s">
        <v>4</v>
      </c>
      <c r="B3">
        <v>79.41</v>
      </c>
      <c r="C3" cm="1">
        <f t="array" ref="C3">INDEX(DataAll!$E$2:$E$555,MATCH(LOWER(Data!A3),LOWER(DataAll!$D$2:$D$555),0))</f>
        <v>64.790000000000006</v>
      </c>
      <c r="D3" cm="1">
        <f t="array" ref="D3">INDEX(DataAll!$H$2:$H$579,MATCH(LOWER(Data!A3),LOWER(DataAll!$G$2:$G$555),0))</f>
        <v>0.30199999999999999</v>
      </c>
      <c r="E3" cm="1">
        <f t="array" ref="E3">INDEX(DataAll!$K$2:$K$579,MATCH(LOWER(Data!A3),LOWER(DataAll!$J$2:$J$555),0))</f>
        <v>20</v>
      </c>
      <c r="F3" cm="1">
        <f t="array" ref="F3">INDEX(DataAll!$N$2:$N$555,MATCH(LOWER(Data!A3),LOWER(DataAll!$M$2:$M$555),0))</f>
        <v>52.38</v>
      </c>
      <c r="G3" cm="1">
        <f t="array" ref="G3">INDEX(DataAll!$Q$2:$Q$555,MATCH(LOWER(Data!A3),LOWER(DataAll!$P$2:$P$555),0))</f>
        <v>10.91</v>
      </c>
      <c r="H3" cm="1">
        <f t="array" ref="H3">INDEX(DataAll!$T$2:$T$555,MATCH(LOWER(Data!A3),LOWER(DataAll!$S$2:$S$555),0))</f>
        <v>0.26100000000000001</v>
      </c>
      <c r="I3" cm="1">
        <f t="array" ref="I3">INDEX(DataAll!$W$2:$W$555,MATCH(LOWER(Data!A3),LOWER(DataAll!$V$2:$V$555),0))</f>
        <v>24.04</v>
      </c>
      <c r="J3" cm="1">
        <f t="array" ref="J3">INDEX(DataAll!$Z$2:$Z$555,MATCH(LOWER(Data!A3),LOWER(DataAll!$Y$2:$Y$555),0))</f>
        <v>2.71</v>
      </c>
      <c r="K3" cm="1">
        <f t="array" ref="K3">INDEX(DataAll!$AM$2:$AM$555,MATCH(LOWER(Data!A3),LOWER(DataAll!$AL$2:$AL$555),0))</f>
        <v>17.920000000000002</v>
      </c>
      <c r="L3" cm="1">
        <f t="array" ref="L3">INDEX(DataAll!$AJ$2:$AJ$555,MATCH(LOWER(Data!A3),LOWER(DataAll!$AI$2:$AI$555),0))</f>
        <v>38.9</v>
      </c>
      <c r="M3" cm="1">
        <f t="array" ref="M3">INDEX(DataAll!$AP$2:$AP$555,MATCH(LOWER(Data!A3),LOWER(DataAll!$AO$2:$AO$555),0))</f>
        <v>63.72</v>
      </c>
      <c r="N3" cm="1">
        <f t="array" ref="N3">INDEX(DataAll!$AQ$2:$AQ$555,MATCH(LOWER(Data!A3),LOWER(DataAll!$AO$2:$AO$555),0))</f>
        <v>67.59</v>
      </c>
      <c r="O3" cm="1">
        <f t="array" ref="O3">INDEX(DataAll!$AT$2:$AT$555,MATCH(LOWER(Data!A3),LOWER(DataAll!$AS$2:$AS$555),0))</f>
        <v>10.15</v>
      </c>
      <c r="P3" cm="1">
        <f t="array" ref="P3">INDEX(DataAll!$AU$2:$AU$555,MATCH(LOWER(Data!A3),LOWER(DataAll!$AS$2:$AS$555),0))</f>
        <v>9.3699999999999992</v>
      </c>
      <c r="Q3" cm="1">
        <f t="array" ref="Q3">INDEX(DataAll!$AX$2:$AX$556,MATCH(LOWER(Data!A3),LOWER(DataAll!$AW$2:$AW$556),0))</f>
        <v>42.67</v>
      </c>
      <c r="R3" cm="1">
        <f t="array" ref="R3">INDEX('Longitude and Latitude'!$B$2:$B$579,MATCH(LOWER(Data!A3),LOWER('Longitude and Latitude'!$A$2:$A$579),0))</f>
        <v>2.5833330000000001</v>
      </c>
      <c r="S3" cm="1">
        <f t="array" ref="S3">INDEX('Longitude and Latitude'!$C$2:$C$579,MATCH(LOWER(Data!A3),LOWER('Longitude and Latitude'!$A$2:$A$579),0))</f>
        <v>96.083332999999996</v>
      </c>
      <c r="T3" t="b">
        <f>IF(EXACT(A3, UPPER(A3)), TRUE, FALSE)</f>
        <v>0</v>
      </c>
    </row>
    <row r="4" spans="1:20" x14ac:dyDescent="0.35">
      <c r="A4" t="s">
        <v>5</v>
      </c>
      <c r="B4">
        <v>85.23</v>
      </c>
      <c r="C4" cm="1">
        <f t="array" ref="C4">INDEX(DataAll!$E$2:$E$555,MATCH(LOWER(Data!A4),LOWER(DataAll!$D$2:$D$555),0))</f>
        <v>59.84</v>
      </c>
      <c r="D4" cm="1">
        <f t="array" ref="D4">INDEX(DataAll!$H$2:$H$579,MATCH(LOWER(Data!A4),LOWER(DataAll!$G$2:$G$555),0))</f>
        <v>0.52500000000000002</v>
      </c>
      <c r="E4" cm="1">
        <f t="array" ref="E4">INDEX(DataAll!$K$2:$K$579,MATCH(LOWER(Data!A4),LOWER(DataAll!$J$2:$J$555),0))</f>
        <v>12</v>
      </c>
      <c r="F4" cm="1">
        <f t="array" ref="F4">INDEX(DataAll!$N$2:$N$555,MATCH(LOWER(Data!A4),LOWER(DataAll!$M$2:$M$555),0))</f>
        <v>58.41</v>
      </c>
      <c r="G4" cm="1">
        <f t="array" ref="G4">INDEX(DataAll!$Q$2:$Q$555,MATCH(LOWER(Data!A4),LOWER(DataAll!$P$2:$P$555),0))</f>
        <v>7.31</v>
      </c>
      <c r="H4" cm="1">
        <f t="array" ref="H4">INDEX(DataAll!$T$2:$T$555,MATCH(LOWER(Data!A4),LOWER(DataAll!$S$2:$S$555),0))</f>
        <v>0.27900000000000003</v>
      </c>
      <c r="I4" cm="1">
        <f t="array" ref="I4">INDEX(DataAll!$W$2:$W$555,MATCH(LOWER(Data!A4),LOWER(DataAll!$V$2:$V$555),0))</f>
        <v>29.1</v>
      </c>
      <c r="J4" cm="1">
        <f t="array" ref="J4">INDEX(DataAll!$Z$2:$Z$555,MATCH(LOWER(Data!A4),LOWER(DataAll!$Y$2:$Y$555),0))</f>
        <v>3.04</v>
      </c>
      <c r="K4" cm="1">
        <f t="array" ref="K4">INDEX(DataAll!$AM$2:$AM$555,MATCH(LOWER(Data!A4),LOWER(DataAll!$AL$2:$AL$555),0))</f>
        <v>19.149999999999999</v>
      </c>
      <c r="L4" cm="1">
        <f t="array" ref="L4">INDEX(DataAll!$AJ$2:$AJ$555,MATCH(LOWER(Data!A4),LOWER(DataAll!$AI$2:$AI$555),0))</f>
        <v>39.299999999999997</v>
      </c>
      <c r="M4" cm="1">
        <f t="array" ref="M4">INDEX(DataAll!$AP$2:$AP$555,MATCH(LOWER(Data!A4),LOWER(DataAll!$AO$2:$AO$555),0))</f>
        <v>65.84</v>
      </c>
      <c r="N4" cm="1">
        <f t="array" ref="N4">INDEX(DataAll!$AQ$2:$AQ$555,MATCH(LOWER(Data!A4),LOWER(DataAll!$AO$2:$AO$555),0))</f>
        <v>69.819999999999993</v>
      </c>
      <c r="O4" cm="1">
        <f t="array" ref="O4">INDEX(DataAll!$AT$2:$AT$555,MATCH(LOWER(Data!A4),LOWER(DataAll!$AS$2:$AS$555),0))</f>
        <v>9.0299999999999994</v>
      </c>
      <c r="P4" cm="1">
        <f t="array" ref="P4">INDEX(DataAll!$AU$2:$AU$555,MATCH(LOWER(Data!A4),LOWER(DataAll!$AS$2:$AS$555),0))</f>
        <v>8.2799999999999994</v>
      </c>
      <c r="Q4" cm="1">
        <f t="array" ref="Q4">INDEX(DataAll!$AX$2:$AX$556,MATCH(LOWER(Data!A4),LOWER(DataAll!$AW$2:$AW$556),0))</f>
        <v>38.619999999999997</v>
      </c>
      <c r="R4" cm="1">
        <f t="array" ref="R4">INDEX('Longitude and Latitude'!$B$2:$B$579,MATCH(LOWER(Data!A4),LOWER('Longitude and Latitude'!$A$2:$A$579),0))</f>
        <v>2.3589459000000002</v>
      </c>
      <c r="S4" cm="1">
        <f t="array" ref="S4">INDEX('Longitude and Latitude'!$C$2:$C$579,MATCH(LOWER(Data!A4),LOWER('Longitude and Latitude'!$A$2:$A$579),0))</f>
        <v>97.872159999999994</v>
      </c>
      <c r="T4" t="b">
        <f>IF(EXACT(A4, UPPER(A4)), TRUE, FALSE)</f>
        <v>0</v>
      </c>
    </row>
    <row r="5" spans="1:20" x14ac:dyDescent="0.35">
      <c r="A5" t="s">
        <v>6</v>
      </c>
      <c r="B5">
        <v>92.12</v>
      </c>
      <c r="C5" cm="1">
        <f t="array" ref="C5">INDEX(DataAll!$E$2:$E$555,MATCH(LOWER(Data!A5),LOWER(DataAll!$D$2:$D$555),0))</f>
        <v>57.65</v>
      </c>
      <c r="D5" cm="1">
        <f t="array" ref="D5">INDEX(DataAll!$H$2:$H$579,MATCH(LOWER(Data!A5),LOWER(DataAll!$G$2:$G$555),0))</f>
        <v>0.45700000000000002</v>
      </c>
      <c r="E5" cm="1">
        <f t="array" ref="E5">INDEX(DataAll!$K$2:$K$579,MATCH(LOWER(Data!A5),LOWER(DataAll!$J$2:$J$555),0))</f>
        <v>10</v>
      </c>
      <c r="F5" cm="1">
        <f t="array" ref="F5">INDEX(DataAll!$N$2:$N$555,MATCH(LOWER(Data!A5),LOWER(DataAll!$M$2:$M$555),0))</f>
        <v>52.3</v>
      </c>
      <c r="G5" cm="1">
        <f t="array" ref="G5">INDEX(DataAll!$Q$2:$Q$555,MATCH(LOWER(Data!A5),LOWER(DataAll!$P$2:$P$555),0))</f>
        <v>13.7</v>
      </c>
      <c r="H5" cm="1">
        <f t="array" ref="H5">INDEX(DataAll!$T$2:$T$555,MATCH(LOWER(Data!A5),LOWER(DataAll!$S$2:$S$555),0))</f>
        <v>0.219</v>
      </c>
      <c r="I5" cm="1">
        <f t="array" ref="I5">INDEX(DataAll!$W$2:$W$555,MATCH(LOWER(Data!A5),LOWER(DataAll!$V$2:$V$555),0))</f>
        <v>28.87</v>
      </c>
      <c r="J5" cm="1">
        <f t="array" ref="J5">INDEX(DataAll!$Z$2:$Z$555,MATCH(LOWER(Data!A5),LOWER(DataAll!$Y$2:$Y$555),0))</f>
        <v>2.39</v>
      </c>
      <c r="K5" cm="1">
        <f t="array" ref="K5">INDEX(DataAll!$AM$2:$AM$555,MATCH(LOWER(Data!A5),LOWER(DataAll!$AL$2:$AL$555),0))</f>
        <v>12.1</v>
      </c>
      <c r="L5" cm="1">
        <f t="array" ref="L5">INDEX(DataAll!$AJ$2:$AJ$555,MATCH(LOWER(Data!A5),LOWER(DataAll!$AI$2:$AI$555),0))</f>
        <v>35.799999999999997</v>
      </c>
      <c r="M5" cm="1">
        <f t="array" ref="M5">INDEX(DataAll!$AP$2:$AP$555,MATCH(LOWER(Data!A5),LOWER(DataAll!$AO$2:$AO$555),0))</f>
        <v>62.94</v>
      </c>
      <c r="N5" cm="1">
        <f t="array" ref="N5">INDEX(DataAll!$AQ$2:$AQ$555,MATCH(LOWER(Data!A5),LOWER(DataAll!$AO$2:$AO$555),0))</f>
        <v>66.78</v>
      </c>
      <c r="O5" cm="1">
        <f t="array" ref="O5">INDEX(DataAll!$AT$2:$AT$555,MATCH(LOWER(Data!A5),LOWER(DataAll!$AS$2:$AS$555),0))</f>
        <v>9.23</v>
      </c>
      <c r="P5" cm="1">
        <f t="array" ref="P5">INDEX(DataAll!$AU$2:$AU$555,MATCH(LOWER(Data!A5),LOWER(DataAll!$AS$2:$AS$555),0))</f>
        <v>8.4499999999999993</v>
      </c>
      <c r="Q5" cm="1">
        <f t="array" ref="Q5">INDEX(DataAll!$AX$2:$AX$556,MATCH(LOWER(Data!A5),LOWER(DataAll!$AW$2:$AW$556),0))</f>
        <v>34.83</v>
      </c>
      <c r="R5" cm="1">
        <f t="array" ref="R5">INDEX('Longitude and Latitude'!$B$2:$B$579,MATCH(LOWER(Data!A5),LOWER('Longitude and Latitude'!$A$2:$A$579),0))</f>
        <v>3.3115055999999998</v>
      </c>
      <c r="S5" cm="1">
        <f t="array" ref="S5">INDEX('Longitude and Latitude'!$C$2:$C$579,MATCH(LOWER(Data!A5),LOWER('Longitude and Latitude'!$A$2:$A$579),0))</f>
        <v>97.351655800000003</v>
      </c>
      <c r="T5" t="b">
        <f>IF(EXACT(A5, UPPER(A5)), TRUE, FALSE)</f>
        <v>0</v>
      </c>
    </row>
    <row r="6" spans="1:20" x14ac:dyDescent="0.35">
      <c r="A6" t="s">
        <v>7</v>
      </c>
      <c r="B6">
        <v>93.28</v>
      </c>
      <c r="C6" cm="1">
        <f t="array" ref="C6">INDEX(DataAll!$E$2:$E$555,MATCH(LOWER(Data!A6),LOWER(DataAll!$D$2:$D$555),0))</f>
        <v>59.4</v>
      </c>
      <c r="D6" cm="1">
        <f t="array" ref="D6">INDEX(DataAll!$H$2:$H$579,MATCH(LOWER(Data!A6),LOWER(DataAll!$G$2:$G$555),0))</f>
        <v>0.51900000000000002</v>
      </c>
      <c r="E6" cm="1">
        <f t="array" ref="E6">INDEX(DataAll!$K$2:$K$579,MATCH(LOWER(Data!A6),LOWER(DataAll!$J$2:$J$555),0))</f>
        <v>10</v>
      </c>
      <c r="F6" cm="1">
        <f t="array" ref="F6">INDEX(DataAll!$N$2:$N$555,MATCH(LOWER(Data!A6),LOWER(DataAll!$M$2:$M$555),0))</f>
        <v>53.83</v>
      </c>
      <c r="G6" cm="1">
        <f t="array" ref="G6">INDEX(DataAll!$Q$2:$Q$555,MATCH(LOWER(Data!A6),LOWER(DataAll!$P$2:$P$555),0))</f>
        <v>12.97</v>
      </c>
      <c r="H6" cm="1">
        <f t="array" ref="H6">INDEX(DataAll!$T$2:$T$555,MATCH(LOWER(Data!A6),LOWER(DataAll!$S$2:$S$555),0))</f>
        <v>0.25900000000000001</v>
      </c>
      <c r="I6" cm="1">
        <f t="array" ref="I6">INDEX(DataAll!$W$2:$W$555,MATCH(LOWER(Data!A6),LOWER(DataAll!$V$2:$V$555),0))</f>
        <v>31.46</v>
      </c>
      <c r="J6" cm="1">
        <f t="array" ref="J6">INDEX(DataAll!$Z$2:$Z$555,MATCH(LOWER(Data!A6),LOWER(DataAll!$Y$2:$Y$555),0))</f>
        <v>2.71</v>
      </c>
      <c r="K6" cm="1">
        <f t="array" ref="K6">INDEX(DataAll!$AM$2:$AM$555,MATCH(LOWER(Data!A6),LOWER(DataAll!$AL$2:$AL$555),0))</f>
        <v>12.45</v>
      </c>
      <c r="L6" cm="1">
        <f t="array" ref="L6">INDEX(DataAll!$AJ$2:$AJ$555,MATCH(LOWER(Data!A6),LOWER(DataAll!$AI$2:$AI$555),0))</f>
        <v>25.45</v>
      </c>
      <c r="M6" cm="1">
        <f t="array" ref="M6">INDEX(DataAll!$AP$2:$AP$555,MATCH(LOWER(Data!A6),LOWER(DataAll!$AO$2:$AO$555),0))</f>
        <v>66.709999999999994</v>
      </c>
      <c r="N6" cm="1">
        <f t="array" ref="N6">INDEX(DataAll!$AQ$2:$AQ$555,MATCH(LOWER(Data!A6),LOWER(DataAll!$AO$2:$AO$555),0))</f>
        <v>70.69</v>
      </c>
      <c r="O6" cm="1">
        <f t="array" ref="O6">INDEX(DataAll!$AT$2:$AT$555,MATCH(LOWER(Data!A6),LOWER(DataAll!$AS$2:$AS$555),0))</f>
        <v>10.39</v>
      </c>
      <c r="P6" cm="1">
        <f t="array" ref="P6">INDEX(DataAll!$AU$2:$AU$555,MATCH(LOWER(Data!A6),LOWER(DataAll!$AS$2:$AS$555),0))</f>
        <v>9.81</v>
      </c>
      <c r="Q6" cm="1">
        <f t="array" ref="Q6">INDEX(DataAll!$AX$2:$AX$556,MATCH(LOWER(Data!A6),LOWER(DataAll!$AW$2:$AW$556),0))</f>
        <v>47.54</v>
      </c>
      <c r="R6" cm="1">
        <f t="array" ref="R6">INDEX('Longitude and Latitude'!$B$2:$B$579,MATCH(LOWER(Data!A6),LOWER('Longitude and Latitude'!$A$2:$A$579),0))</f>
        <v>3.3088666</v>
      </c>
      <c r="S6" cm="1">
        <f t="array" ref="S6">INDEX('Longitude and Latitude'!$C$2:$C$579,MATCH(LOWER(Data!A6),LOWER('Longitude and Latitude'!$A$2:$A$579),0))</f>
        <v>97.698227200000005</v>
      </c>
      <c r="T6" t="b">
        <f>IF(EXACT(A6, UPPER(A6)), TRUE, FALSE)</f>
        <v>0</v>
      </c>
    </row>
    <row r="7" spans="1:20" x14ac:dyDescent="0.35">
      <c r="A7" t="s">
        <v>8</v>
      </c>
      <c r="B7">
        <v>86.98</v>
      </c>
      <c r="C7" cm="1">
        <f t="array" ref="C7">INDEX(DataAll!$E$2:$E$555,MATCH(LOWER(Data!A7),LOWER(DataAll!$D$2:$D$555),0))</f>
        <v>57.52</v>
      </c>
      <c r="D7" cm="1">
        <f t="array" ref="D7">INDEX(DataAll!$H$2:$H$579,MATCH(LOWER(Data!A7),LOWER(DataAll!$G$2:$G$555),0))</f>
        <v>0.54800000000000004</v>
      </c>
      <c r="E7" cm="1">
        <f t="array" ref="E7">INDEX(DataAll!$K$2:$K$579,MATCH(LOWER(Data!A7),LOWER(DataAll!$J$2:$J$555),0))</f>
        <v>10</v>
      </c>
      <c r="F7" cm="1">
        <f t="array" ref="F7">INDEX(DataAll!$N$2:$N$555,MATCH(LOWER(Data!A7),LOWER(DataAll!$M$2:$M$555),0))</f>
        <v>52.03</v>
      </c>
      <c r="G7" cm="1">
        <f t="array" ref="G7">INDEX(DataAll!$Q$2:$Q$555,MATCH(LOWER(Data!A7),LOWER(DataAll!$P$2:$P$555),0))</f>
        <v>8.61</v>
      </c>
      <c r="H7" cm="1">
        <f t="array" ref="H7">INDEX(DataAll!$T$2:$T$555,MATCH(LOWER(Data!A7),LOWER(DataAll!$S$2:$S$555),0))</f>
        <v>0.22900000000000001</v>
      </c>
      <c r="I7" cm="1">
        <f t="array" ref="I7">INDEX(DataAll!$W$2:$W$555,MATCH(LOWER(Data!A7),LOWER(DataAll!$V$2:$V$555),0))</f>
        <v>29.09</v>
      </c>
      <c r="J7" cm="1">
        <f t="array" ref="J7">INDEX(DataAll!$Z$2:$Z$555,MATCH(LOWER(Data!A7),LOWER(DataAll!$Y$2:$Y$555),0))</f>
        <v>2.41</v>
      </c>
      <c r="K7" cm="1">
        <f t="array" ref="K7">INDEX(DataAll!$AM$2:$AM$555,MATCH(LOWER(Data!A7),LOWER(DataAll!$AL$2:$AL$555),0))</f>
        <v>13.39</v>
      </c>
      <c r="L7" cm="1">
        <f t="array" ref="L7">INDEX(DataAll!$AJ$2:$AJ$555,MATCH(LOWER(Data!A7),LOWER(DataAll!$AI$2:$AI$555),0))</f>
        <v>26.75</v>
      </c>
      <c r="M7" cm="1">
        <f t="array" ref="M7">INDEX(DataAll!$AP$2:$AP$555,MATCH(LOWER(Data!A7),LOWER(DataAll!$AO$2:$AO$555),0))</f>
        <v>67.14</v>
      </c>
      <c r="N7" cm="1">
        <f t="array" ref="N7">INDEX(DataAll!$AQ$2:$AQ$555,MATCH(LOWER(Data!A7),LOWER(DataAll!$AO$2:$AO$555),0))</f>
        <v>71.099999999999994</v>
      </c>
      <c r="O7" cm="1">
        <f t="array" ref="O7">INDEX(DataAll!$AT$2:$AT$555,MATCH(LOWER(Data!A7),LOWER(DataAll!$AS$2:$AS$555),0))</f>
        <v>8.6</v>
      </c>
      <c r="P7" cm="1">
        <f t="array" ref="P7">INDEX(DataAll!$AU$2:$AU$555,MATCH(LOWER(Data!A7),LOWER(DataAll!$AS$2:$AS$555),0))</f>
        <v>8.3800000000000008</v>
      </c>
      <c r="Q7" cm="1">
        <f t="array" ref="Q7">INDEX(DataAll!$AX$2:$AX$556,MATCH(LOWER(Data!A7),LOWER(DataAll!$AW$2:$AW$556),0))</f>
        <v>31.23</v>
      </c>
      <c r="R7" cm="1">
        <f t="array" ref="R7">INDEX('Longitude and Latitude'!$B$2:$B$579,MATCH(LOWER(Data!A7),LOWER('Longitude and Latitude'!$A$2:$A$579),0))</f>
        <v>5.2554429999999996</v>
      </c>
      <c r="S7" cm="1">
        <f t="array" ref="S7">INDEX('Longitude and Latitude'!$C$2:$C$579,MATCH(LOWER(Data!A7),LOWER('Longitude and Latitude'!$A$2:$A$579),0))</f>
        <v>95.988545599999995</v>
      </c>
      <c r="T7" t="b">
        <f>IF(EXACT(A7, UPPER(A7)), TRUE, FALSE)</f>
        <v>0</v>
      </c>
    </row>
    <row r="8" spans="1:20" x14ac:dyDescent="0.35">
      <c r="A8" t="s">
        <v>9</v>
      </c>
      <c r="B8">
        <v>97.5</v>
      </c>
      <c r="C8" cm="1">
        <f t="array" ref="C8">INDEX(DataAll!$E$2:$E$555,MATCH(LOWER(Data!A8),LOWER(DataAll!$D$2:$D$555),0))</f>
        <v>71.78</v>
      </c>
      <c r="D8" cm="1">
        <f t="array" ref="D8">INDEX(DataAll!$H$2:$H$579,MATCH(LOWER(Data!A8),LOWER(DataAll!$G$2:$G$555),0))</f>
        <v>0.50700000000000001</v>
      </c>
      <c r="E8" cm="1">
        <f t="array" ref="E8">INDEX(DataAll!$K$2:$K$579,MATCH(LOWER(Data!A8),LOWER(DataAll!$J$2:$J$555),0))</f>
        <v>16.670000000000002</v>
      </c>
      <c r="F8" cm="1">
        <f t="array" ref="F8">INDEX(DataAll!$N$2:$N$555,MATCH(LOWER(Data!A8),LOWER(DataAll!$M$2:$M$555),0))</f>
        <v>55.93</v>
      </c>
      <c r="G8" cm="1">
        <f t="array" ref="G8">INDEX(DataAll!$Q$2:$Q$555,MATCH(LOWER(Data!A8),LOWER(DataAll!$P$2:$P$555),0))</f>
        <v>8.61</v>
      </c>
      <c r="H8" cm="1">
        <f t="array" ref="H8">INDEX(DataAll!$T$2:$T$555,MATCH(LOWER(Data!A8),LOWER(DataAll!$S$2:$S$555),0))</f>
        <v>0.26300000000000001</v>
      </c>
      <c r="I8" cm="1">
        <f t="array" ref="I8">INDEX(DataAll!$W$2:$W$555,MATCH(LOWER(Data!A8),LOWER(DataAll!$V$2:$V$555),0))</f>
        <v>37.409999999999997</v>
      </c>
      <c r="J8" cm="1">
        <f t="array" ref="J8">INDEX(DataAll!$Z$2:$Z$555,MATCH(LOWER(Data!A8),LOWER(DataAll!$Y$2:$Y$555),0))</f>
        <v>2.5099999999999998</v>
      </c>
      <c r="K8" cm="1">
        <f t="array" ref="K8">INDEX(DataAll!$AM$2:$AM$555,MATCH(LOWER(Data!A8),LOWER(DataAll!$AL$2:$AL$555),0))</f>
        <v>14.38</v>
      </c>
      <c r="L8" cm="1">
        <f t="array" ref="L8">INDEX(DataAll!$AJ$2:$AJ$555,MATCH(LOWER(Data!A8),LOWER(DataAll!$AI$2:$AI$555),0))</f>
        <v>25.43</v>
      </c>
      <c r="M8" cm="1">
        <f t="array" ref="M8">INDEX(DataAll!$AP$2:$AP$555,MATCH(LOWER(Data!A8),LOWER(DataAll!$AO$2:$AO$555),0))</f>
        <v>67.25</v>
      </c>
      <c r="N8" cm="1">
        <f t="array" ref="N8">INDEX(DataAll!$AQ$2:$AQ$555,MATCH(LOWER(Data!A8),LOWER(DataAll!$AO$2:$AO$555),0))</f>
        <v>71.209999999999994</v>
      </c>
      <c r="O8" cm="1">
        <f t="array" ref="O8">INDEX(DataAll!$AT$2:$AT$555,MATCH(LOWER(Data!A8),LOWER(DataAll!$AS$2:$AS$555),0))</f>
        <v>10.06</v>
      </c>
      <c r="P8" cm="1">
        <f t="array" ref="P8">INDEX(DataAll!$AU$2:$AU$555,MATCH(LOWER(Data!A8),LOWER(DataAll!$AS$2:$AS$555),0))</f>
        <v>9.7200000000000006</v>
      </c>
      <c r="Q8" cm="1">
        <f t="array" ref="Q8">INDEX(DataAll!$AX$2:$AX$556,MATCH(LOWER(Data!A8),LOWER(DataAll!$AW$2:$AW$556),0))</f>
        <v>47.92</v>
      </c>
      <c r="R8" cm="1">
        <f t="array" ref="R8">INDEX('Longitude and Latitude'!$B$2:$B$579,MATCH(LOWER(Data!A8),LOWER('Longitude and Latitude'!$A$2:$A$579),0))</f>
        <v>4.4482641000000003</v>
      </c>
      <c r="S8" cm="1">
        <f t="array" ref="S8">INDEX('Longitude and Latitude'!$C$2:$C$579,MATCH(LOWER(Data!A8),LOWER('Longitude and Latitude'!$A$2:$A$579),0))</f>
        <v>96.835099900000003</v>
      </c>
      <c r="T8" t="b">
        <f>IF(EXACT(A8, UPPER(A8)), TRUE, FALSE)</f>
        <v>0</v>
      </c>
    </row>
    <row r="9" spans="1:20" x14ac:dyDescent="0.35">
      <c r="A9" t="s">
        <v>10</v>
      </c>
      <c r="B9">
        <v>86.36</v>
      </c>
      <c r="C9" cm="1">
        <f t="array" ref="C9">INDEX(DataAll!$E$2:$E$555,MATCH(LOWER(Data!A9),LOWER(DataAll!$D$2:$D$555),0))</f>
        <v>56.86</v>
      </c>
      <c r="D9" cm="1">
        <f t="array" ref="D9">INDEX(DataAll!$H$2:$H$579,MATCH(LOWER(Data!A9),LOWER(DataAll!$G$2:$G$555),0))</f>
        <v>0.40400000000000003</v>
      </c>
      <c r="E9" cm="1">
        <f t="array" ref="E9">INDEX(DataAll!$K$2:$K$579,MATCH(LOWER(Data!A9),LOWER(DataAll!$J$2:$J$555),0))</f>
        <v>8</v>
      </c>
      <c r="F9" cm="1">
        <f t="array" ref="F9">INDEX(DataAll!$N$2:$N$555,MATCH(LOWER(Data!A9),LOWER(DataAll!$M$2:$M$555),0))</f>
        <v>48.63</v>
      </c>
      <c r="G9" cm="1">
        <f t="array" ref="G9">INDEX(DataAll!$Q$2:$Q$555,MATCH(LOWER(Data!A9),LOWER(DataAll!$P$2:$P$555),0))</f>
        <v>6.16</v>
      </c>
      <c r="H9" cm="1">
        <f t="array" ref="H9">INDEX(DataAll!$T$2:$T$555,MATCH(LOWER(Data!A9),LOWER(DataAll!$S$2:$S$555),0))</f>
        <v>0.223</v>
      </c>
      <c r="I9" cm="1">
        <f t="array" ref="I9">INDEX(DataAll!$W$2:$W$555,MATCH(LOWER(Data!A9),LOWER(DataAll!$V$2:$V$555),0))</f>
        <v>29.56</v>
      </c>
      <c r="J9" cm="1">
        <f t="array" ref="J9">INDEX(DataAll!$Z$2:$Z$555,MATCH(LOWER(Data!A9),LOWER(DataAll!$Y$2:$Y$555),0))</f>
        <v>2.2999999999999998</v>
      </c>
      <c r="K9" cm="1">
        <f t="array" ref="K9">INDEX(DataAll!$AM$2:$AM$555,MATCH(LOWER(Data!A9),LOWER(DataAll!$AL$2:$AL$555),0))</f>
        <v>17.86</v>
      </c>
      <c r="L9" cm="1">
        <f t="array" ref="L9">INDEX(DataAll!$AJ$2:$AJ$555,MATCH(LOWER(Data!A9),LOWER(DataAll!$AI$2:$AI$555),0))</f>
        <v>29.48</v>
      </c>
      <c r="M9" cm="1">
        <f t="array" ref="M9">INDEX(DataAll!$AP$2:$AP$555,MATCH(LOWER(Data!A9),LOWER(DataAll!$AO$2:$AO$555),0))</f>
        <v>66.400000000000006</v>
      </c>
      <c r="N9" cm="1">
        <f t="array" ref="N9">INDEX(DataAll!$AQ$2:$AQ$555,MATCH(LOWER(Data!A9),LOWER(DataAll!$AO$2:$AO$555),0))</f>
        <v>70.38</v>
      </c>
      <c r="O9" cm="1">
        <f t="array" ref="O9">INDEX(DataAll!$AT$2:$AT$555,MATCH(LOWER(Data!A9),LOWER(DataAll!$AS$2:$AS$555),0))</f>
        <v>10.16</v>
      </c>
      <c r="P9" cm="1">
        <f t="array" ref="P9">INDEX(DataAll!$AU$2:$AU$555,MATCH(LOWER(Data!A9),LOWER(DataAll!$AS$2:$AS$555),0))</f>
        <v>9.8000000000000007</v>
      </c>
      <c r="Q9" cm="1">
        <f t="array" ref="Q9">INDEX(DataAll!$AX$2:$AX$556,MATCH(LOWER(Data!A9),LOWER(DataAll!$AW$2:$AW$556),0))</f>
        <v>48.3</v>
      </c>
      <c r="R9" cm="1">
        <f t="array" ref="R9">INDEX('Longitude and Latitude'!$B$2:$B$579,MATCH(LOWER(Data!A9),LOWER('Longitude and Latitude'!$A$2:$A$579),0))</f>
        <v>4.4542745000000004</v>
      </c>
      <c r="S9" cm="1">
        <f t="array" ref="S9">INDEX('Longitude and Latitude'!$C$2:$C$579,MATCH(LOWER(Data!A9),LOWER('Longitude and Latitude'!$A$2:$A$579),0))</f>
        <v>96.1526985</v>
      </c>
      <c r="T9" t="b">
        <f>IF(EXACT(A9, UPPER(A9)), TRUE, FALSE)</f>
        <v>0</v>
      </c>
    </row>
    <row r="10" spans="1:20" x14ac:dyDescent="0.35">
      <c r="A10" t="s">
        <v>11</v>
      </c>
      <c r="B10">
        <v>95.29</v>
      </c>
      <c r="C10" cm="1">
        <f t="array" ref="C10">INDEX(DataAll!$E$2:$E$555,MATCH(LOWER(Data!A10),LOWER(DataAll!$D$2:$D$555),0))</f>
        <v>47.2</v>
      </c>
      <c r="D10" cm="1">
        <f t="array" ref="D10">INDEX(DataAll!$H$2:$H$579,MATCH(LOWER(Data!A10),LOWER(DataAll!$G$2:$G$555),0))</f>
        <v>0.5</v>
      </c>
      <c r="E10" cm="1">
        <f t="array" ref="E10">INDEX(DataAll!$K$2:$K$579,MATCH(LOWER(Data!A10),LOWER(DataAll!$J$2:$J$555),0))</f>
        <v>2.86</v>
      </c>
      <c r="F10" cm="1">
        <f t="array" ref="F10">INDEX(DataAll!$N$2:$N$555,MATCH(LOWER(Data!A10),LOWER(DataAll!$M$2:$M$555),0))</f>
        <v>57.67</v>
      </c>
      <c r="G10" cm="1">
        <f t="array" ref="G10">INDEX(DataAll!$Q$2:$Q$555,MATCH(LOWER(Data!A10),LOWER(DataAll!$P$2:$P$555),0))</f>
        <v>8.58</v>
      </c>
      <c r="H10" cm="1">
        <f t="array" ref="H10">INDEX(DataAll!$T$2:$T$555,MATCH(LOWER(Data!A10),LOWER(DataAll!$S$2:$S$555),0))</f>
        <v>0.182</v>
      </c>
      <c r="I10" cm="1">
        <f t="array" ref="I10">INDEX(DataAll!$W$2:$W$555,MATCH(LOWER(Data!A10),LOWER(DataAll!$V$2:$V$555),0))</f>
        <v>25.24</v>
      </c>
      <c r="J10" cm="1">
        <f t="array" ref="J10">INDEX(DataAll!$Z$2:$Z$555,MATCH(LOWER(Data!A10),LOWER(DataAll!$Y$2:$Y$555),0))</f>
        <v>2.25</v>
      </c>
      <c r="K10" cm="1">
        <f t="array" ref="K10">INDEX(DataAll!$AM$2:$AM$555,MATCH(LOWER(Data!A10),LOWER(DataAll!$AL$2:$AL$555),0))</f>
        <v>13.38</v>
      </c>
      <c r="L10" cm="1">
        <f t="array" ref="L10">INDEX(DataAll!$AJ$2:$AJ$555,MATCH(LOWER(Data!A10),LOWER(DataAll!$AI$2:$AI$555),0))</f>
        <v>22.41</v>
      </c>
      <c r="M10" cm="1">
        <f t="array" ref="M10">INDEX(DataAll!$AP$2:$AP$555,MATCH(LOWER(Data!A10),LOWER(DataAll!$AO$2:$AO$555),0))</f>
        <v>68.22</v>
      </c>
      <c r="N10" cm="1">
        <f t="array" ref="N10">INDEX(DataAll!$AQ$2:$AQ$555,MATCH(LOWER(Data!A10),LOWER(DataAll!$AO$2:$AO$555),0))</f>
        <v>72.16</v>
      </c>
      <c r="O10" cm="1">
        <f t="array" ref="O10">INDEX(DataAll!$AT$2:$AT$555,MATCH(LOWER(Data!A10),LOWER(DataAll!$AS$2:$AS$555),0))</f>
        <v>10.56</v>
      </c>
      <c r="P10" cm="1">
        <f t="array" ref="P10">INDEX(DataAll!$AU$2:$AU$555,MATCH(LOWER(Data!A10),LOWER(DataAll!$AS$2:$AS$555),0))</f>
        <v>10.36</v>
      </c>
      <c r="Q10" cm="1">
        <f t="array" ref="Q10">INDEX(DataAll!$AX$2:$AX$556,MATCH(LOWER(Data!A10),LOWER(DataAll!$AW$2:$AW$556),0))</f>
        <v>56.44</v>
      </c>
      <c r="R10" cm="1">
        <f t="array" ref="R10">INDEX('Longitude and Latitude'!$B$2:$B$579,MATCH(LOWER(Data!A10),LOWER('Longitude and Latitude'!$A$2:$A$579),0))</f>
        <v>5.4529167999999997</v>
      </c>
      <c r="S10" cm="1">
        <f t="array" ref="S10">INDEX('Longitude and Latitude'!$C$2:$C$579,MATCH(LOWER(Data!A10),LOWER('Longitude and Latitude'!$A$2:$A$579),0))</f>
        <v>95.477781100000001</v>
      </c>
      <c r="T10" t="b">
        <f>IF(EXACT(A10, UPPER(A10)), TRUE, FALSE)</f>
        <v>0</v>
      </c>
    </row>
    <row r="11" spans="1:20" x14ac:dyDescent="0.35">
      <c r="A11" t="s">
        <v>12</v>
      </c>
      <c r="B11">
        <v>93.92</v>
      </c>
      <c r="C11" cm="1">
        <f t="array" ref="C11">INDEX(DataAll!$E$2:$E$555,MATCH(LOWER(Data!A11),LOWER(DataAll!$D$2:$D$555),0))</f>
        <v>66.3</v>
      </c>
      <c r="D11" cm="1">
        <f t="array" ref="D11">INDEX(DataAll!$H$2:$H$579,MATCH(LOWER(Data!A11),LOWER(DataAll!$G$2:$G$555),0))</f>
        <v>0.28799999999999998</v>
      </c>
      <c r="E11" cm="1">
        <f t="array" ref="E11">INDEX(DataAll!$K$2:$K$579,MATCH(LOWER(Data!A11),LOWER(DataAll!$J$2:$J$555),0))</f>
        <v>17.5</v>
      </c>
      <c r="F11" cm="1">
        <f t="array" ref="F11">INDEX(DataAll!$N$2:$N$555,MATCH(LOWER(Data!A11),LOWER(DataAll!$M$2:$M$555),0))</f>
        <v>59.02</v>
      </c>
      <c r="G11" cm="1">
        <f t="array" ref="G11">INDEX(DataAll!$Q$2:$Q$555,MATCH(LOWER(Data!A11),LOWER(DataAll!$P$2:$P$555),0))</f>
        <v>9.1199999999999992</v>
      </c>
      <c r="H11" cm="1">
        <f t="array" ref="H11">INDEX(DataAll!$T$2:$T$555,MATCH(LOWER(Data!A11),LOWER(DataAll!$S$2:$S$555),0))</f>
        <v>0.127</v>
      </c>
      <c r="I11" cm="1">
        <f t="array" ref="I11">INDEX(DataAll!$W$2:$W$555,MATCH(LOWER(Data!A11),LOWER(DataAll!$V$2:$V$555),0))</f>
        <v>32.01</v>
      </c>
      <c r="J11" cm="1">
        <f t="array" ref="J11">INDEX(DataAll!$Z$2:$Z$555,MATCH(LOWER(Data!A11),LOWER(DataAll!$Y$2:$Y$555),0))</f>
        <v>2.35</v>
      </c>
      <c r="K11" cm="1">
        <f t="array" ref="K11">INDEX(DataAll!$AM$2:$AM$555,MATCH(LOWER(Data!A11),LOWER(DataAll!$AL$2:$AL$555),0))</f>
        <v>18.78</v>
      </c>
      <c r="L11" cm="1">
        <f t="array" ref="L11">INDEX(DataAll!$AJ$2:$AJ$555,MATCH(LOWER(Data!A11),LOWER(DataAll!$AI$2:$AI$555),0))</f>
        <v>39.409999999999997</v>
      </c>
      <c r="M11" cm="1">
        <f t="array" ref="M11">INDEX(DataAll!$AP$2:$AP$555,MATCH(LOWER(Data!A11),LOWER(DataAll!$AO$2:$AO$555),0))</f>
        <v>65.36</v>
      </c>
      <c r="N11" cm="1">
        <f t="array" ref="N11">INDEX(DataAll!$AQ$2:$AQ$555,MATCH(LOWER(Data!A11),LOWER(DataAll!$AO$2:$AO$555),0))</f>
        <v>69.319999999999993</v>
      </c>
      <c r="O11" cm="1">
        <f t="array" ref="O11">INDEX(DataAll!$AT$2:$AT$555,MATCH(LOWER(Data!A11),LOWER(DataAll!$AS$2:$AS$555),0))</f>
        <v>9.43</v>
      </c>
      <c r="P11" cm="1">
        <f t="array" ref="P11">INDEX(DataAll!$AU$2:$AU$555,MATCH(LOWER(Data!A11),LOWER(DataAll!$AS$2:$AS$555),0))</f>
        <v>8.73</v>
      </c>
      <c r="Q11" cm="1">
        <f t="array" ref="Q11">INDEX(DataAll!$AX$2:$AX$556,MATCH(LOWER(Data!A11),LOWER(DataAll!$AW$2:$AW$556),0))</f>
        <v>39.24</v>
      </c>
      <c r="R11" cm="1">
        <f t="array" ref="R11">INDEX('Longitude and Latitude'!$B$2:$B$579,MATCH(LOWER(Data!A11),LOWER('Longitude and Latitude'!$A$2:$A$579),0))</f>
        <v>5.0742659000000003</v>
      </c>
      <c r="S11" cm="1">
        <f t="array" ref="S11">INDEX('Longitude and Latitude'!$C$2:$C$579,MATCH(LOWER(Data!A11),LOWER('Longitude and Latitude'!$A$2:$A$579),0))</f>
        <v>95.940971000000005</v>
      </c>
      <c r="T11" t="b">
        <f>IF(EXACT(A11, UPPER(A11)), TRUE, FALSE)</f>
        <v>0</v>
      </c>
    </row>
    <row r="12" spans="1:20" x14ac:dyDescent="0.35">
      <c r="A12" t="s">
        <v>13</v>
      </c>
      <c r="B12">
        <v>95.08</v>
      </c>
      <c r="C12" cm="1">
        <f t="array" ref="C12">INDEX(DataAll!$E$2:$E$555,MATCH(LOWER(Data!A12),LOWER(DataAll!$D$2:$D$555),0))</f>
        <v>59.19</v>
      </c>
      <c r="D12" cm="1">
        <f t="array" ref="D12">INDEX(DataAll!$H$2:$H$579,MATCH(LOWER(Data!A12),LOWER(DataAll!$G$2:$G$555),0))</f>
        <v>0.47799999999999998</v>
      </c>
      <c r="E12" cm="1">
        <f t="array" ref="E12">INDEX(DataAll!$K$2:$K$579,MATCH(LOWER(Data!A12),LOWER(DataAll!$J$2:$J$555),0))</f>
        <v>7.5</v>
      </c>
      <c r="F12" cm="1">
        <f t="array" ref="F12">INDEX(DataAll!$N$2:$N$555,MATCH(LOWER(Data!A12),LOWER(DataAll!$M$2:$M$555),0))</f>
        <v>59.12</v>
      </c>
      <c r="G12" cm="1">
        <f t="array" ref="G12">INDEX(DataAll!$Q$2:$Q$555,MATCH(LOWER(Data!A12),LOWER(DataAll!$P$2:$P$555),0))</f>
        <v>7.62</v>
      </c>
      <c r="H12" cm="1">
        <f t="array" ref="H12">INDEX(DataAll!$T$2:$T$555,MATCH(LOWER(Data!A12),LOWER(DataAll!$S$2:$S$555),0))</f>
        <v>0.19500000000000001</v>
      </c>
      <c r="I12" cm="1">
        <f t="array" ref="I12">INDEX(DataAll!$W$2:$W$555,MATCH(LOWER(Data!A12),LOWER(DataAll!$V$2:$V$555),0))</f>
        <v>38.51</v>
      </c>
      <c r="J12" cm="1">
        <f t="array" ref="J12">INDEX(DataAll!$Z$2:$Z$555,MATCH(LOWER(Data!A12),LOWER(DataAll!$Y$2:$Y$555),0))</f>
        <v>2.44</v>
      </c>
      <c r="K12" cm="1">
        <f t="array" ref="K12">INDEX(DataAll!$AM$2:$AM$555,MATCH(LOWER(Data!A12),LOWER(DataAll!$AL$2:$AL$555),0))</f>
        <v>12.12</v>
      </c>
      <c r="L12" cm="1">
        <f t="array" ref="L12">INDEX(DataAll!$AJ$2:$AJ$555,MATCH(LOWER(Data!A12),LOWER(DataAll!$AI$2:$AI$555),0))</f>
        <v>20.64</v>
      </c>
      <c r="M12" cm="1">
        <f t="array" ref="M12">INDEX(DataAll!$AP$2:$AP$555,MATCH(LOWER(Data!A12),LOWER(DataAll!$AO$2:$AO$555),0))</f>
        <v>69.72</v>
      </c>
      <c r="N12" cm="1">
        <f t="array" ref="N12">INDEX(DataAll!$AQ$2:$AQ$555,MATCH(LOWER(Data!A12),LOWER(DataAll!$AO$2:$AO$555),0))</f>
        <v>73.7</v>
      </c>
      <c r="O12" cm="1">
        <f t="array" ref="O12">INDEX(DataAll!$AT$2:$AT$555,MATCH(LOWER(Data!A12),LOWER(DataAll!$AS$2:$AS$555),0))</f>
        <v>9.39</v>
      </c>
      <c r="P12" cm="1">
        <f t="array" ref="P12">INDEX(DataAll!$AU$2:$AU$555,MATCH(LOWER(Data!A12),LOWER(DataAll!$AS$2:$AS$555),0))</f>
        <v>9.3000000000000007</v>
      </c>
      <c r="Q12" cm="1">
        <f t="array" ref="Q12">INDEX(DataAll!$AX$2:$AX$556,MATCH(LOWER(Data!A12),LOWER(DataAll!$AW$2:$AW$556),0))</f>
        <v>40.369999999999997</v>
      </c>
      <c r="R12" cm="1">
        <f t="array" ref="R12">INDEX('Longitude and Latitude'!$B$2:$B$579,MATCH(LOWER(Data!A12),LOWER('Longitude and Latitude'!$A$2:$A$579),0))</f>
        <v>5.1825400000000004</v>
      </c>
      <c r="S12" cm="1">
        <f t="array" ref="S12">INDEX('Longitude and Latitude'!$C$2:$C$579,MATCH(LOWER(Data!A12),LOWER('Longitude and Latitude'!$A$2:$A$579),0))</f>
        <v>96.890050000000002</v>
      </c>
      <c r="T12" t="b">
        <f>IF(EXACT(A12, UPPER(A12)), TRUE, FALSE)</f>
        <v>0</v>
      </c>
    </row>
    <row r="13" spans="1:20" x14ac:dyDescent="0.35">
      <c r="A13" t="s">
        <v>14</v>
      </c>
      <c r="B13">
        <v>93.3</v>
      </c>
      <c r="C13" cm="1">
        <f t="array" ref="C13">INDEX(DataAll!$E$2:$E$555,MATCH(LOWER(Data!A13),LOWER(DataAll!$D$2:$D$555),0))</f>
        <v>49.18</v>
      </c>
      <c r="D13" cm="1">
        <f t="array" ref="D13">INDEX(DataAll!$H$2:$H$579,MATCH(LOWER(Data!A13),LOWER(DataAll!$G$2:$G$555),0))</f>
        <v>0.55800000000000005</v>
      </c>
      <c r="E13" cm="1">
        <f t="array" ref="E13">INDEX(DataAll!$K$2:$K$579,MATCH(LOWER(Data!A13),LOWER(DataAll!$J$2:$J$555),0))</f>
        <v>2.2200000000000002</v>
      </c>
      <c r="F13" cm="1">
        <f t="array" ref="F13">INDEX(DataAll!$N$2:$N$555,MATCH(LOWER(Data!A13),LOWER(DataAll!$M$2:$M$555),0))</f>
        <v>67.37</v>
      </c>
      <c r="G13" cm="1">
        <f t="array" ref="G13">INDEX(DataAll!$Q$2:$Q$555,MATCH(LOWER(Data!A13),LOWER(DataAll!$P$2:$P$555),0))</f>
        <v>14.24</v>
      </c>
      <c r="H13" cm="1">
        <f t="array" ref="H13">INDEX(DataAll!$T$2:$T$555,MATCH(LOWER(Data!A13),LOWER(DataAll!$S$2:$S$555),0))</f>
        <v>0.248</v>
      </c>
      <c r="I13" cm="1">
        <f t="array" ref="I13">INDEX(DataAll!$W$2:$W$555,MATCH(LOWER(Data!A13),LOWER(DataAll!$V$2:$V$555),0))</f>
        <v>34.17</v>
      </c>
      <c r="J13" cm="1">
        <f t="array" ref="J13">INDEX(DataAll!$Z$2:$Z$555,MATCH(LOWER(Data!A13),LOWER(DataAll!$Y$2:$Y$555),0))</f>
        <v>2.3199999999999998</v>
      </c>
      <c r="K13" cm="1">
        <f t="array" ref="K13">INDEX(DataAll!$AM$2:$AM$555,MATCH(LOWER(Data!A13),LOWER(DataAll!$AL$2:$AL$555),0))</f>
        <v>16.64</v>
      </c>
      <c r="L13" cm="1">
        <f t="array" ref="L13">INDEX(DataAll!$AJ$2:$AJ$555,MATCH(LOWER(Data!A13),LOWER(DataAll!$AI$2:$AI$555),0))</f>
        <v>26.08</v>
      </c>
      <c r="M13" cm="1">
        <f t="array" ref="M13">INDEX(DataAll!$AP$2:$AP$555,MATCH(LOWER(Data!A13),LOWER(DataAll!$AO$2:$AO$555),0))</f>
        <v>67.209999999999994</v>
      </c>
      <c r="N13" cm="1">
        <f t="array" ref="N13">INDEX(DataAll!$AQ$2:$AQ$555,MATCH(LOWER(Data!A13),LOWER(DataAll!$AO$2:$AO$555),0))</f>
        <v>71.180000000000007</v>
      </c>
      <c r="O13" cm="1">
        <f t="array" ref="O13">INDEX(DataAll!$AT$2:$AT$555,MATCH(LOWER(Data!A13),LOWER(DataAll!$AS$2:$AS$555),0))</f>
        <v>9.0299999999999994</v>
      </c>
      <c r="P13" cm="1">
        <f t="array" ref="P13">INDEX(DataAll!$AU$2:$AU$555,MATCH(LOWER(Data!A13),LOWER(DataAll!$AS$2:$AS$555),0))</f>
        <v>8.7200000000000006</v>
      </c>
      <c r="Q13" cm="1">
        <f t="array" ref="Q13">INDEX(DataAll!$AX$2:$AX$556,MATCH(LOWER(Data!A13),LOWER(DataAll!$AW$2:$AW$556),0))</f>
        <v>35.11</v>
      </c>
      <c r="R13" cm="1">
        <f t="array" ref="R13">INDEX('Longitude and Latitude'!$B$2:$B$579,MATCH(LOWER(Data!A13),LOWER('Longitude and Latitude'!$A$2:$A$579),0))</f>
        <v>4.9786330999999997</v>
      </c>
      <c r="S13" cm="1">
        <f t="array" ref="S13">INDEX('Longitude and Latitude'!$C$2:$C$579,MATCH(LOWER(Data!A13),LOWER('Longitude and Latitude'!$A$2:$A$579),0))</f>
        <v>97.222142099999999</v>
      </c>
      <c r="T13" t="b">
        <f>IF(EXACT(A13, UPPER(A13)), TRUE, FALSE)</f>
        <v>0</v>
      </c>
    </row>
    <row r="14" spans="1:20" x14ac:dyDescent="0.35">
      <c r="A14" t="s">
        <v>15</v>
      </c>
      <c r="B14">
        <v>90.27</v>
      </c>
      <c r="C14" cm="1">
        <f t="array" ref="C14">INDEX(DataAll!$E$2:$E$555,MATCH(LOWER(Data!A14),LOWER(DataAll!$D$2:$D$555),0))</f>
        <v>50.62</v>
      </c>
      <c r="D14" cm="1">
        <f t="array" ref="D14">INDEX(DataAll!$H$2:$H$579,MATCH(LOWER(Data!A14),LOWER(DataAll!$G$2:$G$555),0))</f>
        <v>0.49399999999999999</v>
      </c>
      <c r="E14" cm="1">
        <f t="array" ref="E14">INDEX(DataAll!$K$2:$K$579,MATCH(LOWER(Data!A14),LOWER(DataAll!$J$2:$J$555),0))</f>
        <v>4</v>
      </c>
      <c r="F14" cm="1">
        <f t="array" ref="F14">INDEX(DataAll!$N$2:$N$555,MATCH(LOWER(Data!A14),LOWER(DataAll!$M$2:$M$555),0))</f>
        <v>65.040000000000006</v>
      </c>
      <c r="G14" cm="1">
        <f t="array" ref="G14">INDEX(DataAll!$Q$2:$Q$555,MATCH(LOWER(Data!A14),LOWER(DataAll!$P$2:$P$555),0))</f>
        <v>9.64</v>
      </c>
      <c r="H14" cm="1">
        <f t="array" ref="H14">INDEX(DataAll!$T$2:$T$555,MATCH(LOWER(Data!A14),LOWER(DataAll!$S$2:$S$555),0))</f>
        <v>0.23899999999999999</v>
      </c>
      <c r="I14" cm="1">
        <f t="array" ref="I14">INDEX(DataAll!$W$2:$W$555,MATCH(LOWER(Data!A14),LOWER(DataAll!$V$2:$V$555),0))</f>
        <v>30.25</v>
      </c>
      <c r="J14" cm="1">
        <f t="array" ref="J14">INDEX(DataAll!$Z$2:$Z$555,MATCH(LOWER(Data!A14),LOWER(DataAll!$Y$2:$Y$555),0))</f>
        <v>2.37</v>
      </c>
      <c r="K14" cm="1">
        <f t="array" ref="K14">INDEX(DataAll!$AM$2:$AM$555,MATCH(LOWER(Data!A14),LOWER(DataAll!$AL$2:$AL$555),0))</f>
        <v>15.43</v>
      </c>
      <c r="L14" cm="1">
        <f t="array" ref="L14">INDEX(DataAll!$AJ$2:$AJ$555,MATCH(LOWER(Data!A14),LOWER(DataAll!$AI$2:$AI$555),0))</f>
        <v>35.369999999999997</v>
      </c>
      <c r="M14" cm="1">
        <f t="array" ref="M14">INDEX(DataAll!$AP$2:$AP$555,MATCH(LOWER(Data!A14),LOWER(DataAll!$AO$2:$AO$555),0))</f>
        <v>63.6</v>
      </c>
      <c r="N14" cm="1">
        <f t="array" ref="N14">INDEX(DataAll!$AQ$2:$AQ$555,MATCH(LOWER(Data!A14),LOWER(DataAll!$AO$2:$AO$555),0))</f>
        <v>67.459999999999994</v>
      </c>
      <c r="O14" cm="1">
        <f t="array" ref="O14">INDEX(DataAll!$AT$2:$AT$555,MATCH(LOWER(Data!A14),LOWER(DataAll!$AS$2:$AS$555),0))</f>
        <v>8.9600000000000009</v>
      </c>
      <c r="P14" cm="1">
        <f t="array" ref="P14">INDEX(DataAll!$AU$2:$AU$555,MATCH(LOWER(Data!A14),LOWER(DataAll!$AS$2:$AS$555),0))</f>
        <v>8.66</v>
      </c>
      <c r="Q14" cm="1">
        <f t="array" ref="Q14">INDEX(DataAll!$AX$2:$AX$556,MATCH(LOWER(Data!A14),LOWER(DataAll!$AW$2:$AW$556),0))</f>
        <v>40.01</v>
      </c>
      <c r="R14" cm="1">
        <f t="array" ref="R14">INDEX('Longitude and Latitude'!$B$2:$B$579,MATCH(LOWER(Data!A14),LOWER('Longitude and Latitude'!$A$2:$A$579),0))</f>
        <v>3.0512643000000002</v>
      </c>
      <c r="S14" cm="1">
        <f t="array" ref="S14">INDEX('Longitude and Latitude'!$C$2:$C$579,MATCH(LOWER(Data!A14),LOWER('Longitude and Latitude'!$A$2:$A$579),0))</f>
        <v>97.336803099999997</v>
      </c>
      <c r="T14" t="b">
        <f>IF(EXACT(A14, UPPER(A14)), TRUE, FALSE)</f>
        <v>0</v>
      </c>
    </row>
    <row r="15" spans="1:20" x14ac:dyDescent="0.35">
      <c r="A15" t="s">
        <v>16</v>
      </c>
      <c r="B15">
        <v>89.63</v>
      </c>
      <c r="C15" cm="1">
        <f t="array" ref="C15">INDEX(DataAll!$E$2:$E$555,MATCH(LOWER(Data!A15),LOWER(DataAll!$D$2:$D$555),0))</f>
        <v>57.31</v>
      </c>
      <c r="D15" cm="1">
        <f t="array" ref="D15">INDEX(DataAll!$H$2:$H$579,MATCH(LOWER(Data!A15),LOWER(DataAll!$G$2:$G$555),0))</f>
        <v>0.60399999999999998</v>
      </c>
      <c r="E15" cm="1">
        <f t="array" ref="E15">INDEX(DataAll!$K$2:$K$579,MATCH(LOWER(Data!A15),LOWER(DataAll!$J$2:$J$555),0))</f>
        <v>5</v>
      </c>
      <c r="F15" cm="1">
        <f t="array" ref="F15">INDEX(DataAll!$N$2:$N$555,MATCH(LOWER(Data!A15),LOWER(DataAll!$M$2:$M$555),0))</f>
        <v>46.82</v>
      </c>
      <c r="G15" cm="1">
        <f t="array" ref="G15">INDEX(DataAll!$Q$2:$Q$555,MATCH(LOWER(Data!A15),LOWER(DataAll!$P$2:$P$555),0))</f>
        <v>9.18</v>
      </c>
      <c r="H15" cm="1">
        <f t="array" ref="H15">INDEX(DataAll!$T$2:$T$555,MATCH(LOWER(Data!A15),LOWER(DataAll!$S$2:$S$555),0))</f>
        <v>0.28699999999999998</v>
      </c>
      <c r="I15" cm="1">
        <f t="array" ref="I15">INDEX(DataAll!$W$2:$W$555,MATCH(LOWER(Data!A15),LOWER(DataAll!$V$2:$V$555),0))</f>
        <v>36.61</v>
      </c>
      <c r="J15" cm="1">
        <f t="array" ref="J15">INDEX(DataAll!$Z$2:$Z$555,MATCH(LOWER(Data!A15),LOWER(DataAll!$Y$2:$Y$555),0))</f>
        <v>2.72</v>
      </c>
      <c r="K15" cm="1">
        <f t="array" ref="K15">INDEX(DataAll!$AM$2:$AM$555,MATCH(LOWER(Data!A15),LOWER(DataAll!$AL$2:$AL$555),0))</f>
        <v>18.82</v>
      </c>
      <c r="L15" cm="1">
        <f t="array" ref="L15">INDEX(DataAll!$AJ$2:$AJ$555,MATCH(LOWER(Data!A15),LOWER(DataAll!$AI$2:$AI$555),0))</f>
        <v>41.76</v>
      </c>
      <c r="M15" cm="1">
        <f t="array" ref="M15">INDEX(DataAll!$AP$2:$AP$555,MATCH(LOWER(Data!A15),LOWER(DataAll!$AO$2:$AO$555),0))</f>
        <v>64.02</v>
      </c>
      <c r="N15" cm="1">
        <f t="array" ref="N15">INDEX(DataAll!$AQ$2:$AQ$555,MATCH(LOWER(Data!A15),LOWER(DataAll!$AO$2:$AO$555),0))</f>
        <v>67.91</v>
      </c>
      <c r="O15" cm="1">
        <f t="array" ref="O15">INDEX(DataAll!$AT$2:$AT$555,MATCH(LOWER(Data!A15),LOWER(DataAll!$AS$2:$AS$555),0))</f>
        <v>9.23</v>
      </c>
      <c r="P15" cm="1">
        <f t="array" ref="P15">INDEX(DataAll!$AU$2:$AU$555,MATCH(LOWER(Data!A15),LOWER(DataAll!$AS$2:$AS$555),0))</f>
        <v>7.72</v>
      </c>
      <c r="Q15" cm="1">
        <f t="array" ref="Q15">INDEX(DataAll!$AX$2:$AX$556,MATCH(LOWER(Data!A15),LOWER(DataAll!$AW$2:$AW$556),0))</f>
        <v>32.31</v>
      </c>
      <c r="R15" cm="1">
        <f t="array" ref="R15">INDEX('Longitude and Latitude'!$B$2:$B$579,MATCH(LOWER(Data!A15),LOWER('Longitude and Latitude'!$A$2:$A$579),0))</f>
        <v>3.955165</v>
      </c>
      <c r="S15" cm="1">
        <f t="array" ref="S15">INDEX('Longitude and Latitude'!$C$2:$C$579,MATCH(LOWER(Data!A15),LOWER('Longitude and Latitude'!$A$2:$A$579),0))</f>
        <v>97.351655800000003</v>
      </c>
      <c r="T15" t="b">
        <f>IF(EXACT(A15, UPPER(A15)), TRUE, FALSE)</f>
        <v>0</v>
      </c>
    </row>
    <row r="16" spans="1:20" x14ac:dyDescent="0.35">
      <c r="A16" t="s">
        <v>17</v>
      </c>
      <c r="B16">
        <v>82.38</v>
      </c>
      <c r="C16" cm="1">
        <f t="array" ref="C16">INDEX(DataAll!$E$2:$E$555,MATCH(LOWER(Data!A16),LOWER(DataAll!$D$2:$D$555),0))</f>
        <v>76.540000000000006</v>
      </c>
      <c r="D16" cm="1">
        <f t="array" ref="D16">INDEX(DataAll!$H$2:$H$579,MATCH(LOWER(Data!A16),LOWER(DataAll!$G$2:$G$555),0))</f>
        <v>0.48799999999999999</v>
      </c>
      <c r="E16" cm="1">
        <f t="array" ref="E16">INDEX(DataAll!$K$2:$K$579,MATCH(LOWER(Data!A16),LOWER(DataAll!$J$2:$J$555),0))</f>
        <v>36.67</v>
      </c>
      <c r="F16" cm="1">
        <f t="array" ref="F16">INDEX(DataAll!$N$2:$N$555,MATCH(LOWER(Data!A16),LOWER(DataAll!$M$2:$M$555),0))</f>
        <v>56.79</v>
      </c>
      <c r="G16" cm="1">
        <f t="array" ref="G16">INDEX(DataAll!$Q$2:$Q$555,MATCH(LOWER(Data!A16),LOWER(DataAll!$P$2:$P$555),0))</f>
        <v>12.05</v>
      </c>
      <c r="H16" cm="1">
        <f t="array" ref="H16">INDEX(DataAll!$T$2:$T$555,MATCH(LOWER(Data!A16),LOWER(DataAll!$S$2:$S$555),0))</f>
        <v>0.19600000000000001</v>
      </c>
      <c r="I16" cm="1">
        <f t="array" ref="I16">INDEX(DataAll!$W$2:$W$555,MATCH(LOWER(Data!A16),LOWER(DataAll!$V$2:$V$555),0))</f>
        <v>28.33</v>
      </c>
      <c r="J16" cm="1">
        <f t="array" ref="J16">INDEX(DataAll!$Z$2:$Z$555,MATCH(LOWER(Data!A16),LOWER(DataAll!$Y$2:$Y$555),0))</f>
        <v>2.38</v>
      </c>
      <c r="K16" cm="1">
        <f t="array" ref="K16">INDEX(DataAll!$AM$2:$AM$555,MATCH(LOWER(Data!A16),LOWER(DataAll!$AL$2:$AL$555),0))</f>
        <v>12.51</v>
      </c>
      <c r="L16" cm="1">
        <f t="array" ref="L16">INDEX(DataAll!$AJ$2:$AJ$555,MATCH(LOWER(Data!A16),LOWER(DataAll!$AI$2:$AI$555),0))</f>
        <v>20.86</v>
      </c>
      <c r="M16" cm="1">
        <f t="array" ref="M16">INDEX(DataAll!$AP$2:$AP$555,MATCH(LOWER(Data!A16),LOWER(DataAll!$AO$2:$AO$555),0))</f>
        <v>68.12</v>
      </c>
      <c r="N16" cm="1">
        <f t="array" ref="N16">INDEX(DataAll!$AQ$2:$AQ$555,MATCH(LOWER(Data!A16),LOWER(DataAll!$AO$2:$AO$555),0))</f>
        <v>72.06</v>
      </c>
      <c r="O16" cm="1">
        <f t="array" ref="O16">INDEX(DataAll!$AT$2:$AT$555,MATCH(LOWER(Data!A16),LOWER(DataAll!$AS$2:$AS$555),0))</f>
        <v>9.51</v>
      </c>
      <c r="P16" cm="1">
        <f t="array" ref="P16">INDEX(DataAll!$AU$2:$AU$555,MATCH(LOWER(Data!A16),LOWER(DataAll!$AS$2:$AS$555),0))</f>
        <v>9.01</v>
      </c>
      <c r="Q16" cm="1">
        <f t="array" ref="Q16">INDEX(DataAll!$AX$2:$AX$556,MATCH(LOWER(Data!A16),LOWER(DataAll!$AW$2:$AW$556),0))</f>
        <v>45.36</v>
      </c>
      <c r="R16" cm="1">
        <f t="array" ref="R16">INDEX('Longitude and Latitude'!$B$2:$B$579,MATCH(LOWER(Data!A16),LOWER('Longitude and Latitude'!$A$2:$A$579),0))</f>
        <v>4.2328871000000001</v>
      </c>
      <c r="S16" cm="1">
        <f t="array" ref="S16">INDEX('Longitude and Latitude'!$C$2:$C$579,MATCH(LOWER(Data!A16),LOWER('Longitude and Latitude'!$A$2:$A$579),0))</f>
        <v>98.002889199999998</v>
      </c>
      <c r="T16" t="b">
        <f>IF(EXACT(A16, UPPER(A16)), TRUE, FALSE)</f>
        <v>0</v>
      </c>
    </row>
    <row r="17" spans="1:20" x14ac:dyDescent="0.35">
      <c r="A17" t="s">
        <v>18</v>
      </c>
      <c r="B17">
        <v>91.02</v>
      </c>
      <c r="C17" cm="1">
        <f t="array" ref="C17">INDEX(DataAll!$E$2:$E$555,MATCH(LOWER(Data!A17),LOWER(DataAll!$D$2:$D$555),0))</f>
        <v>63.54</v>
      </c>
      <c r="D17" cm="1">
        <f t="array" ref="D17">INDEX(DataAll!$H$2:$H$579,MATCH(LOWER(Data!A17),LOWER(DataAll!$G$2:$G$555),0))</f>
        <v>0.48599999999999999</v>
      </c>
      <c r="E17" cm="1">
        <f t="array" ref="E17">INDEX(DataAll!$K$2:$K$579,MATCH(LOWER(Data!A17),LOWER(DataAll!$J$2:$J$555),0))</f>
        <v>16</v>
      </c>
      <c r="F17" cm="1">
        <f t="array" ref="F17">INDEX(DataAll!$N$2:$N$555,MATCH(LOWER(Data!A17),LOWER(DataAll!$M$2:$M$555),0))</f>
        <v>53.61</v>
      </c>
      <c r="G17" cm="1">
        <f t="array" ref="G17">INDEX(DataAll!$Q$2:$Q$555,MATCH(LOWER(Data!A17),LOWER(DataAll!$P$2:$P$555),0))</f>
        <v>3.43</v>
      </c>
      <c r="H17" cm="1">
        <f t="array" ref="H17">INDEX(DataAll!$T$2:$T$555,MATCH(LOWER(Data!A17),LOWER(DataAll!$S$2:$S$555),0))</f>
        <v>0.27900000000000003</v>
      </c>
      <c r="I17" cm="1">
        <f t="array" ref="I17">INDEX(DataAll!$W$2:$W$555,MATCH(LOWER(Data!A17),LOWER(DataAll!$V$2:$V$555),0))</f>
        <v>27.74</v>
      </c>
      <c r="J17" cm="1">
        <f t="array" ref="J17">INDEX(DataAll!$Z$2:$Z$555,MATCH(LOWER(Data!A17),LOWER(DataAll!$Y$2:$Y$555),0))</f>
        <v>2.34</v>
      </c>
      <c r="K17" cm="1">
        <f t="array" ref="K17">INDEX(DataAll!$AM$2:$AM$555,MATCH(LOWER(Data!A17),LOWER(DataAll!$AL$2:$AL$555),0))</f>
        <v>17.25</v>
      </c>
      <c r="L17" cm="1">
        <f t="array" ref="L17">INDEX(DataAll!$AJ$2:$AJ$555,MATCH(LOWER(Data!A17),LOWER(DataAll!$AI$2:$AI$555),0))</f>
        <v>25.02</v>
      </c>
      <c r="M17" cm="1">
        <f t="array" ref="M17">INDEX(DataAll!$AP$2:$AP$555,MATCH(LOWER(Data!A17),LOWER(DataAll!$AO$2:$AO$555),0))</f>
        <v>67.680000000000007</v>
      </c>
      <c r="N17" cm="1">
        <f t="array" ref="N17">INDEX(DataAll!$AQ$2:$AQ$555,MATCH(LOWER(Data!A17),LOWER(DataAll!$AO$2:$AO$555),0))</f>
        <v>71.63</v>
      </c>
      <c r="O17" cm="1">
        <f t="array" ref="O17">INDEX(DataAll!$AT$2:$AT$555,MATCH(LOWER(Data!A17),LOWER(DataAll!$AS$2:$AS$555),0))</f>
        <v>9.1999999999999993</v>
      </c>
      <c r="P17" cm="1">
        <f t="array" ref="P17">INDEX(DataAll!$AU$2:$AU$555,MATCH(LOWER(Data!A17),LOWER(DataAll!$AS$2:$AS$555),0))</f>
        <v>8.73</v>
      </c>
      <c r="Q17" cm="1">
        <f t="array" ref="Q17">INDEX(DataAll!$AX$2:$AX$556,MATCH(LOWER(Data!A17),LOWER(DataAll!$AW$2:$AW$556),0))</f>
        <v>37.11</v>
      </c>
      <c r="R17" cm="1">
        <f t="array" ref="R17">INDEX('Longitude and Latitude'!$B$2:$B$579,MATCH(LOWER(Data!A17),LOWER('Longitude and Latitude'!$A$2:$A$579),0))</f>
        <v>4.1248405999999997</v>
      </c>
      <c r="S17" cm="1">
        <f t="array" ref="S17">INDEX('Longitude and Latitude'!$C$2:$C$579,MATCH(LOWER(Data!A17),LOWER('Longitude and Latitude'!$A$2:$A$579),0))</f>
        <v>96.492979700000006</v>
      </c>
      <c r="T17" t="b">
        <f>IF(EXACT(A17, UPPER(A17)), TRUE, FALSE)</f>
        <v>0</v>
      </c>
    </row>
    <row r="18" spans="1:20" x14ac:dyDescent="0.35">
      <c r="A18" t="s">
        <v>19</v>
      </c>
      <c r="B18">
        <v>89.8</v>
      </c>
      <c r="C18" cm="1">
        <f t="array" ref="C18">INDEX(DataAll!$E$2:$E$555,MATCH(LOWER(Data!A18),LOWER(DataAll!$D$2:$D$555),0))</f>
        <v>58.35</v>
      </c>
      <c r="D18" cm="1">
        <f t="array" ref="D18">INDEX(DataAll!$H$2:$H$579,MATCH(LOWER(Data!A18),LOWER(DataAll!$G$2:$G$555),0))</f>
        <v>0.46400000000000002</v>
      </c>
      <c r="E18" cm="1">
        <f t="array" ref="E18">INDEX(DataAll!$K$2:$K$579,MATCH(LOWER(Data!A18),LOWER(DataAll!$J$2:$J$555),0))</f>
        <v>5</v>
      </c>
      <c r="F18" cm="1">
        <f t="array" ref="F18">INDEX(DataAll!$N$2:$N$555,MATCH(LOWER(Data!A18),LOWER(DataAll!$M$2:$M$555),0))</f>
        <v>57.08</v>
      </c>
      <c r="G18" cm="1">
        <f t="array" ref="G18">INDEX(DataAll!$Q$2:$Q$555,MATCH(LOWER(Data!A18),LOWER(DataAll!$P$2:$P$555),0))</f>
        <v>9.44</v>
      </c>
      <c r="H18" cm="1">
        <f t="array" ref="H18">INDEX(DataAll!$T$2:$T$555,MATCH(LOWER(Data!A18),LOWER(DataAll!$S$2:$S$555),0))</f>
        <v>0.308</v>
      </c>
      <c r="I18" cm="1">
        <f t="array" ref="I18">INDEX(DataAll!$W$2:$W$555,MATCH(LOWER(Data!A18),LOWER(DataAll!$V$2:$V$555),0))</f>
        <v>38.07</v>
      </c>
      <c r="J18" cm="1">
        <f t="array" ref="J18">INDEX(DataAll!$Z$2:$Z$555,MATCH(LOWER(Data!A18),LOWER(DataAll!$Y$2:$Y$555),0))</f>
        <v>2.77</v>
      </c>
      <c r="K18" cm="1">
        <f t="array" ref="K18">INDEX(DataAll!$AM$2:$AM$555,MATCH(LOWER(Data!A18),LOWER(DataAll!$AL$2:$AL$555),0))</f>
        <v>12.42</v>
      </c>
      <c r="L18" cm="1">
        <f t="array" ref="L18">INDEX(DataAll!$AJ$2:$AJ$555,MATCH(LOWER(Data!A18),LOWER(DataAll!$AI$2:$AI$555),0))</f>
        <v>32.99</v>
      </c>
      <c r="M18" cm="1">
        <f t="array" ref="M18">INDEX(DataAll!$AP$2:$AP$555,MATCH(LOWER(Data!A18),LOWER(DataAll!$AO$2:$AO$555),0))</f>
        <v>65.62</v>
      </c>
      <c r="N18" cm="1">
        <f t="array" ref="N18">INDEX(DataAll!$AQ$2:$AQ$555,MATCH(LOWER(Data!A18),LOWER(DataAll!$AO$2:$AO$555),0))</f>
        <v>69.59</v>
      </c>
      <c r="O18" cm="1">
        <f t="array" ref="O18">INDEX(DataAll!$AT$2:$AT$555,MATCH(LOWER(Data!A18),LOWER(DataAll!$AS$2:$AS$555),0))</f>
        <v>8.93</v>
      </c>
      <c r="P18" cm="1">
        <f t="array" ref="P18">INDEX(DataAll!$AU$2:$AU$555,MATCH(LOWER(Data!A18),LOWER(DataAll!$AS$2:$AS$555),0))</f>
        <v>8.6300000000000008</v>
      </c>
      <c r="Q18" cm="1">
        <f t="array" ref="Q18">INDEX(DataAll!$AX$2:$AX$556,MATCH(LOWER(Data!A18),LOWER(DataAll!$AW$2:$AW$556),0))</f>
        <v>34.770000000000003</v>
      </c>
      <c r="R18" cm="1">
        <f t="array" ref="R18">INDEX('Longitude and Latitude'!$B$2:$B$579,MATCH(LOWER(Data!A18),LOWER('Longitude and Latitude'!$A$2:$A$579),0))</f>
        <v>4.7873684000000001</v>
      </c>
      <c r="S18" cm="1">
        <f t="array" ref="S18">INDEX('Longitude and Latitude'!$C$2:$C$579,MATCH(LOWER(Data!A18),LOWER('Longitude and Latitude'!$A$2:$A$579),0))</f>
        <v>95.645795100000001</v>
      </c>
      <c r="T18" t="b">
        <f>IF(EXACT(A18, UPPER(A18)), TRUE, FALSE)</f>
        <v>0</v>
      </c>
    </row>
    <row r="19" spans="1:20" x14ac:dyDescent="0.35">
      <c r="A19" t="s">
        <v>20</v>
      </c>
      <c r="B19">
        <v>96.76</v>
      </c>
      <c r="C19" cm="1">
        <f t="array" ref="C19">INDEX(DataAll!$E$2:$E$555,MATCH(LOWER(Data!A19),LOWER(DataAll!$D$2:$D$555),0))</f>
        <v>52.68</v>
      </c>
      <c r="D19" cm="1">
        <f t="array" ref="D19">INDEX(DataAll!$H$2:$H$579,MATCH(LOWER(Data!A19),LOWER(DataAll!$G$2:$G$555),0))</f>
        <v>0.57299999999999995</v>
      </c>
      <c r="E19" cm="1">
        <f t="array" ref="E19">INDEX(DataAll!$K$2:$K$579,MATCH(LOWER(Data!A19),LOWER(DataAll!$J$2:$J$555),0))</f>
        <v>4</v>
      </c>
      <c r="F19" cm="1">
        <f t="array" ref="F19">INDEX(DataAll!$N$2:$N$555,MATCH(LOWER(Data!A19),LOWER(DataAll!$M$2:$M$555),0))</f>
        <v>57.41</v>
      </c>
      <c r="G19" cm="1">
        <f t="array" ref="G19">INDEX(DataAll!$Q$2:$Q$555,MATCH(LOWER(Data!A19),LOWER(DataAll!$P$2:$P$555),0))</f>
        <v>7.22</v>
      </c>
      <c r="H19" cm="1">
        <f t="array" ref="H19">INDEX(DataAll!$T$2:$T$555,MATCH(LOWER(Data!A19),LOWER(DataAll!$S$2:$S$555),0))</f>
        <v>0.21</v>
      </c>
      <c r="I19" cm="1">
        <f t="array" ref="I19">INDEX(DataAll!$W$2:$W$555,MATCH(LOWER(Data!A19),LOWER(DataAll!$V$2:$V$555),0))</f>
        <v>30</v>
      </c>
      <c r="J19" cm="1">
        <f t="array" ref="J19">INDEX(DataAll!$Z$2:$Z$555,MATCH(LOWER(Data!A19),LOWER(DataAll!$Y$2:$Y$555),0))</f>
        <v>2.58</v>
      </c>
      <c r="K19" cm="1">
        <f t="array" ref="K19">INDEX(DataAll!$AM$2:$AM$555,MATCH(LOWER(Data!A19),LOWER(DataAll!$AL$2:$AL$555),0))</f>
        <v>18.309999999999999</v>
      </c>
      <c r="L19" cm="1">
        <f t="array" ref="L19">INDEX(DataAll!$AJ$2:$AJ$555,MATCH(LOWER(Data!A19),LOWER(DataAll!$AI$2:$AI$555),0))</f>
        <v>26.14</v>
      </c>
      <c r="M19" cm="1">
        <f t="array" ref="M19">INDEX(DataAll!$AP$2:$AP$555,MATCH(LOWER(Data!A19),LOWER(DataAll!$AO$2:$AO$555),0))</f>
        <v>67.709999999999994</v>
      </c>
      <c r="N19" cm="1">
        <f t="array" ref="N19">INDEX(DataAll!$AQ$2:$AQ$555,MATCH(LOWER(Data!A19),LOWER(DataAll!$AO$2:$AO$555),0))</f>
        <v>71.66</v>
      </c>
      <c r="O19" cm="1">
        <f t="array" ref="O19">INDEX(DataAll!$AT$2:$AT$555,MATCH(LOWER(Data!A19),LOWER(DataAll!$AS$2:$AS$555),0))</f>
        <v>10.16</v>
      </c>
      <c r="P19" cm="1">
        <f t="array" ref="P19">INDEX(DataAll!$AU$2:$AU$555,MATCH(LOWER(Data!A19),LOWER(DataAll!$AS$2:$AS$555),0))</f>
        <v>10.039999999999999</v>
      </c>
      <c r="Q19" cm="1">
        <f t="array" ref="Q19">INDEX(DataAll!$AX$2:$AX$556,MATCH(LOWER(Data!A19),LOWER(DataAll!$AW$2:$AW$556),0))</f>
        <v>51.21</v>
      </c>
      <c r="R19" cm="1">
        <f t="array" ref="R19">INDEX('Longitude and Latitude'!$B$2:$B$579,MATCH(LOWER(Data!A19),LOWER('Longitude and Latitude'!$A$2:$A$579),0))</f>
        <v>4.7748347999999998</v>
      </c>
      <c r="S19" cm="1">
        <f t="array" ref="S19">INDEX('Longitude and Latitude'!$C$2:$C$579,MATCH(LOWER(Data!A19),LOWER('Longitude and Latitude'!$A$2:$A$579),0))</f>
        <v>97.006839299999996</v>
      </c>
      <c r="T19" t="b">
        <f>IF(EXACT(A19, UPPER(A19)), TRUE, FALSE)</f>
        <v>0</v>
      </c>
    </row>
    <row r="20" spans="1:20" x14ac:dyDescent="0.35">
      <c r="A20" t="s">
        <v>21</v>
      </c>
      <c r="B20">
        <v>95.27</v>
      </c>
      <c r="C20" cm="1">
        <f t="array" ref="C20">INDEX(DataAll!$E$2:$E$555,MATCH(LOWER(Data!A20),LOWER(DataAll!$D$2:$D$555),0))</f>
        <v>52.15</v>
      </c>
      <c r="D20" cm="1">
        <f t="array" ref="D20">INDEX(DataAll!$H$2:$H$579,MATCH(LOWER(Data!A20),LOWER(DataAll!$G$2:$G$555),0))</f>
        <v>0.78600000000000003</v>
      </c>
      <c r="E20" t="str" cm="1">
        <f t="array" ref="E20">INDEX(DataAll!$K$2:$K$579,MATCH(LOWER(Data!A20),LOWER(DataAll!$J$2:$J$555),0))</f>
        <v>-</v>
      </c>
      <c r="F20" cm="1">
        <f t="array" ref="F20">INDEX(DataAll!$N$2:$N$555,MATCH(LOWER(Data!A20),LOWER(DataAll!$M$2:$M$555),0))</f>
        <v>52.84</v>
      </c>
      <c r="G20" cm="1">
        <f t="array" ref="G20">INDEX(DataAll!$Q$2:$Q$555,MATCH(LOWER(Data!A20),LOWER(DataAll!$P$2:$P$555),0))</f>
        <v>9.4700000000000006</v>
      </c>
      <c r="H20" cm="1">
        <f t="array" ref="H20">INDEX(DataAll!$T$2:$T$555,MATCH(LOWER(Data!A20),LOWER(DataAll!$S$2:$S$555),0))</f>
        <v>0.16300000000000001</v>
      </c>
      <c r="I20" cm="1">
        <f t="array" ref="I20">INDEX(DataAll!$W$2:$W$555,MATCH(LOWER(Data!A20),LOWER(DataAll!$V$2:$V$555),0))</f>
        <v>35.01</v>
      </c>
      <c r="J20" cm="1">
        <f t="array" ref="J20">INDEX(DataAll!$Z$2:$Z$555,MATCH(LOWER(Data!A20),LOWER(DataAll!$Y$2:$Y$555),0))</f>
        <v>2.4900000000000002</v>
      </c>
      <c r="K20" cm="1">
        <f t="array" ref="K20">INDEX(DataAll!$AM$2:$AM$555,MATCH(LOWER(Data!A20),LOWER(DataAll!$AL$2:$AL$555),0))</f>
        <v>18.399999999999999</v>
      </c>
      <c r="L20" cm="1">
        <f t="array" ref="L20">INDEX(DataAll!$AJ$2:$AJ$555,MATCH(LOWER(Data!A20),LOWER(DataAll!$AI$2:$AI$555),0))</f>
        <v>23.19</v>
      </c>
      <c r="M20" cm="1">
        <f t="array" ref="M20">INDEX(DataAll!$AP$2:$AP$555,MATCH(LOWER(Data!A20),LOWER(DataAll!$AO$2:$AO$555),0))</f>
        <v>68.680000000000007</v>
      </c>
      <c r="N20" cm="1">
        <f t="array" ref="N20">INDEX(DataAll!$AQ$2:$AQ$555,MATCH(LOWER(Data!A20),LOWER(DataAll!$AO$2:$AO$555),0))</f>
        <v>72.61</v>
      </c>
      <c r="O20" cm="1">
        <f t="array" ref="O20">INDEX(DataAll!$AT$2:$AT$555,MATCH(LOWER(Data!A20),LOWER(DataAll!$AS$2:$AS$555),0))</f>
        <v>9.8000000000000007</v>
      </c>
      <c r="P20" cm="1">
        <f t="array" ref="P20">INDEX(DataAll!$AU$2:$AU$555,MATCH(LOWER(Data!A20),LOWER(DataAll!$AS$2:$AS$555),0))</f>
        <v>9.4700000000000006</v>
      </c>
      <c r="Q20" cm="1">
        <f t="array" ref="Q20">INDEX(DataAll!$AX$2:$AX$556,MATCH(LOWER(Data!A20),LOWER(DataAll!$AW$2:$AW$556),0))</f>
        <v>43.16</v>
      </c>
      <c r="R20" cm="1">
        <f t="array" ref="R20">INDEX('Longitude and Latitude'!$B$2:$B$579,MATCH(LOWER(Data!A20),LOWER('Longitude and Latitude'!$A$2:$A$579),0))</f>
        <v>5.1548062999999997</v>
      </c>
      <c r="S20" cm="1">
        <f t="array" ref="S20">INDEX('Longitude and Latitude'!$C$2:$C$579,MATCH(LOWER(Data!A20),LOWER('Longitude and Latitude'!$A$2:$A$579),0))</f>
        <v>96.195132000000001</v>
      </c>
      <c r="T20" t="b">
        <f>IF(EXACT(A20, UPPER(A20)), TRUE, FALSE)</f>
        <v>0</v>
      </c>
    </row>
    <row r="21" spans="1:20" x14ac:dyDescent="0.35">
      <c r="A21" t="s">
        <v>22</v>
      </c>
      <c r="B21">
        <v>96.19</v>
      </c>
      <c r="C21" cm="1">
        <f t="array" ref="C21">INDEX(DataAll!$E$2:$E$555,MATCH(LOWER(Data!A21),LOWER(DataAll!$D$2:$D$555),0))</f>
        <v>62.42</v>
      </c>
      <c r="D21" cm="1">
        <f t="array" ref="D21">INDEX(DataAll!$H$2:$H$579,MATCH(LOWER(Data!A21),LOWER(DataAll!$G$2:$G$555),0))</f>
        <v>0.33500000000000002</v>
      </c>
      <c r="E21" cm="1">
        <f t="array" ref="E21">INDEX(DataAll!$K$2:$K$579,MATCH(LOWER(Data!A21),LOWER(DataAll!$J$2:$J$555),0))</f>
        <v>13.33</v>
      </c>
      <c r="F21" cm="1">
        <f t="array" ref="F21">INDEX(DataAll!$N$2:$N$555,MATCH(LOWER(Data!A21),LOWER(DataAll!$M$2:$M$555),0))</f>
        <v>50.42</v>
      </c>
      <c r="G21" cm="1">
        <f t="array" ref="G21">INDEX(DataAll!$Q$2:$Q$555,MATCH(LOWER(Data!A21),LOWER(DataAll!$P$2:$P$555),0))</f>
        <v>5.47</v>
      </c>
      <c r="H21" cm="1">
        <f t="array" ref="H21">INDEX(DataAll!$T$2:$T$555,MATCH(LOWER(Data!A21),LOWER(DataAll!$S$2:$S$555),0))</f>
        <v>8.2000000000000003E-2</v>
      </c>
      <c r="I21" cm="1">
        <f t="array" ref="I21">INDEX(DataAll!$W$2:$W$555,MATCH(LOWER(Data!A21),LOWER(DataAll!$V$2:$V$555),0))</f>
        <v>28.26</v>
      </c>
      <c r="J21" cm="1">
        <f t="array" ref="J21">INDEX(DataAll!$Z$2:$Z$555,MATCH(LOWER(Data!A21),LOWER(DataAll!$Y$2:$Y$555),0))</f>
        <v>2.04</v>
      </c>
      <c r="K21" cm="1">
        <f t="array" ref="K21">INDEX(DataAll!$AM$2:$AM$555,MATCH(LOWER(Data!A21),LOWER(DataAll!$AL$2:$AL$555),0))</f>
        <v>7.04</v>
      </c>
      <c r="L21" cm="1">
        <f t="array" ref="L21">INDEX(DataAll!$AJ$2:$AJ$555,MATCH(LOWER(Data!A21),LOWER(DataAll!$AI$2:$AI$555),0))</f>
        <v>14.36</v>
      </c>
      <c r="M21" cm="1">
        <f t="array" ref="M21">INDEX(DataAll!$AP$2:$AP$555,MATCH(LOWER(Data!A21),LOWER(DataAll!$AO$2:$AO$555),0))</f>
        <v>70.069999999999993</v>
      </c>
      <c r="N21" cm="1">
        <f t="array" ref="N21">INDEX(DataAll!$AQ$2:$AQ$555,MATCH(LOWER(Data!A21),LOWER(DataAll!$AO$2:$AO$555),0))</f>
        <v>74.069999999999993</v>
      </c>
      <c r="O21" cm="1">
        <f t="array" ref="O21">INDEX(DataAll!$AT$2:$AT$555,MATCH(LOWER(Data!A21),LOWER(DataAll!$AS$2:$AS$555),0))</f>
        <v>13.14</v>
      </c>
      <c r="P21" cm="1">
        <f t="array" ref="P21">INDEX(DataAll!$AU$2:$AU$555,MATCH(LOWER(Data!A21),LOWER(DataAll!$AS$2:$AS$555),0))</f>
        <v>12.87</v>
      </c>
      <c r="Q21" cm="1">
        <f t="array" ref="Q21">INDEX(DataAll!$AX$2:$AX$556,MATCH(LOWER(Data!A21),LOWER(DataAll!$AW$2:$AW$556),0))</f>
        <v>75.67</v>
      </c>
      <c r="R21" cm="1">
        <f t="array" ref="R21">INDEX('Longitude and Latitude'!$B$2:$B$579,MATCH(LOWER(Data!A21),LOWER('Longitude and Latitude'!$A$2:$A$579),0))</f>
        <v>5.55</v>
      </c>
      <c r="S21" cm="1">
        <f t="array" ref="S21">INDEX('Longitude and Latitude'!$C$2:$C$579,MATCH(LOWER(Data!A21),LOWER('Longitude and Latitude'!$A$2:$A$579),0))</f>
        <v>95.316666699999999</v>
      </c>
      <c r="T21" t="b">
        <f>IF(EXACT(A21, UPPER(A21)), TRUE, FALSE)</f>
        <v>0</v>
      </c>
    </row>
    <row r="22" spans="1:20" x14ac:dyDescent="0.35">
      <c r="A22" t="s">
        <v>23</v>
      </c>
      <c r="B22">
        <v>95.64</v>
      </c>
      <c r="C22" cm="1">
        <f t="array" ref="C22">INDEX(DataAll!$E$2:$E$555,MATCH(LOWER(Data!A22),LOWER(DataAll!$D$2:$D$555),0))</f>
        <v>75.430000000000007</v>
      </c>
      <c r="D22" cm="1">
        <f t="array" ref="D22">INDEX(DataAll!$H$2:$H$579,MATCH(LOWER(Data!A22),LOWER(DataAll!$G$2:$G$555),0))</f>
        <v>0.32600000000000001</v>
      </c>
      <c r="E22" cm="1">
        <f t="array" ref="E22">INDEX(DataAll!$K$2:$K$579,MATCH(LOWER(Data!A22),LOWER(DataAll!$J$2:$J$555),0))</f>
        <v>25</v>
      </c>
      <c r="F22" cm="1">
        <f t="array" ref="F22">INDEX(DataAll!$N$2:$N$555,MATCH(LOWER(Data!A22),LOWER(DataAll!$M$2:$M$555),0))</f>
        <v>54.3</v>
      </c>
      <c r="G22" cm="1">
        <f t="array" ref="G22">INDEX(DataAll!$Q$2:$Q$555,MATCH(LOWER(Data!A22),LOWER(DataAll!$P$2:$P$555),0))</f>
        <v>9.01</v>
      </c>
      <c r="H22" cm="1">
        <f t="array" ref="H22">INDEX(DataAll!$T$2:$T$555,MATCH(LOWER(Data!A22),LOWER(DataAll!$S$2:$S$555),0))</f>
        <v>0.14699999999999999</v>
      </c>
      <c r="I22" cm="1">
        <f t="array" ref="I22">INDEX(DataAll!$W$2:$W$555,MATCH(LOWER(Data!A22),LOWER(DataAll!$V$2:$V$555),0))</f>
        <v>33</v>
      </c>
      <c r="J22" cm="1">
        <f t="array" ref="J22">INDEX(DataAll!$Z$2:$Z$555,MATCH(LOWER(Data!A22),LOWER(DataAll!$Y$2:$Y$555),0))</f>
        <v>2.4300000000000002</v>
      </c>
      <c r="K22" cm="1">
        <f t="array" ref="K22">INDEX(DataAll!$AM$2:$AM$555,MATCH(LOWER(Data!A22),LOWER(DataAll!$AL$2:$AL$555),0))</f>
        <v>14.59</v>
      </c>
      <c r="L22" cm="1">
        <f t="array" ref="L22">INDEX(DataAll!$AJ$2:$AJ$555,MATCH(LOWER(Data!A22),LOWER(DataAll!$AI$2:$AI$555),0))</f>
        <v>21.87</v>
      </c>
      <c r="M22" cm="1">
        <f t="array" ref="M22">INDEX(DataAll!$AP$2:$AP$555,MATCH(LOWER(Data!A22),LOWER(DataAll!$AO$2:$AO$555),0))</f>
        <v>69.05</v>
      </c>
      <c r="N22" cm="1">
        <f t="array" ref="N22">INDEX(DataAll!$AQ$2:$AQ$555,MATCH(LOWER(Data!A22),LOWER(DataAll!$AO$2:$AO$555),0))</f>
        <v>73</v>
      </c>
      <c r="O22" cm="1">
        <f t="array" ref="O22">INDEX(DataAll!$AT$2:$AT$555,MATCH(LOWER(Data!A22),LOWER(DataAll!$AS$2:$AS$555),0))</f>
        <v>11.32</v>
      </c>
      <c r="P22" cm="1">
        <f t="array" ref="P22">INDEX(DataAll!$AU$2:$AU$555,MATCH(LOWER(Data!A22),LOWER(DataAll!$AS$2:$AS$555),0))</f>
        <v>11.05</v>
      </c>
      <c r="Q22" cm="1">
        <f t="array" ref="Q22">INDEX(DataAll!$AX$2:$AX$556,MATCH(LOWER(Data!A22),LOWER(DataAll!$AW$2:$AW$556),0))</f>
        <v>58.93</v>
      </c>
      <c r="R22" cm="1">
        <f t="array" ref="R22">INDEX('Longitude and Latitude'!$B$2:$B$579,MATCH(LOWER(Data!A22),LOWER('Longitude and Latitude'!$A$2:$A$579),0))</f>
        <v>5.8946928999999999</v>
      </c>
      <c r="S22" cm="1">
        <f t="array" ref="S22">INDEX('Longitude and Latitude'!$C$2:$C$579,MATCH(LOWER(Data!A22),LOWER('Longitude and Latitude'!$A$2:$A$579),0))</f>
        <v>95.319298200000006</v>
      </c>
      <c r="T22" t="b">
        <f>IF(EXACT(A22, UPPER(A22)), TRUE, FALSE)</f>
        <v>0</v>
      </c>
    </row>
    <row r="23" spans="1:20" x14ac:dyDescent="0.35">
      <c r="A23" t="s">
        <v>24</v>
      </c>
      <c r="B23">
        <v>95.77</v>
      </c>
      <c r="C23" cm="1">
        <f t="array" ref="C23">INDEX(DataAll!$E$2:$E$555,MATCH(LOWER(Data!A23),LOWER(DataAll!$D$2:$D$555),0))</f>
        <v>65.540000000000006</v>
      </c>
      <c r="D23" cm="1">
        <f t="array" ref="D23">INDEX(DataAll!$H$2:$H$579,MATCH(LOWER(Data!A23),LOWER(DataAll!$G$2:$G$555),0))</f>
        <v>0.46700000000000003</v>
      </c>
      <c r="E23" cm="1">
        <f t="array" ref="E23">INDEX(DataAll!$K$2:$K$579,MATCH(LOWER(Data!A23),LOWER(DataAll!$J$2:$J$555),0))</f>
        <v>20</v>
      </c>
      <c r="F23" cm="1">
        <f t="array" ref="F23">INDEX(DataAll!$N$2:$N$555,MATCH(LOWER(Data!A23),LOWER(DataAll!$M$2:$M$555),0))</f>
        <v>49.34</v>
      </c>
      <c r="G23" cm="1">
        <f t="array" ref="G23">INDEX(DataAll!$Q$2:$Q$555,MATCH(LOWER(Data!A23),LOWER(DataAll!$P$2:$P$555),0))</f>
        <v>9.89</v>
      </c>
      <c r="H23" cm="1">
        <f t="array" ref="H23">INDEX(DataAll!$T$2:$T$555,MATCH(LOWER(Data!A23),LOWER(DataAll!$S$2:$S$555),0))</f>
        <v>9.9000000000000005E-2</v>
      </c>
      <c r="I23" cm="1">
        <f t="array" ref="I23">INDEX(DataAll!$W$2:$W$555,MATCH(LOWER(Data!A23),LOWER(DataAll!$V$2:$V$555),0))</f>
        <v>27.47</v>
      </c>
      <c r="J23" cm="1">
        <f t="array" ref="J23">INDEX(DataAll!$Z$2:$Z$555,MATCH(LOWER(Data!A23),LOWER(DataAll!$Y$2:$Y$555),0))</f>
        <v>2.23</v>
      </c>
      <c r="K23" cm="1">
        <f t="array" ref="K23">INDEX(DataAll!$AM$2:$AM$555,MATCH(LOWER(Data!A23),LOWER(DataAll!$AL$2:$AL$555),0))</f>
        <v>10.53</v>
      </c>
      <c r="L23" cm="1">
        <f t="array" ref="L23">INDEX(DataAll!$AJ$2:$AJ$555,MATCH(LOWER(Data!A23),LOWER(DataAll!$AI$2:$AI$555),0))</f>
        <v>18.309999999999999</v>
      </c>
      <c r="M23" cm="1">
        <f t="array" ref="M23">INDEX(DataAll!$AP$2:$AP$555,MATCH(LOWER(Data!A23),LOWER(DataAll!$AO$2:$AO$555),0))</f>
        <v>67.849999999999994</v>
      </c>
      <c r="N23" cm="1">
        <f t="array" ref="N23">INDEX(DataAll!$AQ$2:$AQ$555,MATCH(LOWER(Data!A23),LOWER(DataAll!$AO$2:$AO$555),0))</f>
        <v>71.8</v>
      </c>
      <c r="O23" cm="1">
        <f t="array" ref="O23">INDEX(DataAll!$AT$2:$AT$555,MATCH(LOWER(Data!A23),LOWER(DataAll!$AS$2:$AS$555),0))</f>
        <v>11.54</v>
      </c>
      <c r="P23" cm="1">
        <f t="array" ref="P23">INDEX(DataAll!$AU$2:$AU$555,MATCH(LOWER(Data!A23),LOWER(DataAll!$AS$2:$AS$555),0))</f>
        <v>11.01</v>
      </c>
      <c r="Q23" cm="1">
        <f t="array" ref="Q23">INDEX(DataAll!$AX$2:$AX$556,MATCH(LOWER(Data!A23),LOWER(DataAll!$AW$2:$AW$556),0))</f>
        <v>64.14</v>
      </c>
      <c r="R23" cm="1">
        <f t="array" ref="R23">INDEX('Longitude and Latitude'!$B$2:$B$579,MATCH(LOWER(Data!A23),LOWER('Longitude and Latitude'!$A$2:$A$579),0))</f>
        <v>4.4800000000000004</v>
      </c>
      <c r="S23" cm="1">
        <f t="array" ref="S23">INDEX('Longitude and Latitude'!$C$2:$C$579,MATCH(LOWER(Data!A23),LOWER('Longitude and Latitude'!$A$2:$A$579),0))</f>
        <v>97.963333300000002</v>
      </c>
      <c r="T23" t="b">
        <f>IF(EXACT(A23, UPPER(A23)), TRUE, FALSE)</f>
        <v>0</v>
      </c>
    </row>
    <row r="24" spans="1:20" x14ac:dyDescent="0.35">
      <c r="A24" t="s">
        <v>25</v>
      </c>
      <c r="B24">
        <v>95.73</v>
      </c>
      <c r="C24" cm="1">
        <f t="array" ref="C24">INDEX(DataAll!$E$2:$E$555,MATCH(LOWER(Data!A24),LOWER(DataAll!$D$2:$D$555),0))</f>
        <v>65.7</v>
      </c>
      <c r="D24" cm="1">
        <f t="array" ref="D24">INDEX(DataAll!$H$2:$H$579,MATCH(LOWER(Data!A24),LOWER(DataAll!$G$2:$G$555),0))</f>
        <v>0.30299999999999999</v>
      </c>
      <c r="E24" cm="1">
        <f t="array" ref="E24">INDEX(DataAll!$K$2:$K$579,MATCH(LOWER(Data!A24),LOWER(DataAll!$J$2:$J$555),0))</f>
        <v>24</v>
      </c>
      <c r="F24" cm="1">
        <f t="array" ref="F24">INDEX(DataAll!$N$2:$N$555,MATCH(LOWER(Data!A24),LOWER(DataAll!$M$2:$M$555),0))</f>
        <v>57.04</v>
      </c>
      <c r="G24" cm="1">
        <f t="array" ref="G24">INDEX(DataAll!$Q$2:$Q$555,MATCH(LOWER(Data!A24),LOWER(DataAll!$P$2:$P$555),0))</f>
        <v>6.09</v>
      </c>
      <c r="H24" cm="1">
        <f t="array" ref="H24">INDEX(DataAll!$T$2:$T$555,MATCH(LOWER(Data!A24),LOWER(DataAll!$S$2:$S$555),0))</f>
        <v>0.17399999999999999</v>
      </c>
      <c r="I24" cm="1">
        <f t="array" ref="I24">INDEX(DataAll!$W$2:$W$555,MATCH(LOWER(Data!A24),LOWER(DataAll!$V$2:$V$555),0))</f>
        <v>23.68</v>
      </c>
      <c r="J24" cm="1">
        <f t="array" ref="J24">INDEX(DataAll!$Z$2:$Z$555,MATCH(LOWER(Data!A24),LOWER(DataAll!$Y$2:$Y$555),0))</f>
        <v>2.39</v>
      </c>
      <c r="K24" cm="1">
        <f t="array" ref="K24">INDEX(DataAll!$AM$2:$AM$555,MATCH(LOWER(Data!A24),LOWER(DataAll!$AL$2:$AL$555),0))</f>
        <v>10.73</v>
      </c>
      <c r="L24" cm="1">
        <f t="array" ref="L24">INDEX(DataAll!$AJ$2:$AJ$555,MATCH(LOWER(Data!A24),LOWER(DataAll!$AI$2:$AI$555),0))</f>
        <v>15.06</v>
      </c>
      <c r="M24" cm="1">
        <f t="array" ref="M24">INDEX(DataAll!$AP$2:$AP$555,MATCH(LOWER(Data!A24),LOWER(DataAll!$AO$2:$AO$555),0))</f>
        <v>70.11</v>
      </c>
      <c r="N24" cm="1">
        <f t="array" ref="N24">INDEX(DataAll!$AQ$2:$AQ$555,MATCH(LOWER(Data!A24),LOWER(DataAll!$AO$2:$AO$555),0))</f>
        <v>74.11</v>
      </c>
      <c r="O24" cm="1">
        <f t="array" ref="O24">INDEX(DataAll!$AT$2:$AT$555,MATCH(LOWER(Data!A24),LOWER(DataAll!$AS$2:$AS$555),0))</f>
        <v>11.46</v>
      </c>
      <c r="P24" cm="1">
        <f t="array" ref="P24">INDEX(DataAll!$AU$2:$AU$555,MATCH(LOWER(Data!A24),LOWER(DataAll!$AS$2:$AS$555),0))</f>
        <v>11.19</v>
      </c>
      <c r="Q24" cm="1">
        <f t="array" ref="Q24">INDEX(DataAll!$AX$2:$AX$556,MATCH(LOWER(Data!A24),LOWER(DataAll!$AW$2:$AW$556),0))</f>
        <v>61.25</v>
      </c>
      <c r="R24" cm="1">
        <f t="array" ref="R24">INDEX('Longitude and Latitude'!$B$2:$B$579,MATCH(LOWER(Data!A24),LOWER('Longitude and Latitude'!$A$2:$A$579),0))</f>
        <v>5.1880556000000002</v>
      </c>
      <c r="S24" cm="1">
        <f t="array" ref="S24">INDEX('Longitude and Latitude'!$C$2:$C$579,MATCH(LOWER(Data!A24),LOWER('Longitude and Latitude'!$A$2:$A$579),0))</f>
        <v>97.140277800000007</v>
      </c>
      <c r="T24" t="b">
        <f>IF(EXACT(A24, UPPER(A24)), TRUE, FALSE)</f>
        <v>0</v>
      </c>
    </row>
    <row r="25" spans="1:20" x14ac:dyDescent="0.35">
      <c r="A25" t="s">
        <v>26</v>
      </c>
      <c r="B25">
        <v>85.36</v>
      </c>
      <c r="C25" cm="1">
        <f t="array" ref="C25">INDEX(DataAll!$E$2:$E$555,MATCH(LOWER(Data!A25),LOWER(DataAll!$D$2:$D$555),0))</f>
        <v>67.84</v>
      </c>
      <c r="D25" cm="1">
        <f t="array" ref="D25">INDEX(DataAll!$H$2:$H$579,MATCH(LOWER(Data!A25),LOWER(DataAll!$G$2:$G$555),0))</f>
        <v>0.58299999999999996</v>
      </c>
      <c r="E25" cm="1">
        <f t="array" ref="E25">INDEX(DataAll!$K$2:$K$579,MATCH(LOWER(Data!A25),LOWER(DataAll!$J$2:$J$555),0))</f>
        <v>15</v>
      </c>
      <c r="F25" cm="1">
        <f t="array" ref="F25">INDEX(DataAll!$N$2:$N$555,MATCH(LOWER(Data!A25),LOWER(DataAll!$M$2:$M$555),0))</f>
        <v>61.47</v>
      </c>
      <c r="G25" cm="1">
        <f t="array" ref="G25">INDEX(DataAll!$Q$2:$Q$555,MATCH(LOWER(Data!A25),LOWER(DataAll!$P$2:$P$555),0))</f>
        <v>7.3</v>
      </c>
      <c r="H25" cm="1">
        <f t="array" ref="H25">INDEX(DataAll!$T$2:$T$555,MATCH(LOWER(Data!A25),LOWER(DataAll!$S$2:$S$555),0))</f>
        <v>0.32200000000000001</v>
      </c>
      <c r="I25" cm="1">
        <f t="array" ref="I25">INDEX(DataAll!$W$2:$W$555,MATCH(LOWER(Data!A25),LOWER(DataAll!$V$2:$V$555),0))</f>
        <v>36.28</v>
      </c>
      <c r="J25" cm="1">
        <f t="array" ref="J25">INDEX(DataAll!$Z$2:$Z$555,MATCH(LOWER(Data!A25),LOWER(DataAll!$Y$2:$Y$555),0))</f>
        <v>3.13</v>
      </c>
      <c r="K25" cm="1">
        <f t="array" ref="K25">INDEX(DataAll!$AM$2:$AM$555,MATCH(LOWER(Data!A25),LOWER(DataAll!$AL$2:$AL$555),0))</f>
        <v>16.41</v>
      </c>
      <c r="L25" cm="1">
        <f t="array" ref="L25">INDEX(DataAll!$AJ$2:$AJ$555,MATCH(LOWER(Data!A25),LOWER(DataAll!$AI$2:$AI$555),0))</f>
        <v>38.869999999999997</v>
      </c>
      <c r="M25" cm="1">
        <f t="array" ref="M25">INDEX(DataAll!$AP$2:$AP$555,MATCH(LOWER(Data!A25),LOWER(DataAll!$AO$2:$AO$555),0))</f>
        <v>62.54</v>
      </c>
      <c r="N25" cm="1">
        <f t="array" ref="N25">INDEX(DataAll!$AQ$2:$AQ$555,MATCH(LOWER(Data!A25),LOWER(DataAll!$AO$2:$AO$555),0))</f>
        <v>66.37</v>
      </c>
      <c r="O25" cm="1">
        <f t="array" ref="O25">INDEX(DataAll!$AT$2:$AT$555,MATCH(LOWER(Data!A25),LOWER(DataAll!$AS$2:$AS$555),0))</f>
        <v>8.8800000000000008</v>
      </c>
      <c r="P25" cm="1">
        <f t="array" ref="P25">INDEX(DataAll!$AU$2:$AU$555,MATCH(LOWER(Data!A25),LOWER(DataAll!$AS$2:$AS$555),0))</f>
        <v>7.94</v>
      </c>
      <c r="Q25" cm="1">
        <f t="array" ref="Q25">INDEX(DataAll!$AX$2:$AX$556,MATCH(LOWER(Data!A25),LOWER(DataAll!$AW$2:$AW$556),0))</f>
        <v>34.020000000000003</v>
      </c>
      <c r="R25" cm="1">
        <f t="array" ref="R25">INDEX('Longitude and Latitude'!$B$2:$B$579,MATCH(LOWER(Data!A25),LOWER('Longitude and Latitude'!$A$2:$A$579),0))</f>
        <v>2.6449927</v>
      </c>
      <c r="S25" cm="1">
        <f t="array" ref="S25">INDEX('Longitude and Latitude'!$C$2:$C$579,MATCH(LOWER(Data!A25),LOWER('Longitude and Latitude'!$A$2:$A$579),0))</f>
        <v>98.016520499999999</v>
      </c>
      <c r="T25" t="b">
        <f>IF(EXACT(A25, UPPER(A25)), TRUE, FALSE)</f>
        <v>0</v>
      </c>
    </row>
    <row r="26" spans="1:20" x14ac:dyDescent="0.35">
      <c r="A26" t="s">
        <v>27</v>
      </c>
      <c r="B26">
        <v>91.31</v>
      </c>
      <c r="C26" cm="1">
        <f t="array" ref="C26">INDEX(DataAll!$E$2:$E$555,MATCH(LOWER(Data!A26),LOWER(DataAll!$D$2:$D$555),0))</f>
        <v>69.180000000000007</v>
      </c>
      <c r="D26" cm="1">
        <f t="array" ref="D26">INDEX(DataAll!$H$2:$H$579,MATCH(LOWER(Data!A26),LOWER(DataAll!$G$2:$G$555),0))</f>
        <v>0.42499999999999999</v>
      </c>
      <c r="E26" cm="1">
        <f t="array" ref="E26">INDEX(DataAll!$K$2:$K$579,MATCH(LOWER(Data!A26),LOWER(DataAll!$J$2:$J$555),0))</f>
        <v>14</v>
      </c>
      <c r="F26" cm="1">
        <f t="array" ref="F26">INDEX(DataAll!$N$2:$N$555,MATCH(LOWER(Data!A26),LOWER(DataAll!$M$2:$M$555),0))</f>
        <v>53.95</v>
      </c>
      <c r="G26" t="e" cm="1">
        <f t="array" ref="G26">INDEX(DataAll!$Q$2:$Q$555,MATCH(LOWER(Data!A26),LOWER(DataAll!$P$2:$P$555),0))</f>
        <v>#N/A</v>
      </c>
      <c r="H26" cm="1">
        <f t="array" ref="H26">INDEX(DataAll!$T$2:$T$555,MATCH(LOWER(Data!A26),LOWER(DataAll!$S$2:$S$555),0))</f>
        <v>0.151</v>
      </c>
      <c r="I26" cm="1">
        <f t="array" ref="I26">INDEX(DataAll!$W$2:$W$555,MATCH(LOWER(Data!A26),LOWER(DataAll!$V$2:$V$555),0))</f>
        <v>36.21</v>
      </c>
      <c r="J26" cm="1">
        <f t="array" ref="J26">INDEX(DataAll!$Z$2:$Z$555,MATCH(LOWER(Data!A26),LOWER(DataAll!$Y$2:$Y$555),0))</f>
        <v>2.48</v>
      </c>
      <c r="K26" cm="1">
        <f t="array" ref="K26">INDEX(DataAll!$AM$2:$AM$555,MATCH(LOWER(Data!A26),LOWER(DataAll!$AL$2:$AL$555),0))</f>
        <v>8.15</v>
      </c>
      <c r="L26" cm="1">
        <f t="array" ref="L26">INDEX(DataAll!$AJ$2:$AJ$555,MATCH(LOWER(Data!A26),LOWER(DataAll!$AI$2:$AI$555),0))</f>
        <v>21.37</v>
      </c>
      <c r="M26" cm="1">
        <f t="array" ref="M26">INDEX(DataAll!$AP$2:$AP$555,MATCH(LOWER(Data!A26),LOWER(DataAll!$AO$2:$AO$555),0))</f>
        <v>68.06</v>
      </c>
      <c r="N26" cm="1">
        <f t="array" ref="N26">INDEX(DataAll!$AQ$2:$AQ$555,MATCH(LOWER(Data!A26),LOWER(DataAll!$AO$2:$AO$555),0))</f>
        <v>72</v>
      </c>
      <c r="O26" cm="1">
        <f t="array" ref="O26">INDEX(DataAll!$AT$2:$AT$555,MATCH(LOWER(Data!A26),LOWER(DataAll!$AS$2:$AS$555),0))</f>
        <v>10.02</v>
      </c>
      <c r="P26" cm="1">
        <f t="array" ref="P26">INDEX(DataAll!$AU$2:$AU$555,MATCH(LOWER(Data!A26),LOWER(DataAll!$AS$2:$AS$555),0))</f>
        <v>9.6300000000000008</v>
      </c>
      <c r="Q26" cm="1">
        <f t="array" ref="Q26">INDEX(DataAll!$AX$2:$AX$556,MATCH(LOWER(Data!A26),LOWER(DataAll!$AW$2:$AW$556),0))</f>
        <v>51.68</v>
      </c>
      <c r="R26" cm="1">
        <f t="array" ref="R26">INDEX('Longitude and Latitude'!$B$2:$B$579,MATCH(LOWER(Data!A26),LOWER('Longitude and Latitude'!$A$2:$A$579),0))</f>
        <v>2.1153547000000001</v>
      </c>
      <c r="S26" cm="1">
        <f t="array" ref="S26">INDEX('Longitude and Latitude'!$C$2:$C$579,MATCH(LOWER(Data!A26),LOWER('Longitude and Latitude'!$A$2:$A$579),0))</f>
        <v>99.545097400000003</v>
      </c>
      <c r="T26" t="b">
        <f>IF(EXACT(A26, UPPER(A26)), TRUE, FALSE)</f>
        <v>1</v>
      </c>
    </row>
    <row r="27" spans="1:20" x14ac:dyDescent="0.35">
      <c r="A27" t="s">
        <v>28</v>
      </c>
      <c r="B27">
        <v>91.05</v>
      </c>
      <c r="C27" cm="1">
        <f t="array" ref="C27">INDEX(DataAll!$E$2:$E$555,MATCH(LOWER(Data!A27),LOWER(DataAll!$D$2:$D$555),0))</f>
        <v>61.45</v>
      </c>
      <c r="D27" cm="1">
        <f t="array" ref="D27">INDEX(DataAll!$H$2:$H$579,MATCH(LOWER(Data!A27),LOWER(DataAll!$G$2:$G$555),0))</f>
        <v>0.56299999999999994</v>
      </c>
      <c r="E27" cm="1">
        <f t="array" ref="E27">INDEX(DataAll!$K$2:$K$579,MATCH(LOWER(Data!A27),LOWER(DataAll!$J$2:$J$555),0))</f>
        <v>8</v>
      </c>
      <c r="F27" cm="1">
        <f t="array" ref="F27">INDEX(DataAll!$N$2:$N$555,MATCH(LOWER(Data!A27),LOWER(DataAll!$M$2:$M$555),0))</f>
        <v>35.47</v>
      </c>
      <c r="G27" cm="1">
        <f t="array" ref="G27">INDEX(DataAll!$Q$2:$Q$555,MATCH(LOWER(Data!A27),LOWER(DataAll!$P$2:$P$555),0))</f>
        <v>8.14</v>
      </c>
      <c r="H27" cm="1">
        <f t="array" ref="H27">INDEX(DataAll!$T$2:$T$555,MATCH(LOWER(Data!A27),LOWER(DataAll!$S$2:$S$555),0))</f>
        <v>0.23300000000000001</v>
      </c>
      <c r="I27" cm="1">
        <f t="array" ref="I27">INDEX(DataAll!$W$2:$W$555,MATCH(LOWER(Data!A27),LOWER(DataAll!$V$2:$V$555),0))</f>
        <v>50.32</v>
      </c>
      <c r="J27" cm="1">
        <f t="array" ref="J27">INDEX(DataAll!$Z$2:$Z$555,MATCH(LOWER(Data!A27),LOWER(DataAll!$Y$2:$Y$555),0))</f>
        <v>3.18</v>
      </c>
      <c r="K27" cm="1">
        <f t="array" ref="K27">INDEX(DataAll!$AM$2:$AM$555,MATCH(LOWER(Data!A27),LOWER(DataAll!$AL$2:$AL$555),0))</f>
        <v>15.1</v>
      </c>
      <c r="L27" cm="1">
        <f t="array" ref="L27">INDEX(DataAll!$AJ$2:$AJ$555,MATCH(LOWER(Data!A27),LOWER(DataAll!$AI$2:$AI$555),0))</f>
        <v>28.95</v>
      </c>
      <c r="M27" cm="1">
        <f t="array" ref="M27">INDEX(DataAll!$AP$2:$AP$555,MATCH(LOWER(Data!A27),LOWER(DataAll!$AO$2:$AO$555),0))</f>
        <v>68.42</v>
      </c>
      <c r="N27" cm="1">
        <f t="array" ref="N27">INDEX(DataAll!$AQ$2:$AQ$555,MATCH(LOWER(Data!A27),LOWER(DataAll!$AO$2:$AO$555),0))</f>
        <v>72.349999999999994</v>
      </c>
      <c r="O27" cm="1">
        <f t="array" ref="O27">INDEX(DataAll!$AT$2:$AT$555,MATCH(LOWER(Data!A27),LOWER(DataAll!$AS$2:$AS$555),0))</f>
        <v>7.4</v>
      </c>
      <c r="P27" cm="1">
        <f t="array" ref="P27">INDEX(DataAll!$AU$2:$AU$555,MATCH(LOWER(Data!A27),LOWER(DataAll!$AS$2:$AS$555),0))</f>
        <v>5.2</v>
      </c>
      <c r="Q27" cm="1">
        <f t="array" ref="Q27">INDEX(DataAll!$AX$2:$AX$556,MATCH(LOWER(Data!A27),LOWER(DataAll!$AW$2:$AW$556),0))</f>
        <v>26.36</v>
      </c>
      <c r="R27" cm="1">
        <f t="array" ref="R27">INDEX('Longitude and Latitude'!$B$2:$B$579,MATCH(LOWER(Data!A27),LOWER('Longitude and Latitude'!$A$2:$A$579),0))</f>
        <v>-8.1712591000000003</v>
      </c>
      <c r="S27" cm="1">
        <f t="array" ref="S27">INDEX('Longitude and Latitude'!$C$2:$C$579,MATCH(LOWER(Data!A27),LOWER('Longitude and Latitude'!$A$2:$A$579),0))</f>
        <v>113.7111274</v>
      </c>
      <c r="T27" t="b">
        <f>IF(EXACT(A27, UPPER(A27)), TRUE, FALSE)</f>
        <v>0</v>
      </c>
    </row>
    <row r="28" spans="1:20" x14ac:dyDescent="0.35">
      <c r="A28" t="s">
        <v>29</v>
      </c>
      <c r="B28">
        <v>93.68</v>
      </c>
      <c r="C28" cm="1">
        <f t="array" ref="C28">INDEX(DataAll!$E$2:$E$555,MATCH(LOWER(Data!A28),LOWER(DataAll!$D$2:$D$555),0))</f>
        <v>73.73</v>
      </c>
      <c r="D28" cm="1">
        <f t="array" ref="D28">INDEX(DataAll!$H$2:$H$579,MATCH(LOWER(Data!A28),LOWER(DataAll!$G$2:$G$555),0))</f>
        <v>0.51500000000000001</v>
      </c>
      <c r="E28" cm="1">
        <f t="array" ref="E28">INDEX(DataAll!$K$2:$K$579,MATCH(LOWER(Data!A28),LOWER(DataAll!$J$2:$J$555),0))</f>
        <v>15</v>
      </c>
      <c r="F28" cm="1">
        <f t="array" ref="F28">INDEX(DataAll!$N$2:$N$555,MATCH(LOWER(Data!A28),LOWER(DataAll!$M$2:$M$555),0))</f>
        <v>50.09</v>
      </c>
      <c r="G28" cm="1">
        <f t="array" ref="G28">INDEX(DataAll!$Q$2:$Q$555,MATCH(LOWER(Data!A28),LOWER(DataAll!$P$2:$P$555),0))</f>
        <v>9.0299999999999994</v>
      </c>
      <c r="H28" cm="1">
        <f t="array" ref="H28">INDEX(DataAll!$T$2:$T$555,MATCH(LOWER(Data!A28),LOWER(DataAll!$S$2:$S$555),0))</f>
        <v>0.222</v>
      </c>
      <c r="I28" cm="1">
        <f t="array" ref="I28">INDEX(DataAll!$W$2:$W$555,MATCH(LOWER(Data!A28),LOWER(DataAll!$V$2:$V$555),0))</f>
        <v>46.89</v>
      </c>
      <c r="J28" cm="1">
        <f t="array" ref="J28">INDEX(DataAll!$Z$2:$Z$555,MATCH(LOWER(Data!A28),LOWER(DataAll!$Y$2:$Y$555),0))</f>
        <v>3.04</v>
      </c>
      <c r="K28" cm="1">
        <f t="array" ref="K28">INDEX(DataAll!$AM$2:$AM$555,MATCH(LOWER(Data!A28),LOWER(DataAll!$AL$2:$AL$555),0))</f>
        <v>8.86</v>
      </c>
      <c r="L28" cm="1">
        <f t="array" ref="L28">INDEX(DataAll!$AJ$2:$AJ$555,MATCH(LOWER(Data!A28),LOWER(DataAll!$AI$2:$AI$555),0))</f>
        <v>30.54</v>
      </c>
      <c r="M28" cm="1">
        <f t="array" ref="M28">INDEX(DataAll!$AP$2:$AP$555,MATCH(LOWER(Data!A28),LOWER(DataAll!$AO$2:$AO$555),0))</f>
        <v>61.62</v>
      </c>
      <c r="N28" cm="1">
        <f t="array" ref="N28">INDEX(DataAll!$AQ$2:$AQ$555,MATCH(LOWER(Data!A28),LOWER(DataAll!$AO$2:$AO$555),0))</f>
        <v>65.42</v>
      </c>
      <c r="O28" cm="1">
        <f t="array" ref="O28">INDEX(DataAll!$AT$2:$AT$555,MATCH(LOWER(Data!A28),LOWER(DataAll!$AS$2:$AS$555),0))</f>
        <v>8.91</v>
      </c>
      <c r="P28" cm="1">
        <f t="array" ref="P28">INDEX(DataAll!$AU$2:$AU$555,MATCH(LOWER(Data!A28),LOWER(DataAll!$AS$2:$AS$555),0))</f>
        <v>8.84</v>
      </c>
      <c r="Q28" cm="1">
        <f t="array" ref="Q28">INDEX(DataAll!$AX$2:$AX$556,MATCH(LOWER(Data!A28),LOWER(DataAll!$AW$2:$AW$556),0))</f>
        <v>38.56</v>
      </c>
      <c r="R28" cm="1">
        <f t="array" ref="R28">INDEX('Longitude and Latitude'!$B$2:$B$579,MATCH(LOWER(Data!A28),LOWER('Longitude and Latitude'!$A$2:$A$579),0))</f>
        <v>0.74323720000000004</v>
      </c>
      <c r="S28" cm="1">
        <f t="array" ref="S28">INDEX('Longitude and Latitude'!$C$2:$C$579,MATCH(LOWER(Data!A28),LOWER('Longitude and Latitude'!$A$2:$A$579),0))</f>
        <v>99.367308399999999</v>
      </c>
      <c r="T28" t="b">
        <f>IF(EXACT(A28, UPPER(A28)), TRUE, FALSE)</f>
        <v>0</v>
      </c>
    </row>
    <row r="29" spans="1:20" x14ac:dyDescent="0.35">
      <c r="A29" t="s">
        <v>30</v>
      </c>
      <c r="B29">
        <v>90.63</v>
      </c>
      <c r="C29" cm="1">
        <f t="array" ref="C29">INDEX(DataAll!$E$2:$E$555,MATCH(LOWER(Data!A29),LOWER(DataAll!$D$2:$D$555),0))</f>
        <v>71.61</v>
      </c>
      <c r="D29" cm="1">
        <f t="array" ref="D29">INDEX(DataAll!$H$2:$H$579,MATCH(LOWER(Data!A29),LOWER(DataAll!$G$2:$G$555),0))</f>
        <v>0.51400000000000001</v>
      </c>
      <c r="E29" cm="1">
        <f t="array" ref="E29">INDEX(DataAll!$K$2:$K$579,MATCH(LOWER(Data!A29),LOWER(DataAll!$J$2:$J$555),0))</f>
        <v>11.43</v>
      </c>
      <c r="F29" cm="1">
        <f t="array" ref="F29">INDEX(DataAll!$N$2:$N$555,MATCH(LOWER(Data!A29),LOWER(DataAll!$M$2:$M$555),0))</f>
        <v>51.23</v>
      </c>
      <c r="G29" cm="1">
        <f t="array" ref="G29">INDEX(DataAll!$Q$2:$Q$555,MATCH(LOWER(Data!A29),LOWER(DataAll!$P$2:$P$555),0))</f>
        <v>8.1</v>
      </c>
      <c r="H29" cm="1">
        <f t="array" ref="H29">INDEX(DataAll!$T$2:$T$555,MATCH(LOWER(Data!A29),LOWER(DataAll!$S$2:$S$555),0))</f>
        <v>0.16400000000000001</v>
      </c>
      <c r="I29" cm="1">
        <f t="array" ref="I29">INDEX(DataAll!$W$2:$W$555,MATCH(LOWER(Data!A29),LOWER(DataAll!$V$2:$V$555),0))</f>
        <v>50.48</v>
      </c>
      <c r="J29" cm="1">
        <f t="array" ref="J29">INDEX(DataAll!$Z$2:$Z$555,MATCH(LOWER(Data!A29),LOWER(DataAll!$Y$2:$Y$555),0))</f>
        <v>2.77</v>
      </c>
      <c r="K29" cm="1">
        <f t="array" ref="K29">INDEX(DataAll!$AM$2:$AM$555,MATCH(LOWER(Data!A29),LOWER(DataAll!$AL$2:$AL$555),0))</f>
        <v>7.01</v>
      </c>
      <c r="L29" cm="1">
        <f t="array" ref="L29">INDEX(DataAll!$AJ$2:$AJ$555,MATCH(LOWER(Data!A29),LOWER(DataAll!$AI$2:$AI$555),0))</f>
        <v>30.2</v>
      </c>
      <c r="M29" cm="1">
        <f t="array" ref="M29">INDEX(DataAll!$AP$2:$AP$555,MATCH(LOWER(Data!A29),LOWER(DataAll!$AO$2:$AO$555),0))</f>
        <v>63.67</v>
      </c>
      <c r="N29" cm="1">
        <f t="array" ref="N29">INDEX(DataAll!$AQ$2:$AQ$555,MATCH(LOWER(Data!A29),LOWER(DataAll!$AO$2:$AO$555),0))</f>
        <v>67.540000000000006</v>
      </c>
      <c r="O29" cm="1">
        <f t="array" ref="O29">INDEX(DataAll!$AT$2:$AT$555,MATCH(LOWER(Data!A29),LOWER(DataAll!$AS$2:$AS$555),0))</f>
        <v>9.83</v>
      </c>
      <c r="P29" cm="1">
        <f t="array" ref="P29">INDEX(DataAll!$AU$2:$AU$555,MATCH(LOWER(Data!A29),LOWER(DataAll!$AS$2:$AS$555),0))</f>
        <v>9.1199999999999992</v>
      </c>
      <c r="Q29" cm="1">
        <f t="array" ref="Q29">INDEX(DataAll!$AX$2:$AX$556,MATCH(LOWER(Data!A29),LOWER(DataAll!$AW$2:$AW$556),0))</f>
        <v>42.97</v>
      </c>
      <c r="R29" cm="1">
        <f t="array" ref="R29">INDEX('Longitude and Latitude'!$B$2:$B$579,MATCH(LOWER(Data!A29),LOWER('Longitude and Latitude'!$A$2:$A$579),0))</f>
        <v>1.5774933</v>
      </c>
      <c r="S29" cm="1">
        <f t="array" ref="S29">INDEX('Longitude and Latitude'!$C$2:$C$579,MATCH(LOWER(Data!A29),LOWER('Longitude and Latitude'!$A$2:$A$579),0))</f>
        <v>99.2785583</v>
      </c>
      <c r="T29" t="b">
        <f>IF(EXACT(A29, UPPER(A29)), TRUE, FALSE)</f>
        <v>0</v>
      </c>
    </row>
    <row r="30" spans="1:20" x14ac:dyDescent="0.35">
      <c r="A30" t="s">
        <v>31</v>
      </c>
      <c r="B30">
        <v>95.23</v>
      </c>
      <c r="C30" cm="1">
        <f t="array" ref="C30">INDEX(DataAll!$E$2:$E$555,MATCH(LOWER(Data!A30),LOWER(DataAll!$D$2:$D$555),0))</f>
        <v>76.81</v>
      </c>
      <c r="D30" cm="1">
        <f t="array" ref="D30">INDEX(DataAll!$H$2:$H$579,MATCH(LOWER(Data!A30),LOWER(DataAll!$G$2:$G$555),0))</f>
        <v>0.45300000000000001</v>
      </c>
      <c r="E30" cm="1">
        <f t="array" ref="E30">INDEX(DataAll!$K$2:$K$579,MATCH(LOWER(Data!A30),LOWER(DataAll!$J$2:$J$555),0))</f>
        <v>20</v>
      </c>
      <c r="F30" cm="1">
        <f t="array" ref="F30">INDEX(DataAll!$N$2:$N$555,MATCH(LOWER(Data!A30),LOWER(DataAll!$M$2:$M$555),0))</f>
        <v>55.23</v>
      </c>
      <c r="G30" cm="1">
        <f t="array" ref="G30">INDEX(DataAll!$Q$2:$Q$555,MATCH(LOWER(Data!A30),LOWER(DataAll!$P$2:$P$555),0))</f>
        <v>6.99</v>
      </c>
      <c r="H30" cm="1">
        <f t="array" ref="H30">INDEX(DataAll!$T$2:$T$555,MATCH(LOWER(Data!A30),LOWER(DataAll!$S$2:$S$555),0))</f>
        <v>0.20100000000000001</v>
      </c>
      <c r="I30" cm="1">
        <f t="array" ref="I30">INDEX(DataAll!$W$2:$W$555,MATCH(LOWER(Data!A30),LOWER(DataAll!$V$2:$V$555),0))</f>
        <v>43.94</v>
      </c>
      <c r="J30" cm="1">
        <f t="array" ref="J30">INDEX(DataAll!$Z$2:$Z$555,MATCH(LOWER(Data!A30),LOWER(DataAll!$Y$2:$Y$555),0))</f>
        <v>2.92</v>
      </c>
      <c r="K30" cm="1">
        <f t="array" ref="K30">INDEX(DataAll!$AM$2:$AM$555,MATCH(LOWER(Data!A30),LOWER(DataAll!$AL$2:$AL$555),0))</f>
        <v>11.5</v>
      </c>
      <c r="L30" cm="1">
        <f t="array" ref="L30">INDEX(DataAll!$AJ$2:$AJ$555,MATCH(LOWER(Data!A30),LOWER(DataAll!$AI$2:$AI$555),0))</f>
        <v>29.78</v>
      </c>
      <c r="M30" cm="1">
        <f t="array" ref="M30">INDEX(DataAll!$AP$2:$AP$555,MATCH(LOWER(Data!A30),LOWER(DataAll!$AO$2:$AO$555),0))</f>
        <v>65.95</v>
      </c>
      <c r="N30" cm="1">
        <f t="array" ref="N30">INDEX(DataAll!$AQ$2:$AQ$555,MATCH(LOWER(Data!A30),LOWER(DataAll!$AO$2:$AO$555),0))</f>
        <v>69.94</v>
      </c>
      <c r="O30" cm="1">
        <f t="array" ref="O30">INDEX(DataAll!$AT$2:$AT$555,MATCH(LOWER(Data!A30),LOWER(DataAll!$AS$2:$AS$555),0))</f>
        <v>9.18</v>
      </c>
      <c r="P30" cm="1">
        <f t="array" ref="P30">INDEX(DataAll!$AU$2:$AU$555,MATCH(LOWER(Data!A30),LOWER(DataAll!$AS$2:$AS$555),0))</f>
        <v>8.69</v>
      </c>
      <c r="Q30" cm="1">
        <f t="array" ref="Q30">INDEX(DataAll!$AX$2:$AX$556,MATCH(LOWER(Data!A30),LOWER(DataAll!$AW$2:$AW$556),0))</f>
        <v>41.48</v>
      </c>
      <c r="R30" cm="1">
        <f t="array" ref="R30">INDEX('Longitude and Latitude'!$B$2:$B$579,MATCH(LOWER(Data!A30),LOWER('Longitude and Latitude'!$A$2:$A$579),0))</f>
        <v>1.8493299000000001</v>
      </c>
      <c r="S30" cm="1">
        <f t="array" ref="S30">INDEX('Longitude and Latitude'!$C$2:$C$579,MATCH(LOWER(Data!A30),LOWER('Longitude and Latitude'!$A$2:$A$579),0))</f>
        <v>98.704075000000003</v>
      </c>
      <c r="T30" t="b">
        <f>IF(EXACT(A30, UPPER(A30)), TRUE, FALSE)</f>
        <v>0</v>
      </c>
    </row>
    <row r="31" spans="1:20" x14ac:dyDescent="0.35">
      <c r="A31" t="s">
        <v>32</v>
      </c>
      <c r="B31">
        <v>97.75</v>
      </c>
      <c r="C31" cm="1">
        <f t="array" ref="C31">INDEX(DataAll!$E$2:$E$555,MATCH(LOWER(Data!A31),LOWER(DataAll!$D$2:$D$555),0))</f>
        <v>63.82</v>
      </c>
      <c r="D31" cm="1">
        <f t="array" ref="D31">INDEX(DataAll!$H$2:$H$579,MATCH(LOWER(Data!A31),LOWER(DataAll!$G$2:$G$555),0))</f>
        <v>0.29199999999999998</v>
      </c>
      <c r="E31" cm="1">
        <f t="array" ref="E31">INDEX(DataAll!$K$2:$K$579,MATCH(LOWER(Data!A31),LOWER(DataAll!$J$2:$J$555),0))</f>
        <v>5.71</v>
      </c>
      <c r="F31" cm="1">
        <f t="array" ref="F31">INDEX(DataAll!$N$2:$N$555,MATCH(LOWER(Data!A31),LOWER(DataAll!$M$2:$M$555),0))</f>
        <v>51.81</v>
      </c>
      <c r="G31" cm="1">
        <f t="array" ref="G31">INDEX(DataAll!$Q$2:$Q$555,MATCH(LOWER(Data!A31),LOWER(DataAll!$P$2:$P$555),0))</f>
        <v>7.05</v>
      </c>
      <c r="H31" cm="1">
        <f t="array" ref="H31">INDEX(DataAll!$T$2:$T$555,MATCH(LOWER(Data!A31),LOWER(DataAll!$S$2:$S$555),0))</f>
        <v>7.0999999999999994E-2</v>
      </c>
      <c r="I31" cm="1">
        <f t="array" ref="I31">INDEX(DataAll!$W$2:$W$555,MATCH(LOWER(Data!A31),LOWER(DataAll!$V$2:$V$555),0))</f>
        <v>49.18</v>
      </c>
      <c r="J31" cm="1">
        <f t="array" ref="J31">INDEX(DataAll!$Z$2:$Z$555,MATCH(LOWER(Data!A31),LOWER(DataAll!$Y$2:$Y$555),0))</f>
        <v>2.87</v>
      </c>
      <c r="K31" cm="1">
        <f t="array" ref="K31">INDEX(DataAll!$AM$2:$AM$555,MATCH(LOWER(Data!A31),LOWER(DataAll!$AL$2:$AL$555),0))</f>
        <v>8.5399999999999991</v>
      </c>
      <c r="L31" cm="1">
        <f t="array" ref="L31">INDEX(DataAll!$AJ$2:$AJ$555,MATCH(LOWER(Data!A31),LOWER(DataAll!$AI$2:$AI$555),0))</f>
        <v>19.68</v>
      </c>
      <c r="M31" cm="1">
        <f t="array" ref="M31">INDEX(DataAll!$AP$2:$AP$555,MATCH(LOWER(Data!A31),LOWER(DataAll!$AO$2:$AO$555),0))</f>
        <v>67.64</v>
      </c>
      <c r="N31" cm="1">
        <f t="array" ref="N31">INDEX(DataAll!$AQ$2:$AQ$555,MATCH(LOWER(Data!A31),LOWER(DataAll!$AO$2:$AO$555),0))</f>
        <v>71.59</v>
      </c>
      <c r="O31" cm="1">
        <f t="array" ref="O31">INDEX(DataAll!$AT$2:$AT$555,MATCH(LOWER(Data!A31),LOWER(DataAll!$AS$2:$AS$555),0))</f>
        <v>10.34</v>
      </c>
      <c r="P31" cm="1">
        <f t="array" ref="P31">INDEX(DataAll!$AU$2:$AU$555,MATCH(LOWER(Data!A31),LOWER(DataAll!$AS$2:$AS$555),0))</f>
        <v>9.93</v>
      </c>
      <c r="Q31" cm="1">
        <f t="array" ref="Q31">INDEX(DataAll!$AX$2:$AX$556,MATCH(LOWER(Data!A31),LOWER(DataAll!$AW$2:$AW$556),0))</f>
        <v>58.5</v>
      </c>
      <c r="R31" cm="1">
        <f t="array" ref="R31">INDEX('Longitude and Latitude'!$B$2:$B$579,MATCH(LOWER(Data!A31),LOWER('Longitude and Latitude'!$A$2:$A$579),0))</f>
        <v>2.0405245999999999</v>
      </c>
      <c r="S31" cm="1">
        <f t="array" ref="S31">INDEX('Longitude and Latitude'!$C$2:$C$579,MATCH(LOWER(Data!A31),LOWER('Longitude and Latitude'!$A$2:$A$579),0))</f>
        <v>99.101349799999994</v>
      </c>
      <c r="T31" t="b">
        <f>IF(EXACT(A31, UPPER(A31)), TRUE, FALSE)</f>
        <v>0</v>
      </c>
    </row>
    <row r="32" spans="1:20" x14ac:dyDescent="0.35">
      <c r="A32" t="s">
        <v>1066</v>
      </c>
      <c r="B32">
        <v>98.32</v>
      </c>
      <c r="C32" cm="1">
        <f t="array" ref="C32">INDEX(DataAll!$E$2:$E$555,MATCH(LOWER(Data!A32),LOWER(DataAll!$D$2:$D$555),0))</f>
        <v>61.53</v>
      </c>
      <c r="D32" cm="1">
        <f t="array" ref="D32">INDEX(DataAll!$H$2:$H$579,MATCH(LOWER(Data!A32),LOWER(DataAll!$G$2:$G$555),0))</f>
        <v>0.505</v>
      </c>
      <c r="E32" cm="1">
        <f t="array" ref="E32">INDEX(DataAll!$K$2:$K$579,MATCH(LOWER(Data!A32),LOWER(DataAll!$J$2:$J$555),0))</f>
        <v>3.33</v>
      </c>
      <c r="F32" cm="1">
        <f t="array" ref="F32">INDEX(DataAll!$N$2:$N$555,MATCH(LOWER(Data!A32),LOWER(DataAll!$M$2:$M$555),0))</f>
        <v>51.86</v>
      </c>
      <c r="G32" cm="1">
        <f t="array" ref="G32">INDEX(DataAll!$Q$2:$Q$555,MATCH(LOWER(Data!A32),LOWER(DataAll!$P$2:$P$555),0))</f>
        <v>6.91</v>
      </c>
      <c r="H32" cm="1">
        <f t="array" ref="H32">INDEX(DataAll!$T$2:$T$555,MATCH(LOWER(Data!A32),LOWER(DataAll!$S$2:$S$555),0))</f>
        <v>9.7000000000000003E-2</v>
      </c>
      <c r="I32" cm="1">
        <f t="array" ref="I32">INDEX(DataAll!$W$2:$W$555,MATCH(LOWER(Data!A32),LOWER(DataAll!$V$2:$V$555),0))</f>
        <v>46.96</v>
      </c>
      <c r="J32" cm="1">
        <f t="array" ref="J32">INDEX(DataAll!$Z$2:$Z$555,MATCH(LOWER(Data!A32),LOWER(DataAll!$Y$2:$Y$555),0))</f>
        <v>2.97</v>
      </c>
      <c r="K32" cm="1">
        <f t="array" ref="K32">INDEX(DataAll!$AM$2:$AM$555,MATCH(LOWER(Data!A32),LOWER(DataAll!$AL$2:$AL$555),0))</f>
        <v>8.0399999999999991</v>
      </c>
      <c r="L32" cm="1">
        <f t="array" ref="L32">INDEX(DataAll!$AJ$2:$AJ$555,MATCH(LOWER(Data!A32),LOWER(DataAll!$AI$2:$AI$555),0))</f>
        <v>19.3</v>
      </c>
      <c r="M32" t="e" cm="1">
        <f t="array" ref="M32">INDEX(DataAll!$AP$2:$AP$555,MATCH(LOWER(Data!A32),LOWER(DataAll!$AO$2:$AO$555),0))</f>
        <v>#N/A</v>
      </c>
      <c r="N32" t="e" cm="1">
        <f t="array" ref="N32">INDEX(DataAll!$AQ$2:$AQ$555,MATCH(LOWER(Data!A32),LOWER(DataAll!$AO$2:$AO$555),0))</f>
        <v>#N/A</v>
      </c>
      <c r="O32" t="e" cm="1">
        <f t="array" ref="O32">INDEX(DataAll!$AT$2:$AT$555,MATCH(LOWER(Data!A32),LOWER(DataAll!$AS$2:$AS$555),0))</f>
        <v>#N/A</v>
      </c>
      <c r="P32" t="e" cm="1">
        <f t="array" ref="P32">INDEX(DataAll!$AU$2:$AU$555,MATCH(LOWER(Data!A32),LOWER(DataAll!$AS$2:$AS$555),0))</f>
        <v>#N/A</v>
      </c>
      <c r="Q32" t="e" cm="1">
        <f t="array" ref="Q32">INDEX(DataAll!$AX$2:$AX$556,MATCH(LOWER(Data!A32),LOWER(DataAll!$AW$2:$AW$556),0))</f>
        <v>#N/A</v>
      </c>
      <c r="R32" cm="1">
        <f t="array" ref="R32">INDEX('Longitude and Latitude'!$B$2:$B$579,MATCH(LOWER(Data!A32),LOWER('Longitude and Latitude'!$A$2:$A$579),0))</f>
        <v>2.3502398000000002</v>
      </c>
      <c r="S32" cm="1">
        <f t="array" ref="S32">INDEX('Longitude and Latitude'!$C$2:$C$579,MATCH(LOWER(Data!A32),LOWER('Longitude and Latitude'!$A$2:$A$579),0))</f>
        <v>99.2785583</v>
      </c>
      <c r="T32" t="b">
        <f>IF(EXACT(A32, UPPER(A32)), TRUE, FALSE)</f>
        <v>0</v>
      </c>
    </row>
    <row r="33" spans="1:20" x14ac:dyDescent="0.35">
      <c r="A33" t="s">
        <v>34</v>
      </c>
      <c r="B33">
        <v>90.74</v>
      </c>
      <c r="C33" cm="1">
        <f t="array" ref="C33">INDEX(DataAll!$E$2:$E$555,MATCH(LOWER(Data!A33),LOWER(DataAll!$D$2:$D$555),0))</f>
        <v>70.39</v>
      </c>
      <c r="D33" cm="1">
        <f t="array" ref="D33">INDEX(DataAll!$H$2:$H$579,MATCH(LOWER(Data!A33),LOWER(DataAll!$G$2:$G$555),0))</f>
        <v>0.42699999999999999</v>
      </c>
      <c r="E33" cm="1">
        <f t="array" ref="E33">INDEX(DataAll!$K$2:$K$579,MATCH(LOWER(Data!A33),LOWER(DataAll!$J$2:$J$555),0))</f>
        <v>17.78</v>
      </c>
      <c r="F33" cm="1">
        <f t="array" ref="F33">INDEX(DataAll!$N$2:$N$555,MATCH(LOWER(Data!A33),LOWER(DataAll!$M$2:$M$555),0))</f>
        <v>54.39</v>
      </c>
      <c r="G33" cm="1">
        <f t="array" ref="G33">INDEX(DataAll!$Q$2:$Q$555,MATCH(LOWER(Data!A33),LOWER(DataAll!$P$2:$P$555),0))</f>
        <v>7.38</v>
      </c>
      <c r="H33" cm="1">
        <f t="array" ref="H33">INDEX(DataAll!$T$2:$T$555,MATCH(LOWER(Data!A33),LOWER(DataAll!$S$2:$S$555),0))</f>
        <v>0.191</v>
      </c>
      <c r="I33" cm="1">
        <f t="array" ref="I33">INDEX(DataAll!$W$2:$W$555,MATCH(LOWER(Data!A33),LOWER(DataAll!$V$2:$V$555),0))</f>
        <v>32.299999999999997</v>
      </c>
      <c r="J33" cm="1">
        <f t="array" ref="J33">INDEX(DataAll!$Z$2:$Z$555,MATCH(LOWER(Data!A33),LOWER(DataAll!$Y$2:$Y$555),0))</f>
        <v>2.4700000000000002</v>
      </c>
      <c r="K33" cm="1">
        <f t="array" ref="K33">INDEX(DataAll!$AM$2:$AM$555,MATCH(LOWER(Data!A33),LOWER(DataAll!$AL$2:$AL$555),0))</f>
        <v>7.99</v>
      </c>
      <c r="L33" cm="1">
        <f t="array" ref="L33">INDEX(DataAll!$AJ$2:$AJ$555,MATCH(LOWER(Data!A33),LOWER(DataAll!$AI$2:$AI$555),0))</f>
        <v>25.25</v>
      </c>
      <c r="M33" cm="1">
        <f t="array" ref="M33">INDEX(DataAll!$AP$2:$AP$555,MATCH(LOWER(Data!A33),LOWER(DataAll!$AO$2:$AO$555),0))</f>
        <v>68.849999999999994</v>
      </c>
      <c r="N33" cm="1">
        <f t="array" ref="N33">INDEX(DataAll!$AQ$2:$AQ$555,MATCH(LOWER(Data!A33),LOWER(DataAll!$AO$2:$AO$555),0))</f>
        <v>72.790000000000006</v>
      </c>
      <c r="O33" cm="1">
        <f t="array" ref="O33">INDEX(DataAll!$AT$2:$AT$555,MATCH(LOWER(Data!A33),LOWER(DataAll!$AS$2:$AS$555),0))</f>
        <v>9.7100000000000009</v>
      </c>
      <c r="P33" cm="1">
        <f t="array" ref="P33">INDEX(DataAll!$AU$2:$AU$555,MATCH(LOWER(Data!A33),LOWER(DataAll!$AS$2:$AS$555),0))</f>
        <v>9.27</v>
      </c>
      <c r="Q33" cm="1">
        <f t="array" ref="Q33">INDEX(DataAll!$AX$2:$AX$556,MATCH(LOWER(Data!A33),LOWER(DataAll!$AW$2:$AW$556),0))</f>
        <v>42.27</v>
      </c>
      <c r="R33" cm="1">
        <f t="array" ref="R33">INDEX('Longitude and Latitude'!$B$2:$B$579,MATCH(LOWER(Data!A33),LOWER('Longitude and Latitude'!$A$2:$A$579),0))</f>
        <v>2.3439863000000001</v>
      </c>
      <c r="S33" cm="1">
        <f t="array" ref="S33">INDEX('Longitude and Latitude'!$C$2:$C$579,MATCH(LOWER(Data!A33),LOWER('Longitude and Latitude'!$A$2:$A$579),0))</f>
        <v>100.17032570000001</v>
      </c>
      <c r="T33" t="b">
        <f>IF(EXACT(A33, UPPER(A33)), TRUE, FALSE)</f>
        <v>0</v>
      </c>
    </row>
    <row r="34" spans="1:20" x14ac:dyDescent="0.35">
      <c r="A34" t="s">
        <v>35</v>
      </c>
      <c r="B34">
        <v>91.91</v>
      </c>
      <c r="C34" cm="1">
        <f t="array" ref="C34">INDEX(DataAll!$E$2:$E$555,MATCH(LOWER(Data!A34),LOWER(DataAll!$D$2:$D$555),0))</f>
        <v>71.05</v>
      </c>
      <c r="D34" cm="1">
        <f t="array" ref="D34">INDEX(DataAll!$H$2:$H$579,MATCH(LOWER(Data!A34),LOWER(DataAll!$G$2:$G$555),0))</f>
        <v>0.44700000000000001</v>
      </c>
      <c r="E34" cm="1">
        <f t="array" ref="E34">INDEX(DataAll!$K$2:$K$579,MATCH(LOWER(Data!A34),LOWER(DataAll!$J$2:$J$555),0))</f>
        <v>25</v>
      </c>
      <c r="F34" cm="1">
        <f t="array" ref="F34">INDEX(DataAll!$N$2:$N$555,MATCH(LOWER(Data!A34),LOWER(DataAll!$M$2:$M$555),0))</f>
        <v>54.5</v>
      </c>
      <c r="G34" cm="1">
        <f t="array" ref="G34">INDEX(DataAll!$Q$2:$Q$555,MATCH(LOWER(Data!A34),LOWER(DataAll!$P$2:$P$555),0))</f>
        <v>8.65</v>
      </c>
      <c r="H34" cm="1">
        <f t="array" ref="H34">INDEX(DataAll!$T$2:$T$555,MATCH(LOWER(Data!A34),LOWER(DataAll!$S$2:$S$555),0))</f>
        <v>0.14799999999999999</v>
      </c>
      <c r="I34" cm="1">
        <f t="array" ref="I34">INDEX(DataAll!$W$2:$W$555,MATCH(LOWER(Data!A34),LOWER(DataAll!$V$2:$V$555),0))</f>
        <v>27.07</v>
      </c>
      <c r="J34" cm="1">
        <f t="array" ref="J34">INDEX(DataAll!$Z$2:$Z$555,MATCH(LOWER(Data!A34),LOWER(DataAll!$Y$2:$Y$555),0))</f>
        <v>2.4700000000000002</v>
      </c>
      <c r="K34" cm="1">
        <f t="array" ref="K34">INDEX(DataAll!$AM$2:$AM$555,MATCH(LOWER(Data!A34),LOWER(DataAll!$AL$2:$AL$555),0))</f>
        <v>8.2100000000000009</v>
      </c>
      <c r="L34" cm="1">
        <f t="array" ref="L34">INDEX(DataAll!$AJ$2:$AJ$555,MATCH(LOWER(Data!A34),LOWER(DataAll!$AI$2:$AI$555),0))</f>
        <v>23.23</v>
      </c>
      <c r="M34" cm="1">
        <f t="array" ref="M34">INDEX(DataAll!$AP$2:$AP$555,MATCH(LOWER(Data!A34),LOWER(DataAll!$AO$2:$AO$555),0))</f>
        <v>67.150000000000006</v>
      </c>
      <c r="N34" cm="1">
        <f t="array" ref="N34">INDEX(DataAll!$AQ$2:$AQ$555,MATCH(LOWER(Data!A34),LOWER(DataAll!$AO$2:$AO$555),0))</f>
        <v>71.12</v>
      </c>
      <c r="O34" cm="1">
        <f t="array" ref="O34">INDEX(DataAll!$AT$2:$AT$555,MATCH(LOWER(Data!A34),LOWER(DataAll!$AS$2:$AS$555),0))</f>
        <v>8.99</v>
      </c>
      <c r="P34" cm="1">
        <f t="array" ref="P34">INDEX(DataAll!$AU$2:$AU$555,MATCH(LOWER(Data!A34),LOWER(DataAll!$AS$2:$AS$555),0))</f>
        <v>8.65</v>
      </c>
      <c r="Q34" cm="1">
        <f t="array" ref="Q34">INDEX(DataAll!$AX$2:$AX$556,MATCH(LOWER(Data!A34),LOWER(DataAll!$AW$2:$AW$556),0))</f>
        <v>39.49</v>
      </c>
      <c r="R34" cm="1">
        <f t="array" ref="R34">INDEX('Longitude and Latitude'!$B$2:$B$579,MATCH(LOWER(Data!A34),LOWER('Longitude and Latitude'!$A$2:$A$579),0))</f>
        <v>2.8174722000000001</v>
      </c>
      <c r="S34" cm="1">
        <f t="array" ref="S34">INDEX('Longitude and Latitude'!$C$2:$C$579,MATCH(LOWER(Data!A34),LOWER('Longitude and Latitude'!$A$2:$A$579),0))</f>
        <v>99.634135000000001</v>
      </c>
      <c r="T34" t="b">
        <f>IF(EXACT(A34, UPPER(A34)), TRUE, FALSE)</f>
        <v>0</v>
      </c>
    </row>
    <row r="35" spans="1:20" x14ac:dyDescent="0.35">
      <c r="A35" t="s">
        <v>36</v>
      </c>
      <c r="B35">
        <v>93.09</v>
      </c>
      <c r="C35" cm="1">
        <f t="array" ref="C35">INDEX(DataAll!$E$2:$E$555,MATCH(LOWER(Data!A35),LOWER(DataAll!$D$2:$D$555),0))</f>
        <v>62.35</v>
      </c>
      <c r="D35" cm="1">
        <f t="array" ref="D35">INDEX(DataAll!$H$2:$H$579,MATCH(LOWER(Data!A35),LOWER(DataAll!$G$2:$G$555),0))</f>
        <v>0.40200000000000002</v>
      </c>
      <c r="E35" cm="1">
        <f t="array" ref="E35">INDEX(DataAll!$K$2:$K$579,MATCH(LOWER(Data!A35),LOWER(DataAll!$J$2:$J$555),0))</f>
        <v>8</v>
      </c>
      <c r="F35" cm="1">
        <f t="array" ref="F35">INDEX(DataAll!$N$2:$N$555,MATCH(LOWER(Data!A35),LOWER(DataAll!$M$2:$M$555),0))</f>
        <v>56.74</v>
      </c>
      <c r="G35" cm="1">
        <f t="array" ref="G35">INDEX(DataAll!$Q$2:$Q$555,MATCH(LOWER(Data!A35),LOWER(DataAll!$P$2:$P$555),0))</f>
        <v>11.19</v>
      </c>
      <c r="H35" cm="1">
        <f t="array" ref="H35">INDEX(DataAll!$T$2:$T$555,MATCH(LOWER(Data!A35),LOWER(DataAll!$S$2:$S$555),0))</f>
        <v>0.11700000000000001</v>
      </c>
      <c r="I35" cm="1">
        <f t="array" ref="I35">INDEX(DataAll!$W$2:$W$555,MATCH(LOWER(Data!A35),LOWER(DataAll!$V$2:$V$555),0))</f>
        <v>37.04</v>
      </c>
      <c r="J35" cm="1">
        <f t="array" ref="J35">INDEX(DataAll!$Z$2:$Z$555,MATCH(LOWER(Data!A35),LOWER(DataAll!$Y$2:$Y$555),0))</f>
        <v>2.4500000000000002</v>
      </c>
      <c r="K35" cm="1">
        <f t="array" ref="K35">INDEX(DataAll!$AM$2:$AM$555,MATCH(LOWER(Data!A35),LOWER(DataAll!$AL$2:$AL$555),0))</f>
        <v>7.87</v>
      </c>
      <c r="L35" cm="1">
        <f t="array" ref="L35">INDEX(DataAll!$AJ$2:$AJ$555,MATCH(LOWER(Data!A35),LOWER(DataAll!$AI$2:$AI$555),0))</f>
        <v>21.64</v>
      </c>
      <c r="M35" cm="1">
        <f t="array" ref="M35">INDEX(DataAll!$AP$2:$AP$555,MATCH(LOWER(Data!A35),LOWER(DataAll!$AO$2:$AO$555),0))</f>
        <v>70.25</v>
      </c>
      <c r="N35" cm="1">
        <f t="array" ref="N35">INDEX(DataAll!$AQ$2:$AQ$555,MATCH(LOWER(Data!A35),LOWER(DataAll!$AO$2:$AO$555),0))</f>
        <v>74.260000000000005</v>
      </c>
      <c r="O35" cm="1">
        <f t="array" ref="O35">INDEX(DataAll!$AT$2:$AT$555,MATCH(LOWER(Data!A35),LOWER(DataAll!$AS$2:$AS$555),0))</f>
        <v>9.92</v>
      </c>
      <c r="P35" cm="1">
        <f t="array" ref="P35">INDEX(DataAll!$AU$2:$AU$555,MATCH(LOWER(Data!A35),LOWER(DataAll!$AS$2:$AS$555),0))</f>
        <v>9.5299999999999994</v>
      </c>
      <c r="Q35" cm="1">
        <f t="array" ref="Q35">INDEX(DataAll!$AX$2:$AX$556,MATCH(LOWER(Data!A35),LOWER(DataAll!$AW$2:$AW$556),0))</f>
        <v>52.4</v>
      </c>
      <c r="R35" cm="1">
        <f t="array" ref="R35">INDEX('Longitude and Latitude'!$B$2:$B$579,MATCH(LOWER(Data!A35),LOWER('Longitude and Latitude'!$A$2:$A$579),0))</f>
        <v>2.9781612000000002</v>
      </c>
      <c r="S35" cm="1">
        <f t="array" ref="S35">INDEX('Longitude and Latitude'!$C$2:$C$579,MATCH(LOWER(Data!A35),LOWER('Longitude and Latitude'!$A$2:$A$579),0))</f>
        <v>99.2785583</v>
      </c>
      <c r="T35" t="b">
        <f>IF(EXACT(A35, UPPER(A35)), TRUE, FALSE)</f>
        <v>0</v>
      </c>
    </row>
    <row r="36" spans="1:20" x14ac:dyDescent="0.35">
      <c r="A36" t="s">
        <v>37</v>
      </c>
      <c r="B36">
        <v>98.44</v>
      </c>
      <c r="C36" cm="1">
        <f t="array" ref="C36">INDEX(DataAll!$E$2:$E$555,MATCH(LOWER(Data!A36),LOWER(DataAll!$D$2:$D$555),0))</f>
        <v>62.34</v>
      </c>
      <c r="D36" cm="1">
        <f t="array" ref="D36">INDEX(DataAll!$H$2:$H$579,MATCH(LOWER(Data!A36),LOWER(DataAll!$G$2:$G$555),0))</f>
        <v>0.34100000000000003</v>
      </c>
      <c r="E36" cm="1">
        <f t="array" ref="E36">INDEX(DataAll!$K$2:$K$579,MATCH(LOWER(Data!A36),LOWER(DataAll!$J$2:$J$555),0))</f>
        <v>5.71</v>
      </c>
      <c r="F36" cm="1">
        <f t="array" ref="F36">INDEX(DataAll!$N$2:$N$555,MATCH(LOWER(Data!A36),LOWER(DataAll!$M$2:$M$555),0))</f>
        <v>56.84</v>
      </c>
      <c r="G36" cm="1">
        <f t="array" ref="G36">INDEX(DataAll!$Q$2:$Q$555,MATCH(LOWER(Data!A36),LOWER(DataAll!$P$2:$P$555),0))</f>
        <v>7.66</v>
      </c>
      <c r="H36" cm="1">
        <f t="array" ref="H36">INDEX(DataAll!$T$2:$T$555,MATCH(LOWER(Data!A36),LOWER(DataAll!$S$2:$S$555),0))</f>
        <v>6.2E-2</v>
      </c>
      <c r="I36" cm="1">
        <f t="array" ref="I36">INDEX(DataAll!$W$2:$W$555,MATCH(LOWER(Data!A36),LOWER(DataAll!$V$2:$V$555),0))</f>
        <v>49.83</v>
      </c>
      <c r="J36" cm="1">
        <f t="array" ref="J36">INDEX(DataAll!$Z$2:$Z$555,MATCH(LOWER(Data!A36),LOWER(DataAll!$Y$2:$Y$555),0))</f>
        <v>3.15</v>
      </c>
      <c r="K36" cm="1">
        <f t="array" ref="K36">INDEX(DataAll!$AM$2:$AM$555,MATCH(LOWER(Data!A36),LOWER(DataAll!$AL$2:$AL$555),0))</f>
        <v>7.47</v>
      </c>
      <c r="L36" cm="1">
        <f t="array" ref="L36">INDEX(DataAll!$AJ$2:$AJ$555,MATCH(LOWER(Data!A36),LOWER(DataAll!$AI$2:$AI$555),0))</f>
        <v>19.68</v>
      </c>
      <c r="M36" cm="1">
        <f t="array" ref="M36">INDEX(DataAll!$AP$2:$AP$555,MATCH(LOWER(Data!A36),LOWER(DataAll!$AO$2:$AO$555),0))</f>
        <v>68.180000000000007</v>
      </c>
      <c r="N36" cm="1">
        <f t="array" ref="N36">INDEX(DataAll!$AQ$2:$AQ$555,MATCH(LOWER(Data!A36),LOWER(DataAll!$AO$2:$AO$555),0))</f>
        <v>72.12</v>
      </c>
      <c r="O36" cm="1">
        <f t="array" ref="O36">INDEX(DataAll!$AT$2:$AT$555,MATCH(LOWER(Data!A36),LOWER(DataAll!$AS$2:$AS$555),0))</f>
        <v>9.92</v>
      </c>
      <c r="P36" cm="1">
        <f t="array" ref="P36">INDEX(DataAll!$AU$2:$AU$555,MATCH(LOWER(Data!A36),LOWER(DataAll!$AS$2:$AS$555),0))</f>
        <v>9.8699999999999992</v>
      </c>
      <c r="Q36" cm="1">
        <f t="array" ref="Q36">INDEX(DataAll!$AX$2:$AX$556,MATCH(LOWER(Data!A36),LOWER(DataAll!$AW$2:$AW$556),0))</f>
        <v>54.8</v>
      </c>
      <c r="R36" cm="1">
        <f t="array" ref="R36">INDEX('Longitude and Latitude'!$B$2:$B$579,MATCH(LOWER(Data!A36),LOWER('Longitude and Latitude'!$A$2:$A$579),0))</f>
        <v>2.8675801000000001</v>
      </c>
      <c r="S36" cm="1">
        <f t="array" ref="S36">INDEX('Longitude and Latitude'!$C$2:$C$579,MATCH(LOWER(Data!A36),LOWER('Longitude and Latitude'!$A$2:$A$579),0))</f>
        <v>98.265057999999996</v>
      </c>
      <c r="T36" t="b">
        <f>IF(EXACT(A36, UPPER(A36)), TRUE, FALSE)</f>
        <v>0</v>
      </c>
    </row>
    <row r="37" spans="1:20" x14ac:dyDescent="0.35">
      <c r="A37" t="s">
        <v>38</v>
      </c>
      <c r="B37">
        <v>96.36</v>
      </c>
      <c r="C37" cm="1">
        <f t="array" ref="C37">INDEX(DataAll!$E$2:$E$555,MATCH(LOWER(Data!A37),LOWER(DataAll!$D$2:$D$555),0))</f>
        <v>82.74</v>
      </c>
      <c r="D37" cm="1">
        <f t="array" ref="D37">INDEX(DataAll!$H$2:$H$579,MATCH(LOWER(Data!A37),LOWER(DataAll!$G$2:$G$555),0))</f>
        <v>0.29099999999999998</v>
      </c>
      <c r="E37" cm="1">
        <f t="array" ref="E37">INDEX(DataAll!$K$2:$K$579,MATCH(LOWER(Data!A37),LOWER(DataAll!$J$2:$J$555),0))</f>
        <v>28.57</v>
      </c>
      <c r="F37" cm="1">
        <f t="array" ref="F37">INDEX(DataAll!$N$2:$N$555,MATCH(LOWER(Data!A37),LOWER(DataAll!$M$2:$M$555),0))</f>
        <v>56.19</v>
      </c>
      <c r="G37" cm="1">
        <f t="array" ref="G37">INDEX(DataAll!$Q$2:$Q$555,MATCH(LOWER(Data!A37),LOWER(DataAll!$P$2:$P$555),0))</f>
        <v>5.42</v>
      </c>
      <c r="H37" cm="1">
        <f t="array" ref="H37">INDEX(DataAll!$T$2:$T$555,MATCH(LOWER(Data!A37),LOWER(DataAll!$S$2:$S$555),0))</f>
        <v>0.17100000000000001</v>
      </c>
      <c r="I37" cm="1">
        <f t="array" ref="I37">INDEX(DataAll!$W$2:$W$555,MATCH(LOWER(Data!A37),LOWER(DataAll!$V$2:$V$555),0))</f>
        <v>49.28</v>
      </c>
      <c r="J37" cm="1">
        <f t="array" ref="J37">INDEX(DataAll!$Z$2:$Z$555,MATCH(LOWER(Data!A37),LOWER(DataAll!$Y$2:$Y$555),0))</f>
        <v>2.35</v>
      </c>
      <c r="K37" cm="1">
        <f t="array" ref="K37">INDEX(DataAll!$AM$2:$AM$555,MATCH(LOWER(Data!A37),LOWER(DataAll!$AL$2:$AL$555),0))</f>
        <v>7.98</v>
      </c>
      <c r="L37" cm="1">
        <f t="array" ref="L37">INDEX(DataAll!$AJ$2:$AJ$555,MATCH(LOWER(Data!A37),LOWER(DataAll!$AI$2:$AI$555),0))</f>
        <v>19.3</v>
      </c>
      <c r="M37" cm="1">
        <f t="array" ref="M37">INDEX(DataAll!$AP$2:$AP$555,MATCH(LOWER(Data!A37),LOWER(DataAll!$AO$2:$AO$555),0))</f>
        <v>70.319999999999993</v>
      </c>
      <c r="N37" cm="1">
        <f t="array" ref="N37">INDEX(DataAll!$AQ$2:$AQ$555,MATCH(LOWER(Data!A37),LOWER(DataAll!$AO$2:$AO$555),0))</f>
        <v>74.33</v>
      </c>
      <c r="O37" cm="1">
        <f t="array" ref="O37">INDEX(DataAll!$AT$2:$AT$555,MATCH(LOWER(Data!A37),LOWER(DataAll!$AS$2:$AS$555),0))</f>
        <v>10.050000000000001</v>
      </c>
      <c r="P37" cm="1">
        <f t="array" ref="P37">INDEX(DataAll!$AU$2:$AU$555,MATCH(LOWER(Data!A37),LOWER(DataAll!$AS$2:$AS$555),0))</f>
        <v>10.029999999999999</v>
      </c>
      <c r="Q37" cm="1">
        <f t="array" ref="Q37">INDEX(DataAll!$AX$2:$AX$556,MATCH(LOWER(Data!A37),LOWER(DataAll!$AW$2:$AW$556),0))</f>
        <v>53.97</v>
      </c>
      <c r="R37" cm="1">
        <f t="array" ref="R37">INDEX('Longitude and Latitude'!$B$2:$B$579,MATCH(LOWER(Data!A37),LOWER('Longitude and Latitude'!$A$2:$A$579),0))</f>
        <v>3.1052909</v>
      </c>
      <c r="S37" cm="1">
        <f t="array" ref="S37">INDEX('Longitude and Latitude'!$C$2:$C$579,MATCH(LOWER(Data!A37),LOWER('Longitude and Latitude'!$A$2:$A$579),0))</f>
        <v>98.265057999999996</v>
      </c>
      <c r="T37" t="b">
        <f>IF(EXACT(A37, UPPER(A37)), TRUE, FALSE)</f>
        <v>0</v>
      </c>
    </row>
    <row r="38" spans="1:20" x14ac:dyDescent="0.35">
      <c r="A38" t="s">
        <v>39</v>
      </c>
      <c r="B38">
        <v>91.92</v>
      </c>
      <c r="C38" cm="1">
        <f t="array" ref="C38">INDEX(DataAll!$E$2:$E$555,MATCH(LOWER(Data!A38),LOWER(DataAll!$D$2:$D$555),0))</f>
        <v>59.68</v>
      </c>
      <c r="D38" cm="1">
        <f t="array" ref="D38">INDEX(DataAll!$H$2:$H$579,MATCH(LOWER(Data!A38),LOWER(DataAll!$G$2:$G$555),0))</f>
        <v>0.32500000000000001</v>
      </c>
      <c r="E38" cm="1">
        <f t="array" ref="E38">INDEX(DataAll!$K$2:$K$579,MATCH(LOWER(Data!A38),LOWER(DataAll!$J$2:$J$555),0))</f>
        <v>10</v>
      </c>
      <c r="F38" cm="1">
        <f t="array" ref="F38">INDEX(DataAll!$N$2:$N$555,MATCH(LOWER(Data!A38),LOWER(DataAll!$M$2:$M$555),0))</f>
        <v>48.98</v>
      </c>
      <c r="G38" cm="1">
        <f t="array" ref="G38">INDEX(DataAll!$Q$2:$Q$555,MATCH(LOWER(Data!A38),LOWER(DataAll!$P$2:$P$555),0))</f>
        <v>9.6999999999999993</v>
      </c>
      <c r="H38" cm="1">
        <f t="array" ref="H38">INDEX(DataAll!$T$2:$T$555,MATCH(LOWER(Data!A38),LOWER(DataAll!$S$2:$S$555),0))</f>
        <v>0.124</v>
      </c>
      <c r="I38" cm="1">
        <f t="array" ref="I38">INDEX(DataAll!$W$2:$W$555,MATCH(LOWER(Data!A38),LOWER(DataAll!$V$2:$V$555),0))</f>
        <v>28.23</v>
      </c>
      <c r="J38" cm="1">
        <f t="array" ref="J38">INDEX(DataAll!$Z$2:$Z$555,MATCH(LOWER(Data!A38),LOWER(DataAll!$Y$2:$Y$555),0))</f>
        <v>2.2799999999999998</v>
      </c>
      <c r="K38" cm="1">
        <f t="array" ref="K38">INDEX(DataAll!$AM$2:$AM$555,MATCH(LOWER(Data!A38),LOWER(DataAll!$AL$2:$AL$555),0))</f>
        <v>3.44</v>
      </c>
      <c r="L38" cm="1">
        <f t="array" ref="L38">INDEX(DataAll!$AJ$2:$AJ$555,MATCH(LOWER(Data!A38),LOWER(DataAll!$AI$2:$AI$555),0))</f>
        <v>20.83</v>
      </c>
      <c r="M38" cm="1">
        <f t="array" ref="M38">INDEX(DataAll!$AP$2:$AP$555,MATCH(LOWER(Data!A38),LOWER(DataAll!$AO$2:$AO$555),0))</f>
        <v>70.349999999999994</v>
      </c>
      <c r="N38" cm="1">
        <f t="array" ref="N38">INDEX(DataAll!$AQ$2:$AQ$555,MATCH(LOWER(Data!A38),LOWER(DataAll!$AO$2:$AO$555),0))</f>
        <v>74.36</v>
      </c>
      <c r="O38" cm="1">
        <f t="array" ref="O38">INDEX(DataAll!$AT$2:$AT$555,MATCH(LOWER(Data!A38),LOWER(DataAll!$AS$2:$AS$555),0))</f>
        <v>10.65</v>
      </c>
      <c r="P38" cm="1">
        <f t="array" ref="P38">INDEX(DataAll!$AU$2:$AU$555,MATCH(LOWER(Data!A38),LOWER(DataAll!$AS$2:$AS$555),0))</f>
        <v>10.14</v>
      </c>
      <c r="Q38" cm="1">
        <f t="array" ref="Q38">INDEX(DataAll!$AX$2:$AX$556,MATCH(LOWER(Data!A38),LOWER(DataAll!$AW$2:$AW$556),0))</f>
        <v>56.89</v>
      </c>
      <c r="R38" cm="1">
        <f t="array" ref="R38">INDEX('Longitude and Latitude'!$B$2:$B$579,MATCH(LOWER(Data!A38),LOWER('Longitude and Latitude'!$A$2:$A$579),0))</f>
        <v>3.4201801999999999</v>
      </c>
      <c r="S38" cm="1">
        <f t="array" ref="S38">INDEX('Longitude and Latitude'!$C$2:$C$579,MATCH(LOWER(Data!A38),LOWER('Longitude and Latitude'!$A$2:$A$579),0))</f>
        <v>98.704075000000003</v>
      </c>
      <c r="T38" t="b">
        <f>IF(EXACT(A38, UPPER(A38)), TRUE, FALSE)</f>
        <v>0</v>
      </c>
    </row>
    <row r="39" spans="1:20" x14ac:dyDescent="0.35">
      <c r="A39" t="s">
        <v>40</v>
      </c>
      <c r="B39">
        <v>88.77</v>
      </c>
      <c r="C39" cm="1">
        <f t="array" ref="C39">INDEX(DataAll!$E$2:$E$555,MATCH(LOWER(Data!A39),LOWER(DataAll!$D$2:$D$555),0))</f>
        <v>67.16</v>
      </c>
      <c r="D39" cm="1">
        <f t="array" ref="D39">INDEX(DataAll!$H$2:$H$579,MATCH(LOWER(Data!A39),LOWER(DataAll!$G$2:$G$555),0))</f>
        <v>0.23100000000000001</v>
      </c>
      <c r="E39" cm="1">
        <f t="array" ref="E39">INDEX(DataAll!$K$2:$K$579,MATCH(LOWER(Data!A39),LOWER(DataAll!$J$2:$J$555),0))</f>
        <v>16</v>
      </c>
      <c r="F39" cm="1">
        <f t="array" ref="F39">INDEX(DataAll!$N$2:$N$555,MATCH(LOWER(Data!A39),LOWER(DataAll!$M$2:$M$555),0))</f>
        <v>59.69</v>
      </c>
      <c r="G39" cm="1">
        <f t="array" ref="G39">INDEX(DataAll!$Q$2:$Q$555,MATCH(LOWER(Data!A39),LOWER(DataAll!$P$2:$P$555),0))</f>
        <v>10.75</v>
      </c>
      <c r="H39" cm="1">
        <f t="array" ref="H39">INDEX(DataAll!$T$2:$T$555,MATCH(LOWER(Data!A39),LOWER(DataAll!$S$2:$S$555),0))</f>
        <v>0.215</v>
      </c>
      <c r="I39" cm="1">
        <f t="array" ref="I39">INDEX(DataAll!$W$2:$W$555,MATCH(LOWER(Data!A39),LOWER(DataAll!$V$2:$V$555),0))</f>
        <v>31.7</v>
      </c>
      <c r="J39" cm="1">
        <f t="array" ref="J39">INDEX(DataAll!$Z$2:$Z$555,MATCH(LOWER(Data!A39),LOWER(DataAll!$Y$2:$Y$555),0))</f>
        <v>2.4500000000000002</v>
      </c>
      <c r="K39" cm="1">
        <f t="array" ref="K39">INDEX(DataAll!$AM$2:$AM$555,MATCH(LOWER(Data!A39),LOWER(DataAll!$AL$2:$AL$555),0))</f>
        <v>9.23</v>
      </c>
      <c r="L39" cm="1">
        <f t="array" ref="L39">INDEX(DataAll!$AJ$2:$AJ$555,MATCH(LOWER(Data!A39),LOWER(DataAll!$AI$2:$AI$555),0))</f>
        <v>19.71</v>
      </c>
      <c r="M39" cm="1">
        <f t="array" ref="M39">INDEX(DataAll!$AP$2:$AP$555,MATCH(LOWER(Data!A39),LOWER(DataAll!$AO$2:$AO$555),0))</f>
        <v>67.709999999999994</v>
      </c>
      <c r="N39" cm="1">
        <f t="array" ref="N39">INDEX(DataAll!$AQ$2:$AQ$555,MATCH(LOWER(Data!A39),LOWER(DataAll!$AO$2:$AO$555),0))</f>
        <v>71.66</v>
      </c>
      <c r="O39" cm="1">
        <f t="array" ref="O39">INDEX(DataAll!$AT$2:$AT$555,MATCH(LOWER(Data!A39),LOWER(DataAll!$AS$2:$AS$555),0))</f>
        <v>9.0399999999999991</v>
      </c>
      <c r="P39" cm="1">
        <f t="array" ref="P39">INDEX(DataAll!$AU$2:$AU$555,MATCH(LOWER(Data!A39),LOWER(DataAll!$AS$2:$AS$555),0))</f>
        <v>8.32</v>
      </c>
      <c r="Q39" cm="1">
        <f t="array" ref="Q39">INDEX(DataAll!$AX$2:$AX$556,MATCH(LOWER(Data!A39),LOWER(DataAll!$AW$2:$AW$556),0))</f>
        <v>40.619999999999997</v>
      </c>
      <c r="R39" cm="1">
        <f t="array" ref="R39">INDEX('Longitude and Latitude'!$B$2:$B$579,MATCH(LOWER(Data!A39),LOWER('Longitude and Latitude'!$A$2:$A$579),0))</f>
        <v>3.8653916000000001</v>
      </c>
      <c r="S39" cm="1">
        <f t="array" ref="S39">INDEX('Longitude and Latitude'!$C$2:$C$579,MATCH(LOWER(Data!A39),LOWER('Longitude and Latitude'!$A$2:$A$579),0))</f>
        <v>98.308844100000002</v>
      </c>
      <c r="T39" t="b">
        <f>IF(EXACT(A39, UPPER(A39)), TRUE, FALSE)</f>
        <v>0</v>
      </c>
    </row>
    <row r="40" spans="1:20" x14ac:dyDescent="0.35">
      <c r="A40" t="s">
        <v>41</v>
      </c>
      <c r="B40">
        <v>89.68</v>
      </c>
      <c r="C40" cm="1">
        <f t="array" ref="C40">INDEX(DataAll!$E$2:$E$555,MATCH(LOWER(Data!A40),LOWER(DataAll!$D$2:$D$555),0))</f>
        <v>69.45</v>
      </c>
      <c r="D40" cm="1">
        <f t="array" ref="D40">INDEX(DataAll!$H$2:$H$579,MATCH(LOWER(Data!A40),LOWER(DataAll!$G$2:$G$555),0))</f>
        <v>0.56499999999999995</v>
      </c>
      <c r="E40" cm="1">
        <f t="array" ref="E40">INDEX(DataAll!$K$2:$K$579,MATCH(LOWER(Data!A40),LOWER(DataAll!$J$2:$J$555),0))</f>
        <v>17.649999999999999</v>
      </c>
      <c r="F40" cm="1">
        <f t="array" ref="F40">INDEX(DataAll!$N$2:$N$555,MATCH(LOWER(Data!A40),LOWER(DataAll!$M$2:$M$555),0))</f>
        <v>43.28</v>
      </c>
      <c r="G40" cm="1">
        <f t="array" ref="G40">INDEX(DataAll!$Q$2:$Q$555,MATCH(LOWER(Data!A40),LOWER(DataAll!$P$2:$P$555),0))</f>
        <v>13.45</v>
      </c>
      <c r="H40" cm="1">
        <f t="array" ref="H40">INDEX(DataAll!$T$2:$T$555,MATCH(LOWER(Data!A40),LOWER(DataAll!$S$2:$S$555),0))</f>
        <v>0.26600000000000001</v>
      </c>
      <c r="I40" cm="1">
        <f t="array" ref="I40">INDEX(DataAll!$W$2:$W$555,MATCH(LOWER(Data!A40),LOWER(DataAll!$V$2:$V$555),0))</f>
        <v>35.57</v>
      </c>
      <c r="J40" cm="1">
        <f t="array" ref="J40">INDEX(DataAll!$Z$2:$Z$555,MATCH(LOWER(Data!A40),LOWER(DataAll!$Y$2:$Y$555),0))</f>
        <v>3.18</v>
      </c>
      <c r="K40" cm="1">
        <f t="array" ref="K40">INDEX(DataAll!$AM$2:$AM$555,MATCH(LOWER(Data!A40),LOWER(DataAll!$AL$2:$AL$555),0))</f>
        <v>16.39</v>
      </c>
      <c r="L40" cm="1">
        <f t="array" ref="L40">INDEX(DataAll!$AJ$2:$AJ$555,MATCH(LOWER(Data!A40),LOWER(DataAll!$AI$2:$AI$555),0))</f>
        <v>31.63</v>
      </c>
      <c r="M40" cm="1">
        <f t="array" ref="M40">INDEX(DataAll!$AP$2:$AP$555,MATCH(LOWER(Data!A40),LOWER(DataAll!$AO$2:$AO$555),0))</f>
        <v>67.650000000000006</v>
      </c>
      <c r="N40" cm="1">
        <f t="array" ref="N40">INDEX(DataAll!$AQ$2:$AQ$555,MATCH(LOWER(Data!A40),LOWER(DataAll!$AO$2:$AO$555),0))</f>
        <v>71.599999999999994</v>
      </c>
      <c r="O40" cm="1">
        <f t="array" ref="O40">INDEX(DataAll!$AT$2:$AT$555,MATCH(LOWER(Data!A40),LOWER(DataAll!$AS$2:$AS$555),0))</f>
        <v>7.26</v>
      </c>
      <c r="P40" cm="1">
        <f t="array" ref="P40">INDEX(DataAll!$AU$2:$AU$555,MATCH(LOWER(Data!A40),LOWER(DataAll!$AS$2:$AS$555),0))</f>
        <v>5.72</v>
      </c>
      <c r="Q40" cm="1">
        <f t="array" ref="Q40">INDEX(DataAll!$AX$2:$AX$556,MATCH(LOWER(Data!A40),LOWER(DataAll!$AW$2:$AW$556),0))</f>
        <v>27.19</v>
      </c>
      <c r="R40" cm="1">
        <f t="array" ref="R40">INDEX('Longitude and Latitude'!$B$2:$B$579,MATCH(LOWER(Data!A40),LOWER('Longitude and Latitude'!$A$2:$A$579),0))</f>
        <v>0.70860909999999999</v>
      </c>
      <c r="S40" cm="1">
        <f t="array" ref="S40">INDEX('Longitude and Latitude'!$C$2:$C$579,MATCH(LOWER(Data!A40),LOWER('Longitude and Latitude'!$A$2:$A$579),0))</f>
        <v>97.828636799999998</v>
      </c>
      <c r="T40" t="b">
        <f>IF(EXACT(A40, UPPER(A40)), TRUE, FALSE)</f>
        <v>0</v>
      </c>
    </row>
    <row r="41" spans="1:20" x14ac:dyDescent="0.35">
      <c r="A41" t="s">
        <v>42</v>
      </c>
      <c r="B41">
        <v>97.45</v>
      </c>
      <c r="C41" cm="1">
        <f t="array" ref="C41">INDEX(DataAll!$E$2:$E$555,MATCH(LOWER(Data!A41),LOWER(DataAll!$D$2:$D$555),0))</f>
        <v>70.849999999999994</v>
      </c>
      <c r="D41" cm="1">
        <f t="array" ref="D41">INDEX(DataAll!$H$2:$H$579,MATCH(LOWER(Data!A41),LOWER(DataAll!$G$2:$G$555),0))</f>
        <v>0.29099999999999998</v>
      </c>
      <c r="E41" cm="1">
        <f t="array" ref="E41">INDEX(DataAll!$K$2:$K$579,MATCH(LOWER(Data!A41),LOWER(DataAll!$J$2:$J$555),0))</f>
        <v>16</v>
      </c>
      <c r="F41" cm="1">
        <f t="array" ref="F41">INDEX(DataAll!$N$2:$N$555,MATCH(LOWER(Data!A41),LOWER(DataAll!$M$2:$M$555),0))</f>
        <v>64.11</v>
      </c>
      <c r="G41" cm="1">
        <f t="array" ref="G41">INDEX(DataAll!$Q$2:$Q$555,MATCH(LOWER(Data!A41),LOWER(DataAll!$P$2:$P$555),0))</f>
        <v>5.82</v>
      </c>
      <c r="H41" cm="1">
        <f t="array" ref="H41">INDEX(DataAll!$T$2:$T$555,MATCH(LOWER(Data!A41),LOWER(DataAll!$S$2:$S$555),0))</f>
        <v>4.3999999999999997E-2</v>
      </c>
      <c r="I41" cm="1">
        <f t="array" ref="I41">INDEX(DataAll!$W$2:$W$555,MATCH(LOWER(Data!A41),LOWER(DataAll!$V$2:$V$555),0))</f>
        <v>50.14</v>
      </c>
      <c r="J41" cm="1">
        <f t="array" ref="J41">INDEX(DataAll!$Z$2:$Z$555,MATCH(LOWER(Data!A41),LOWER(DataAll!$Y$2:$Y$555),0))</f>
        <v>3.17</v>
      </c>
      <c r="K41" cm="1">
        <f t="array" ref="K41">INDEX(DataAll!$AM$2:$AM$555,MATCH(LOWER(Data!A41),LOWER(DataAll!$AL$2:$AL$555),0))</f>
        <v>8.69</v>
      </c>
      <c r="L41" cm="1">
        <f t="array" ref="L41">INDEX(DataAll!$AJ$2:$AJ$555,MATCH(LOWER(Data!A41),LOWER(DataAll!$AI$2:$AI$555),0))</f>
        <v>19.850000000000001</v>
      </c>
      <c r="M41" cm="1">
        <f t="array" ref="M41">INDEX(DataAll!$AP$2:$AP$555,MATCH(LOWER(Data!A41),LOWER(DataAll!$AO$2:$AO$555),0))</f>
        <v>68.349999999999994</v>
      </c>
      <c r="N41" cm="1">
        <f t="array" ref="N41">INDEX(DataAll!$AQ$2:$AQ$555,MATCH(LOWER(Data!A41),LOWER(DataAll!$AO$2:$AO$555),0))</f>
        <v>72.290000000000006</v>
      </c>
      <c r="O41" cm="1">
        <f t="array" ref="O41">INDEX(DataAll!$AT$2:$AT$555,MATCH(LOWER(Data!A41),LOWER(DataAll!$AS$2:$AS$555),0))</f>
        <v>10.45</v>
      </c>
      <c r="P41" cm="1">
        <f t="array" ref="P41">INDEX(DataAll!$AU$2:$AU$555,MATCH(LOWER(Data!A41),LOWER(DataAll!$AS$2:$AS$555),0))</f>
        <v>9.8000000000000007</v>
      </c>
      <c r="Q41" cm="1">
        <f t="array" ref="Q41">INDEX(DataAll!$AX$2:$AX$556,MATCH(LOWER(Data!A41),LOWER(DataAll!$AW$2:$AW$556),0))</f>
        <v>56.81</v>
      </c>
      <c r="R41" cm="1">
        <f t="array" ref="R41">INDEX('Longitude and Latitude'!$B$2:$B$579,MATCH(LOWER(Data!A41),LOWER('Longitude and Latitude'!$A$2:$A$579),0))</f>
        <v>2.1988508000000002</v>
      </c>
      <c r="S41" cm="1">
        <f t="array" ref="S41">INDEX('Longitude and Latitude'!$C$2:$C$579,MATCH(LOWER(Data!A41),LOWER('Longitude and Latitude'!$A$2:$A$579),0))</f>
        <v>98.572101599999996</v>
      </c>
      <c r="T41" t="b">
        <f>IF(EXACT(A41, UPPER(A41)), TRUE, FALSE)</f>
        <v>0</v>
      </c>
    </row>
    <row r="42" spans="1:20" x14ac:dyDescent="0.35">
      <c r="A42" t="s">
        <v>43</v>
      </c>
      <c r="B42">
        <v>98.99</v>
      </c>
      <c r="C42" cm="1">
        <f t="array" ref="C42">INDEX(DataAll!$E$2:$E$555,MATCH(LOWER(Data!A42),LOWER(DataAll!$D$2:$D$555),0))</f>
        <v>67.900000000000006</v>
      </c>
      <c r="D42" cm="1">
        <f t="array" ref="D42">INDEX(DataAll!$H$2:$H$579,MATCH(LOWER(Data!A42),LOWER(DataAll!$G$2:$G$555),0))</f>
        <v>0.152</v>
      </c>
      <c r="E42" cm="1">
        <f t="array" ref="E42">INDEX(DataAll!$K$2:$K$579,MATCH(LOWER(Data!A42),LOWER(DataAll!$J$2:$J$555),0))</f>
        <v>10</v>
      </c>
      <c r="F42" cm="1">
        <f t="array" ref="F42">INDEX(DataAll!$N$2:$N$555,MATCH(LOWER(Data!A42),LOWER(DataAll!$M$2:$M$555),0))</f>
        <v>52.1</v>
      </c>
      <c r="G42" cm="1">
        <f t="array" ref="G42">INDEX(DataAll!$Q$2:$Q$555,MATCH(LOWER(Data!A42),LOWER(DataAll!$P$2:$P$555),0))</f>
        <v>5.26</v>
      </c>
      <c r="H42" cm="1">
        <f t="array" ref="H42">INDEX(DataAll!$T$2:$T$555,MATCH(LOWER(Data!A42),LOWER(DataAll!$S$2:$S$555),0))</f>
        <v>8.3000000000000004E-2</v>
      </c>
      <c r="I42" cm="1">
        <f t="array" ref="I42">INDEX(DataAll!$W$2:$W$555,MATCH(LOWER(Data!A42),LOWER(DataAll!$V$2:$V$555),0))</f>
        <v>49.26</v>
      </c>
      <c r="J42" cm="1">
        <f t="array" ref="J42">INDEX(DataAll!$Z$2:$Z$555,MATCH(LOWER(Data!A42),LOWER(DataAll!$Y$2:$Y$555),0))</f>
        <v>3.26</v>
      </c>
      <c r="K42" cm="1">
        <f t="array" ref="K42">INDEX(DataAll!$AM$2:$AM$555,MATCH(LOWER(Data!A42),LOWER(DataAll!$AL$2:$AL$555),0))</f>
        <v>7.54</v>
      </c>
      <c r="L42" cm="1">
        <f t="array" ref="L42">INDEX(DataAll!$AJ$2:$AJ$555,MATCH(LOWER(Data!A42),LOWER(DataAll!$AI$2:$AI$555),0))</f>
        <v>28.23</v>
      </c>
      <c r="M42" cm="1">
        <f t="array" ref="M42">INDEX(DataAll!$AP$2:$AP$555,MATCH(LOWER(Data!A42),LOWER(DataAll!$AO$2:$AO$555),0))</f>
        <v>64.98</v>
      </c>
      <c r="N42" cm="1">
        <f t="array" ref="N42">INDEX(DataAll!$AQ$2:$AQ$555,MATCH(LOWER(Data!A42),LOWER(DataAll!$AO$2:$AO$555),0))</f>
        <v>68.91</v>
      </c>
      <c r="O42" cm="1">
        <f t="array" ref="O42">INDEX(DataAll!$AT$2:$AT$555,MATCH(LOWER(Data!A42),LOWER(DataAll!$AS$2:$AS$555),0))</f>
        <v>9.9600000000000009</v>
      </c>
      <c r="P42" cm="1">
        <f t="array" ref="P42">INDEX(DataAll!$AU$2:$AU$555,MATCH(LOWER(Data!A42),LOWER(DataAll!$AS$2:$AS$555),0))</f>
        <v>9.2200000000000006</v>
      </c>
      <c r="Q42" cm="1">
        <f t="array" ref="Q42">INDEX(DataAll!$AX$2:$AX$556,MATCH(LOWER(Data!A42),LOWER(DataAll!$AW$2:$AW$556),0))</f>
        <v>47.27</v>
      </c>
      <c r="R42" cm="1">
        <f t="array" ref="R42">INDEX('Longitude and Latitude'!$B$2:$B$579,MATCH(LOWER(Data!A42),LOWER('Longitude and Latitude'!$A$2:$A$579),0))</f>
        <v>2.5457860000000001</v>
      </c>
      <c r="S42" cm="1">
        <f t="array" ref="S42">INDEX('Longitude and Latitude'!$C$2:$C$579,MATCH(LOWER(Data!A42),LOWER('Longitude and Latitude'!$A$2:$A$579),0))</f>
        <v>98.299837999999994</v>
      </c>
      <c r="T42" t="b">
        <f>IF(EXACT(A42, UPPER(A42)), TRUE, FALSE)</f>
        <v>0</v>
      </c>
    </row>
    <row r="43" spans="1:20" x14ac:dyDescent="0.35">
      <c r="A43" t="s">
        <v>44</v>
      </c>
      <c r="B43">
        <v>96.74</v>
      </c>
      <c r="C43" cm="1">
        <f t="array" ref="C43">INDEX(DataAll!$E$2:$E$555,MATCH(LOWER(Data!A43),LOWER(DataAll!$D$2:$D$555),0))</f>
        <v>80.13</v>
      </c>
      <c r="D43" cm="1">
        <f t="array" ref="D43">INDEX(DataAll!$H$2:$H$579,MATCH(LOWER(Data!A43),LOWER(DataAll!$G$2:$G$555),0))</f>
        <v>0.24399999999999999</v>
      </c>
      <c r="E43" cm="1">
        <f t="array" ref="E43">INDEX(DataAll!$K$2:$K$579,MATCH(LOWER(Data!A43),LOWER(DataAll!$J$2:$J$555),0))</f>
        <v>24</v>
      </c>
      <c r="F43" cm="1">
        <f t="array" ref="F43">INDEX(DataAll!$N$2:$N$555,MATCH(LOWER(Data!A43),LOWER(DataAll!$M$2:$M$555),0))</f>
        <v>56.12</v>
      </c>
      <c r="G43" cm="1">
        <f t="array" ref="G43">INDEX(DataAll!$Q$2:$Q$555,MATCH(LOWER(Data!A43),LOWER(DataAll!$P$2:$P$555),0))</f>
        <v>6.31</v>
      </c>
      <c r="H43" cm="1">
        <f t="array" ref="H43">INDEX(DataAll!$T$2:$T$555,MATCH(LOWER(Data!A43),LOWER(DataAll!$S$2:$S$555),0))</f>
        <v>4.2999999999999997E-2</v>
      </c>
      <c r="I43" cm="1">
        <f t="array" ref="I43">INDEX(DataAll!$W$2:$W$555,MATCH(LOWER(Data!A43),LOWER(DataAll!$V$2:$V$555),0))</f>
        <v>50.04</v>
      </c>
      <c r="J43" cm="1">
        <f t="array" ref="J43">INDEX(DataAll!$Z$2:$Z$555,MATCH(LOWER(Data!A43),LOWER(DataAll!$Y$2:$Y$555),0))</f>
        <v>2.98</v>
      </c>
      <c r="K43" cm="1">
        <f t="array" ref="K43">INDEX(DataAll!$AM$2:$AM$555,MATCH(LOWER(Data!A43),LOWER(DataAll!$AL$2:$AL$555),0))</f>
        <v>11.66</v>
      </c>
      <c r="L43" cm="1">
        <f t="array" ref="L43">INDEX(DataAll!$AJ$2:$AJ$555,MATCH(LOWER(Data!A43),LOWER(DataAll!$AI$2:$AI$555),0))</f>
        <v>19.850000000000001</v>
      </c>
      <c r="M43" cm="1">
        <f t="array" ref="M43">INDEX(DataAll!$AP$2:$AP$555,MATCH(LOWER(Data!A43),LOWER(DataAll!$AO$2:$AO$555),0))</f>
        <v>70.28</v>
      </c>
      <c r="N43" cm="1">
        <f t="array" ref="N43">INDEX(DataAll!$AQ$2:$AQ$555,MATCH(LOWER(Data!A43),LOWER(DataAll!$AO$2:$AO$555),0))</f>
        <v>74.290000000000006</v>
      </c>
      <c r="O43" cm="1">
        <f t="array" ref="O43">INDEX(DataAll!$AT$2:$AT$555,MATCH(LOWER(Data!A43),LOWER(DataAll!$AS$2:$AS$555),0))</f>
        <v>10.08</v>
      </c>
      <c r="P43" cm="1">
        <f t="array" ref="P43">INDEX(DataAll!$AU$2:$AU$555,MATCH(LOWER(Data!A43),LOWER(DataAll!$AS$2:$AS$555),0))</f>
        <v>8.85</v>
      </c>
      <c r="Q43" cm="1">
        <f t="array" ref="Q43">INDEX(DataAll!$AX$2:$AX$556,MATCH(LOWER(Data!A43),LOWER(DataAll!$AW$2:$AW$556),0))</f>
        <v>48.44</v>
      </c>
      <c r="R43" cm="1">
        <f t="array" ref="R43">INDEX('Longitude and Latitude'!$B$2:$B$579,MATCH(LOWER(Data!A43),LOWER('Longitude and Latitude'!$A$2:$A$579),0))</f>
        <v>2.5833333000000001</v>
      </c>
      <c r="S43" cm="1">
        <f t="array" ref="S43">INDEX('Longitude and Latitude'!$C$2:$C$579,MATCH(LOWER(Data!A43),LOWER('Longitude and Latitude'!$A$2:$A$579),0))</f>
        <v>98.816666699999999</v>
      </c>
      <c r="T43" t="b">
        <f>IF(EXACT(A43, UPPER(A43)), TRUE, FALSE)</f>
        <v>0</v>
      </c>
    </row>
    <row r="44" spans="1:20" x14ac:dyDescent="0.35">
      <c r="A44" t="s">
        <v>45</v>
      </c>
      <c r="B44">
        <v>88.87</v>
      </c>
      <c r="C44" cm="1">
        <f t="array" ref="C44">INDEX(DataAll!$E$2:$E$555,MATCH(LOWER(Data!A44),LOWER(DataAll!$D$2:$D$555),0))</f>
        <v>67.48</v>
      </c>
      <c r="D44" cm="1">
        <f t="array" ref="D44">INDEX(DataAll!$H$2:$H$579,MATCH(LOWER(Data!A44),LOWER(DataAll!$G$2:$G$555),0))</f>
        <v>0.434</v>
      </c>
      <c r="E44" cm="1">
        <f t="array" ref="E44">INDEX(DataAll!$K$2:$K$579,MATCH(LOWER(Data!A44),LOWER(DataAll!$J$2:$J$555),0))</f>
        <v>15.56</v>
      </c>
      <c r="F44" cm="1">
        <f t="array" ref="F44">INDEX(DataAll!$N$2:$N$555,MATCH(LOWER(Data!A44),LOWER(DataAll!$M$2:$M$555),0))</f>
        <v>49.51</v>
      </c>
      <c r="G44" cm="1">
        <f t="array" ref="G44">INDEX(DataAll!$Q$2:$Q$555,MATCH(LOWER(Data!A44),LOWER(DataAll!$P$2:$P$555),0))</f>
        <v>10.59</v>
      </c>
      <c r="H44" cm="1">
        <f t="array" ref="H44">INDEX(DataAll!$T$2:$T$555,MATCH(LOWER(Data!A44),LOWER(DataAll!$S$2:$S$555),0))</f>
        <v>0.19400000000000001</v>
      </c>
      <c r="I44" cm="1">
        <f t="array" ref="I44">INDEX(DataAll!$W$2:$W$555,MATCH(LOWER(Data!A44),LOWER(DataAll!$V$2:$V$555),0))</f>
        <v>31.05</v>
      </c>
      <c r="J44" cm="1">
        <f t="array" ref="J44">INDEX(DataAll!$Z$2:$Z$555,MATCH(LOWER(Data!A44),LOWER(DataAll!$Y$2:$Y$555),0))</f>
        <v>2.42</v>
      </c>
      <c r="K44" cm="1">
        <f t="array" ref="K44">INDEX(DataAll!$AM$2:$AM$555,MATCH(LOWER(Data!A44),LOWER(DataAll!$AL$2:$AL$555),0))</f>
        <v>7.44</v>
      </c>
      <c r="L44" cm="1">
        <f t="array" ref="L44">INDEX(DataAll!$AJ$2:$AJ$555,MATCH(LOWER(Data!A44),LOWER(DataAll!$AI$2:$AI$555),0))</f>
        <v>24.89</v>
      </c>
      <c r="M44" cm="1">
        <f t="array" ref="M44">INDEX(DataAll!$AP$2:$AP$555,MATCH(LOWER(Data!A44),LOWER(DataAll!$AO$2:$AO$555),0))</f>
        <v>67.66</v>
      </c>
      <c r="N44" cm="1">
        <f t="array" ref="N44">INDEX(DataAll!$AQ$2:$AQ$555,MATCH(LOWER(Data!A44),LOWER(DataAll!$AO$2:$AO$555),0))</f>
        <v>71.62</v>
      </c>
      <c r="O44" cm="1">
        <f t="array" ref="O44">INDEX(DataAll!$AT$2:$AT$555,MATCH(LOWER(Data!A44),LOWER(DataAll!$AS$2:$AS$555),0))</f>
        <v>9.09</v>
      </c>
      <c r="P44" cm="1">
        <f t="array" ref="P44">INDEX(DataAll!$AU$2:$AU$555,MATCH(LOWER(Data!A44),LOWER(DataAll!$AS$2:$AS$555),0))</f>
        <v>8.6199999999999992</v>
      </c>
      <c r="Q44" cm="1">
        <f t="array" ref="Q44">INDEX(DataAll!$AX$2:$AX$556,MATCH(LOWER(Data!A44),LOWER(DataAll!$AW$2:$AW$556),0))</f>
        <v>40.869999999999997</v>
      </c>
      <c r="R44" cm="1">
        <f t="array" ref="R44">INDEX('Longitude and Latitude'!$B$2:$B$579,MATCH(LOWER(Data!A44),LOWER('Longitude and Latitude'!$A$2:$A$579),0))</f>
        <v>3.3371694000000001</v>
      </c>
      <c r="S44" cm="1">
        <f t="array" ref="S44">INDEX('Longitude and Latitude'!$C$2:$C$579,MATCH(LOWER(Data!A44),LOWER('Longitude and Latitude'!$A$2:$A$579),0))</f>
        <v>99.057108900000003</v>
      </c>
      <c r="T44" t="b">
        <f>IF(EXACT(A44, UPPER(A44)), TRUE, FALSE)</f>
        <v>0</v>
      </c>
    </row>
    <row r="45" spans="1:20" x14ac:dyDescent="0.35">
      <c r="A45" t="s">
        <v>46</v>
      </c>
      <c r="B45">
        <v>83.76</v>
      </c>
      <c r="C45" cm="1">
        <f t="array" ref="C45">INDEX(DataAll!$E$2:$E$555,MATCH(LOWER(Data!A45),LOWER(DataAll!$D$2:$D$555),0))</f>
        <v>66.23</v>
      </c>
      <c r="D45" cm="1">
        <f t="array" ref="D45">INDEX(DataAll!$H$2:$H$579,MATCH(LOWER(Data!A45),LOWER(DataAll!$G$2:$G$555),0))</f>
        <v>0.44600000000000001</v>
      </c>
      <c r="E45" cm="1">
        <f t="array" ref="E45">INDEX(DataAll!$K$2:$K$579,MATCH(LOWER(Data!A45),LOWER(DataAll!$J$2:$J$555),0))</f>
        <v>11.43</v>
      </c>
      <c r="F45" cm="1">
        <f t="array" ref="F45">INDEX(DataAll!$N$2:$N$555,MATCH(LOWER(Data!A45),LOWER(DataAll!$M$2:$M$555),0))</f>
        <v>57.67</v>
      </c>
      <c r="G45" cm="1">
        <f t="array" ref="G45">INDEX(DataAll!$Q$2:$Q$555,MATCH(LOWER(Data!A45),LOWER(DataAll!$P$2:$P$555),0))</f>
        <v>8.44</v>
      </c>
      <c r="H45" cm="1">
        <f t="array" ref="H45">INDEX(DataAll!$T$2:$T$555,MATCH(LOWER(Data!A45),LOWER(DataAll!$S$2:$S$555),0))</f>
        <v>0.20499999999999999</v>
      </c>
      <c r="I45" cm="1">
        <f t="array" ref="I45">INDEX(DataAll!$W$2:$W$555,MATCH(LOWER(Data!A45),LOWER(DataAll!$V$2:$V$555),0))</f>
        <v>37.729999999999997</v>
      </c>
      <c r="J45" cm="1">
        <f t="array" ref="J45">INDEX(DataAll!$Z$2:$Z$555,MATCH(LOWER(Data!A45),LOWER(DataAll!$Y$2:$Y$555),0))</f>
        <v>2.5499999999999998</v>
      </c>
      <c r="K45" cm="1">
        <f t="array" ref="K45">INDEX(DataAll!$AM$2:$AM$555,MATCH(LOWER(Data!A45),LOWER(DataAll!$AL$2:$AL$555),0))</f>
        <v>11.38</v>
      </c>
      <c r="L45" cm="1">
        <f t="array" ref="L45">INDEX(DataAll!$AJ$2:$AJ$555,MATCH(LOWER(Data!A45),LOWER(DataAll!$AI$2:$AI$555),0))</f>
        <v>27.3</v>
      </c>
      <c r="M45" cm="1">
        <f t="array" ref="M45">INDEX(DataAll!$AP$2:$AP$555,MATCH(LOWER(Data!A45),LOWER(DataAll!$AO$2:$AO$555),0))</f>
        <v>65.94</v>
      </c>
      <c r="N45" cm="1">
        <f t="array" ref="N45">INDEX(DataAll!$AQ$2:$AQ$555,MATCH(LOWER(Data!A45),LOWER(DataAll!$AO$2:$AO$555),0))</f>
        <v>69.930000000000007</v>
      </c>
      <c r="O45" cm="1">
        <f t="array" ref="O45">INDEX(DataAll!$AT$2:$AT$555,MATCH(LOWER(Data!A45),LOWER(DataAll!$AS$2:$AS$555),0))</f>
        <v>8.74</v>
      </c>
      <c r="P45" cm="1">
        <f t="array" ref="P45">INDEX(DataAll!$AU$2:$AU$555,MATCH(LOWER(Data!A45),LOWER(DataAll!$AS$2:$AS$555),0))</f>
        <v>8.42</v>
      </c>
      <c r="Q45" cm="1">
        <f t="array" ref="Q45">INDEX(DataAll!$AX$2:$AX$556,MATCH(LOWER(Data!A45),LOWER(DataAll!$AW$2:$AW$556),0))</f>
        <v>39.75</v>
      </c>
      <c r="R45" cm="1">
        <f t="array" ref="R45">INDEX('Longitude and Latitude'!$B$2:$B$579,MATCH(LOWER(Data!A45),LOWER('Longitude and Latitude'!$A$2:$A$579),0))</f>
        <v>3.1740979</v>
      </c>
      <c r="S45" cm="1">
        <f t="array" ref="S45">INDEX('Longitude and Latitude'!$C$2:$C$579,MATCH(LOWER(Data!A45),LOWER('Longitude and Latitude'!$A$2:$A$579),0))</f>
        <v>99.500614299999995</v>
      </c>
      <c r="T45" t="b">
        <f>IF(EXACT(A45, UPPER(A45)), TRUE, FALSE)</f>
        <v>0</v>
      </c>
    </row>
    <row r="46" spans="1:20" x14ac:dyDescent="0.35">
      <c r="A46" t="s">
        <v>47</v>
      </c>
      <c r="B46">
        <v>88.26</v>
      </c>
      <c r="C46" cm="1">
        <f t="array" ref="C46">INDEX(DataAll!$E$2:$E$555,MATCH(LOWER(Data!A46),LOWER(DataAll!$D$2:$D$555),0))</f>
        <v>67.41</v>
      </c>
      <c r="D46" cm="1">
        <f t="array" ref="D46">INDEX(DataAll!$H$2:$H$579,MATCH(LOWER(Data!A46),LOWER(DataAll!$G$2:$G$555),0))</f>
        <v>0.55500000000000005</v>
      </c>
      <c r="E46" cm="1">
        <f t="array" ref="E46">INDEX(DataAll!$K$2:$K$579,MATCH(LOWER(Data!A46),LOWER(DataAll!$J$2:$J$555),0))</f>
        <v>10</v>
      </c>
      <c r="F46" cm="1">
        <f t="array" ref="F46">INDEX(DataAll!$N$2:$N$555,MATCH(LOWER(Data!A46),LOWER(DataAll!$M$2:$M$555),0))</f>
        <v>60.06</v>
      </c>
      <c r="G46" cm="1">
        <f t="array" ref="G46">INDEX(DataAll!$Q$2:$Q$555,MATCH(LOWER(Data!A46),LOWER(DataAll!$P$2:$P$555),0))</f>
        <v>6.09</v>
      </c>
      <c r="H46" cm="1">
        <f t="array" ref="H46">INDEX(DataAll!$T$2:$T$555,MATCH(LOWER(Data!A46),LOWER(DataAll!$S$2:$S$555),0))</f>
        <v>0.24</v>
      </c>
      <c r="I46" cm="1">
        <f t="array" ref="I46">INDEX(DataAll!$W$2:$W$555,MATCH(LOWER(Data!A46),LOWER(DataAll!$V$2:$V$555),0))</f>
        <v>45.31</v>
      </c>
      <c r="J46" cm="1">
        <f t="array" ref="J46">INDEX(DataAll!$Z$2:$Z$555,MATCH(LOWER(Data!A46),LOWER(DataAll!$Y$2:$Y$555),0))</f>
        <v>3.07</v>
      </c>
      <c r="K46" cm="1">
        <f t="array" ref="K46">INDEX(DataAll!$AM$2:$AM$555,MATCH(LOWER(Data!A46),LOWER(DataAll!$AL$2:$AL$555),0))</f>
        <v>8.7899999999999991</v>
      </c>
      <c r="L46" cm="1">
        <f t="array" ref="L46">INDEX(DataAll!$AJ$2:$AJ$555,MATCH(LOWER(Data!A46),LOWER(DataAll!$AI$2:$AI$555),0))</f>
        <v>30.14</v>
      </c>
      <c r="M46" cm="1">
        <f t="array" ref="M46">INDEX(DataAll!$AP$2:$AP$555,MATCH(LOWER(Data!A46),LOWER(DataAll!$AO$2:$AO$555),0))</f>
        <v>65.87</v>
      </c>
      <c r="N46" cm="1">
        <f t="array" ref="N46">INDEX(DataAll!$AQ$2:$AQ$555,MATCH(LOWER(Data!A46),LOWER(DataAll!$AO$2:$AO$555),0))</f>
        <v>69.86</v>
      </c>
      <c r="O46" cm="1">
        <f t="array" ref="O46">INDEX(DataAll!$AT$2:$AT$555,MATCH(LOWER(Data!A46),LOWER(DataAll!$AS$2:$AS$555),0))</f>
        <v>9.7100000000000009</v>
      </c>
      <c r="P46" cm="1">
        <f t="array" ref="P46">INDEX(DataAll!$AU$2:$AU$555,MATCH(LOWER(Data!A46),LOWER(DataAll!$AS$2:$AS$555),0))</f>
        <v>9.43</v>
      </c>
      <c r="Q46" cm="1">
        <f t="array" ref="Q46">INDEX(DataAll!$AX$2:$AX$556,MATCH(LOWER(Data!A46),LOWER(DataAll!$AW$2:$AW$556),0))</f>
        <v>43.8</v>
      </c>
      <c r="R46" cm="1">
        <f t="array" ref="R46">INDEX('Longitude and Latitude'!$B$2:$B$579,MATCH(LOWER(Data!A46),LOWER('Longitude and Latitude'!$A$2:$A$579),0))</f>
        <v>1.5758643999999999</v>
      </c>
      <c r="S46" cm="1">
        <f t="array" ref="S46">INDEX('Longitude and Latitude'!$C$2:$C$579,MATCH(LOWER(Data!A46),LOWER('Longitude and Latitude'!$A$2:$A$579),0))</f>
        <v>99.634135000000001</v>
      </c>
      <c r="T46" t="b">
        <f>IF(EXACT(A46, UPPER(A46)), TRUE, FALSE)</f>
        <v>0</v>
      </c>
    </row>
    <row r="47" spans="1:20" x14ac:dyDescent="0.35">
      <c r="A47" t="s">
        <v>48</v>
      </c>
      <c r="B47">
        <v>86.56</v>
      </c>
      <c r="C47" cm="1">
        <f t="array" ref="C47">INDEX(DataAll!$E$2:$E$555,MATCH(LOWER(Data!A47),LOWER(DataAll!$D$2:$D$555),0))</f>
        <v>58.95</v>
      </c>
      <c r="D47" cm="1">
        <f t="array" ref="D47">INDEX(DataAll!$H$2:$H$579,MATCH(LOWER(Data!A47),LOWER(DataAll!$G$2:$G$555),0))</f>
        <v>0.58499999999999996</v>
      </c>
      <c r="E47" cm="1">
        <f t="array" ref="E47">INDEX(DataAll!$K$2:$K$579,MATCH(LOWER(Data!A47),LOWER(DataAll!$J$2:$J$555),0))</f>
        <v>3.33</v>
      </c>
      <c r="F47" cm="1">
        <f t="array" ref="F47">INDEX(DataAll!$N$2:$N$555,MATCH(LOWER(Data!A47),LOWER(DataAll!$M$2:$M$555),0))</f>
        <v>52.19</v>
      </c>
      <c r="G47" cm="1">
        <f t="array" ref="G47">INDEX(DataAll!$Q$2:$Q$555,MATCH(LOWER(Data!A47),LOWER(DataAll!$P$2:$P$555),0))</f>
        <v>5.26</v>
      </c>
      <c r="H47" cm="1">
        <f t="array" ref="H47">INDEX(DataAll!$T$2:$T$555,MATCH(LOWER(Data!A47),LOWER(DataAll!$S$2:$S$555),0))</f>
        <v>0.26900000000000002</v>
      </c>
      <c r="I47" cm="1">
        <f t="array" ref="I47">INDEX(DataAll!$W$2:$W$555,MATCH(LOWER(Data!A47),LOWER(DataAll!$V$2:$V$555),0))</f>
        <v>40.39</v>
      </c>
      <c r="J47" cm="1">
        <f t="array" ref="J47">INDEX(DataAll!$Z$2:$Z$555,MATCH(LOWER(Data!A47),LOWER(DataAll!$Y$2:$Y$555),0))</f>
        <v>3.19</v>
      </c>
      <c r="K47" cm="1">
        <f t="array" ref="K47">INDEX(DataAll!$AM$2:$AM$555,MATCH(LOWER(Data!A47),LOWER(DataAll!$AL$2:$AL$555),0))</f>
        <v>7.89</v>
      </c>
      <c r="L47" cm="1">
        <f t="array" ref="L47">INDEX(DataAll!$AJ$2:$AJ$555,MATCH(LOWER(Data!A47),LOWER(DataAll!$AI$2:$AI$555),0))</f>
        <v>30.4</v>
      </c>
      <c r="M47" cm="1">
        <f t="array" ref="M47">INDEX(DataAll!$AP$2:$AP$555,MATCH(LOWER(Data!A47),LOWER(DataAll!$AO$2:$AO$555),0))</f>
        <v>65.77</v>
      </c>
      <c r="N47" cm="1">
        <f t="array" ref="N47">INDEX(DataAll!$AQ$2:$AQ$555,MATCH(LOWER(Data!A47),LOWER(DataAll!$AO$2:$AO$555),0))</f>
        <v>69.739999999999995</v>
      </c>
      <c r="O47" cm="1">
        <f t="array" ref="O47">INDEX(DataAll!$AT$2:$AT$555,MATCH(LOWER(Data!A47),LOWER(DataAll!$AS$2:$AS$555),0))</f>
        <v>9.52</v>
      </c>
      <c r="P47" cm="1">
        <f t="array" ref="P47">INDEX(DataAll!$AU$2:$AU$555,MATCH(LOWER(Data!A47),LOWER(DataAll!$AS$2:$AS$555),0))</f>
        <v>9.31</v>
      </c>
      <c r="Q47" cm="1">
        <f t="array" ref="Q47">INDEX(DataAll!$AX$2:$AX$556,MATCH(LOWER(Data!A47),LOWER(DataAll!$AW$2:$AW$556),0))</f>
        <v>42.81</v>
      </c>
      <c r="R47" cm="1">
        <f t="array" ref="R47">INDEX('Longitude and Latitude'!$B$2:$B$579,MATCH(LOWER(Data!A47),LOWER('Longitude and Latitude'!$A$2:$A$579),0))</f>
        <v>1.1186977</v>
      </c>
      <c r="S47" cm="1">
        <f t="array" ref="S47">INDEX('Longitude and Latitude'!$C$2:$C$579,MATCH(LOWER(Data!A47),LOWER('Longitude and Latitude'!$A$2:$A$579),0))</f>
        <v>99.812493500000002</v>
      </c>
      <c r="T47" t="b">
        <f>IF(EXACT(A47, UPPER(A47)), TRUE, FALSE)</f>
        <v>0</v>
      </c>
    </row>
    <row r="48" spans="1:20" x14ac:dyDescent="0.35">
      <c r="A48" t="s">
        <v>49</v>
      </c>
      <c r="B48">
        <v>88.34</v>
      </c>
      <c r="C48" cm="1">
        <f t="array" ref="C48">INDEX(DataAll!$E$2:$E$555,MATCH(LOWER(Data!A48),LOWER(DataAll!$D$2:$D$555),0))</f>
        <v>61.03</v>
      </c>
      <c r="D48" cm="1">
        <f t="array" ref="D48">INDEX(DataAll!$H$2:$H$579,MATCH(LOWER(Data!A48),LOWER(DataAll!$G$2:$G$555),0))</f>
        <v>0.5</v>
      </c>
      <c r="E48" cm="1">
        <f t="array" ref="E48">INDEX(DataAll!$K$2:$K$579,MATCH(LOWER(Data!A48),LOWER(DataAll!$J$2:$J$555),0))</f>
        <v>14.29</v>
      </c>
      <c r="F48" cm="1">
        <f t="array" ref="F48">INDEX(DataAll!$N$2:$N$555,MATCH(LOWER(Data!A48),LOWER(DataAll!$M$2:$M$555),0))</f>
        <v>70.86</v>
      </c>
      <c r="G48" cm="1">
        <f t="array" ref="G48">INDEX(DataAll!$Q$2:$Q$555,MATCH(LOWER(Data!A48),LOWER(DataAll!$P$2:$P$555),0))</f>
        <v>5.33</v>
      </c>
      <c r="H48" cm="1">
        <f t="array" ref="H48">INDEX(DataAll!$T$2:$T$555,MATCH(LOWER(Data!A48),LOWER(DataAll!$S$2:$S$555),0))</f>
        <v>0.223</v>
      </c>
      <c r="I48" cm="1">
        <f t="array" ref="I48">INDEX(DataAll!$W$2:$W$555,MATCH(LOWER(Data!A48),LOWER(DataAll!$V$2:$V$555),0))</f>
        <v>32.369999999999997</v>
      </c>
      <c r="J48" cm="1">
        <f t="array" ref="J48">INDEX(DataAll!$Z$2:$Z$555,MATCH(LOWER(Data!A48),LOWER(DataAll!$Y$2:$Y$555),0))</f>
        <v>2.76</v>
      </c>
      <c r="K48" cm="1">
        <f t="array" ref="K48">INDEX(DataAll!$AM$2:$AM$555,MATCH(LOWER(Data!A48),LOWER(DataAll!$AL$2:$AL$555),0))</f>
        <v>8.06</v>
      </c>
      <c r="L48" cm="1">
        <f t="array" ref="L48">INDEX(DataAll!$AJ$2:$AJ$555,MATCH(LOWER(Data!A48),LOWER(DataAll!$AI$2:$AI$555),0))</f>
        <v>26.84</v>
      </c>
      <c r="M48" cm="1">
        <f t="array" ref="M48">INDEX(DataAll!$AP$2:$AP$555,MATCH(LOWER(Data!A48),LOWER(DataAll!$AO$2:$AO$555),0))</f>
        <v>67.61</v>
      </c>
      <c r="N48" cm="1">
        <f t="array" ref="N48">INDEX(DataAll!$AQ$2:$AQ$555,MATCH(LOWER(Data!A48),LOWER(DataAll!$AO$2:$AO$555),0))</f>
        <v>71.569999999999993</v>
      </c>
      <c r="O48" cm="1">
        <f t="array" ref="O48">INDEX(DataAll!$AT$2:$AT$555,MATCH(LOWER(Data!A48),LOWER(DataAll!$AS$2:$AS$555),0))</f>
        <v>9.44</v>
      </c>
      <c r="P48" cm="1">
        <f t="array" ref="P48">INDEX(DataAll!$AU$2:$AU$555,MATCH(LOWER(Data!A48),LOWER(DataAll!$AS$2:$AS$555),0))</f>
        <v>8.82</v>
      </c>
      <c r="Q48" cm="1">
        <f t="array" ref="Q48">INDEX(DataAll!$AX$2:$AX$556,MATCH(LOWER(Data!A48),LOWER(DataAll!$AW$2:$AW$556),0))</f>
        <v>41.93</v>
      </c>
      <c r="R48" cm="1">
        <f t="array" ref="R48">INDEX('Longitude and Latitude'!$B$2:$B$579,MATCH(LOWER(Data!A48),LOWER('Longitude and Latitude'!$A$2:$A$579),0))</f>
        <v>1.8799353000000001</v>
      </c>
      <c r="S48" cm="1">
        <f t="array" ref="S48">INDEX('Longitude and Latitude'!$C$2:$C$579,MATCH(LOWER(Data!A48),LOWER('Longitude and Latitude'!$A$2:$A$579),0))</f>
        <v>100.17032570000001</v>
      </c>
      <c r="T48" t="b">
        <f>IF(EXACT(A48, UPPER(A48)), TRUE, FALSE)</f>
        <v>0</v>
      </c>
    </row>
    <row r="49" spans="1:20" x14ac:dyDescent="0.35">
      <c r="A49" t="s">
        <v>50</v>
      </c>
      <c r="B49">
        <v>90.43</v>
      </c>
      <c r="C49" cm="1">
        <f t="array" ref="C49">INDEX(DataAll!$E$2:$E$555,MATCH(LOWER(Data!A49),LOWER(DataAll!$D$2:$D$555),0))</f>
        <v>45.52</v>
      </c>
      <c r="D49" cm="1">
        <f t="array" ref="D49">INDEX(DataAll!$H$2:$H$579,MATCH(LOWER(Data!A49),LOWER(DataAll!$G$2:$G$555),0))</f>
        <v>0.56100000000000005</v>
      </c>
      <c r="E49" cm="1">
        <f t="array" ref="E49">INDEX(DataAll!$K$2:$K$579,MATCH(LOWER(Data!A49),LOWER(DataAll!$J$2:$J$555),0))</f>
        <v>2.86</v>
      </c>
      <c r="F49" cm="1">
        <f t="array" ref="F49">INDEX(DataAll!$N$2:$N$555,MATCH(LOWER(Data!A49),LOWER(DataAll!$M$2:$M$555),0))</f>
        <v>64.760000000000005</v>
      </c>
      <c r="G49" cm="1">
        <f t="array" ref="G49">INDEX(DataAll!$Q$2:$Q$555,MATCH(LOWER(Data!A49),LOWER(DataAll!$P$2:$P$555),0))</f>
        <v>7.69</v>
      </c>
      <c r="H49" cm="1">
        <f t="array" ref="H49">INDEX(DataAll!$T$2:$T$555,MATCH(LOWER(Data!A49),LOWER(DataAll!$S$2:$S$555),0))</f>
        <v>0.17499999999999999</v>
      </c>
      <c r="I49" cm="1">
        <f t="array" ref="I49">INDEX(DataAll!$W$2:$W$555,MATCH(LOWER(Data!A49),LOWER(DataAll!$V$2:$V$555),0))</f>
        <v>25.61</v>
      </c>
      <c r="J49" cm="1">
        <f t="array" ref="J49">INDEX(DataAll!$Z$2:$Z$555,MATCH(LOWER(Data!A49),LOWER(DataAll!$Y$2:$Y$555),0))</f>
        <v>2.67</v>
      </c>
      <c r="K49" cm="1">
        <f t="array" ref="K49">INDEX(DataAll!$AM$2:$AM$555,MATCH(LOWER(Data!A49),LOWER(DataAll!$AL$2:$AL$555),0))</f>
        <v>9.08</v>
      </c>
      <c r="L49" cm="1">
        <f t="array" ref="L49">INDEX(DataAll!$AJ$2:$AJ$555,MATCH(LOWER(Data!A49),LOWER(DataAll!$AI$2:$AI$555),0))</f>
        <v>19.46</v>
      </c>
      <c r="M49" cm="1">
        <f t="array" ref="M49">INDEX(DataAll!$AP$2:$AP$555,MATCH(LOWER(Data!A49),LOWER(DataAll!$AO$2:$AO$555),0))</f>
        <v>68.33</v>
      </c>
      <c r="N49" cm="1">
        <f t="array" ref="N49">INDEX(DataAll!$AQ$2:$AQ$555,MATCH(LOWER(Data!A49),LOWER(DataAll!$AO$2:$AO$555),0))</f>
        <v>72.27</v>
      </c>
      <c r="O49" cm="1">
        <f t="array" ref="O49">INDEX(DataAll!$AT$2:$AT$555,MATCH(LOWER(Data!A49),LOWER(DataAll!$AS$2:$AS$555),0))</f>
        <v>9.1999999999999993</v>
      </c>
      <c r="P49" cm="1">
        <f t="array" ref="P49">INDEX(DataAll!$AU$2:$AU$555,MATCH(LOWER(Data!A49),LOWER(DataAll!$AS$2:$AS$555),0))</f>
        <v>8.7100000000000009</v>
      </c>
      <c r="Q49" cm="1">
        <f t="array" ref="Q49">INDEX(DataAll!$AX$2:$AX$556,MATCH(LOWER(Data!A49),LOWER(DataAll!$AW$2:$AW$556),0))</f>
        <v>42.78</v>
      </c>
      <c r="R49" cm="1">
        <f t="array" ref="R49">INDEX('Longitude and Latitude'!$B$2:$B$579,MATCH(LOWER(Data!A49),LOWER('Longitude and Latitude'!$A$2:$A$579),0))</f>
        <v>2.3465638000000002</v>
      </c>
      <c r="S49" cm="1">
        <f t="array" ref="S49">INDEX('Longitude and Latitude'!$C$2:$C$579,MATCH(LOWER(Data!A49),LOWER('Longitude and Latitude'!$A$2:$A$579),0))</f>
        <v>99.812493500000002</v>
      </c>
      <c r="T49" t="b">
        <f>IF(EXACT(A49, UPPER(A49)), TRUE, FALSE)</f>
        <v>0</v>
      </c>
    </row>
    <row r="50" spans="1:20" x14ac:dyDescent="0.35">
      <c r="A50" t="s">
        <v>51</v>
      </c>
      <c r="B50">
        <v>80.510000000000005</v>
      </c>
      <c r="C50" cm="1">
        <f t="array" ref="C50">INDEX(DataAll!$E$2:$E$555,MATCH(LOWER(Data!A50),LOWER(DataAll!$D$2:$D$555),0))</f>
        <v>69.400000000000006</v>
      </c>
      <c r="D50" cm="1">
        <f t="array" ref="D50">INDEX(DataAll!$H$2:$H$579,MATCH(LOWER(Data!A50),LOWER(DataAll!$G$2:$G$555),0))</f>
        <v>0.57499999999999996</v>
      </c>
      <c r="E50" cm="1">
        <f t="array" ref="E50">INDEX(DataAll!$K$2:$K$579,MATCH(LOWER(Data!A50),LOWER(DataAll!$J$2:$J$555),0))</f>
        <v>12</v>
      </c>
      <c r="F50" cm="1">
        <f t="array" ref="F50">INDEX(DataAll!$N$2:$N$555,MATCH(LOWER(Data!A50),LOWER(DataAll!$M$2:$M$555),0))</f>
        <v>45.91</v>
      </c>
      <c r="G50" cm="1">
        <f t="array" ref="G50">INDEX(DataAll!$Q$2:$Q$555,MATCH(LOWER(Data!A50),LOWER(DataAll!$P$2:$P$555),0))</f>
        <v>9.1999999999999993</v>
      </c>
      <c r="H50" cm="1">
        <f t="array" ref="H50">INDEX(DataAll!$T$2:$T$555,MATCH(LOWER(Data!A50),LOWER(DataAll!$S$2:$S$555),0))</f>
        <v>0.26200000000000001</v>
      </c>
      <c r="I50" cm="1">
        <f t="array" ref="I50">INDEX(DataAll!$W$2:$W$555,MATCH(LOWER(Data!A50),LOWER(DataAll!$V$2:$V$555),0))</f>
        <v>48.51</v>
      </c>
      <c r="J50" cm="1">
        <f t="array" ref="J50">INDEX(DataAll!$Z$2:$Z$555,MATCH(LOWER(Data!A50),LOWER(DataAll!$Y$2:$Y$555),0))</f>
        <v>3.2</v>
      </c>
      <c r="K50" cm="1">
        <f t="array" ref="K50">INDEX(DataAll!$AM$2:$AM$555,MATCH(LOWER(Data!A50),LOWER(DataAll!$AL$2:$AL$555),0))</f>
        <v>21.79</v>
      </c>
      <c r="L50" cm="1">
        <f t="array" ref="L50">INDEX(DataAll!$AJ$2:$AJ$555,MATCH(LOWER(Data!A50),LOWER(DataAll!$AI$2:$AI$555),0))</f>
        <v>28.37</v>
      </c>
      <c r="M50" cm="1">
        <f t="array" ref="M50">INDEX(DataAll!$AP$2:$AP$555,MATCH(LOWER(Data!A50),LOWER(DataAll!$AO$2:$AO$555),0))</f>
        <v>68.319999999999993</v>
      </c>
      <c r="N50" cm="1">
        <f t="array" ref="N50">INDEX(DataAll!$AQ$2:$AQ$555,MATCH(LOWER(Data!A50),LOWER(DataAll!$AO$2:$AO$555),0))</f>
        <v>72.260000000000005</v>
      </c>
      <c r="O50" cm="1">
        <f t="array" ref="O50">INDEX(DataAll!$AT$2:$AT$555,MATCH(LOWER(Data!A50),LOWER(DataAll!$AS$2:$AS$555),0))</f>
        <v>8.0299999999999994</v>
      </c>
      <c r="P50" cm="1">
        <f t="array" ref="P50">INDEX(DataAll!$AU$2:$AU$555,MATCH(LOWER(Data!A50),LOWER(DataAll!$AS$2:$AS$555),0))</f>
        <v>5.83</v>
      </c>
      <c r="Q50" cm="1">
        <f t="array" ref="Q50">INDEX(DataAll!$AX$2:$AX$556,MATCH(LOWER(Data!A50),LOWER(DataAll!$AW$2:$AW$556),0))</f>
        <v>19.05</v>
      </c>
      <c r="R50" cm="1">
        <f t="array" ref="R50">INDEX('Longitude and Latitude'!$B$2:$B$579,MATCH(LOWER(Data!A50),LOWER('Longitude and Latitude'!$A$2:$A$579),0))</f>
        <v>1.1255279</v>
      </c>
      <c r="S50" cm="1">
        <f t="array" ref="S50">INDEX('Longitude and Latitude'!$C$2:$C$579,MATCH(LOWER(Data!A50),LOWER('Longitude and Latitude'!$A$2:$A$579),0))</f>
        <v>97.524724300000003</v>
      </c>
      <c r="T50" t="b">
        <f>IF(EXACT(A50, UPPER(A50)), TRUE, FALSE)</f>
        <v>0</v>
      </c>
    </row>
    <row r="51" spans="1:20" x14ac:dyDescent="0.35">
      <c r="A51" t="s">
        <v>52</v>
      </c>
      <c r="B51">
        <v>87.33</v>
      </c>
      <c r="C51" cm="1">
        <f t="array" ref="C51">INDEX(DataAll!$E$2:$E$555,MATCH(LOWER(Data!A51),LOWER(DataAll!$D$2:$D$555),0))</f>
        <v>66.95</v>
      </c>
      <c r="D51" cm="1">
        <f t="array" ref="D51">INDEX(DataAll!$H$2:$H$579,MATCH(LOWER(Data!A51),LOWER(DataAll!$G$2:$G$555),0))</f>
        <v>0.52900000000000003</v>
      </c>
      <c r="E51" cm="1">
        <f t="array" ref="E51">INDEX(DataAll!$K$2:$K$579,MATCH(LOWER(Data!A51),LOWER(DataAll!$J$2:$J$555),0))</f>
        <v>10</v>
      </c>
      <c r="F51" cm="1">
        <f t="array" ref="F51">INDEX(DataAll!$N$2:$N$555,MATCH(LOWER(Data!A51),LOWER(DataAll!$M$2:$M$555),0))</f>
        <v>54.21</v>
      </c>
      <c r="G51" cm="1">
        <f t="array" ref="G51">INDEX(DataAll!$Q$2:$Q$555,MATCH(LOWER(Data!A51),LOWER(DataAll!$P$2:$P$555),0))</f>
        <v>10.95</v>
      </c>
      <c r="H51" cm="1">
        <f t="array" ref="H51">INDEX(DataAll!$T$2:$T$555,MATCH(LOWER(Data!A51),LOWER(DataAll!$S$2:$S$555),0))</f>
        <v>0.22500000000000001</v>
      </c>
      <c r="I51" cm="1">
        <f t="array" ref="I51">INDEX(DataAll!$W$2:$W$555,MATCH(LOWER(Data!A51),LOWER(DataAll!$V$2:$V$555),0))</f>
        <v>50.05</v>
      </c>
      <c r="J51" cm="1">
        <f t="array" ref="J51">INDEX(DataAll!$Z$2:$Z$555,MATCH(LOWER(Data!A51),LOWER(DataAll!$Y$2:$Y$555),0))</f>
        <v>3.42</v>
      </c>
      <c r="K51" cm="1">
        <f t="array" ref="K51">INDEX(DataAll!$AM$2:$AM$555,MATCH(LOWER(Data!A51),LOWER(DataAll!$AL$2:$AL$555),0))</f>
        <v>22.81</v>
      </c>
      <c r="L51" cm="1">
        <f t="array" ref="L51">INDEX(DataAll!$AJ$2:$AJ$555,MATCH(LOWER(Data!A51),LOWER(DataAll!$AI$2:$AI$555),0))</f>
        <v>27.79</v>
      </c>
      <c r="M51" cm="1">
        <f t="array" ref="M51">INDEX(DataAll!$AP$2:$AP$555,MATCH(LOWER(Data!A51),LOWER(DataAll!$AO$2:$AO$555),0))</f>
        <v>68.03</v>
      </c>
      <c r="N51" cm="1">
        <f t="array" ref="N51">INDEX(DataAll!$AQ$2:$AQ$555,MATCH(LOWER(Data!A51),LOWER(DataAll!$AO$2:$AO$555),0))</f>
        <v>71.98</v>
      </c>
      <c r="O51" cm="1">
        <f t="array" ref="O51">INDEX(DataAll!$AT$2:$AT$555,MATCH(LOWER(Data!A51),LOWER(DataAll!$AS$2:$AS$555),0))</f>
        <v>8.58</v>
      </c>
      <c r="P51" cm="1">
        <f t="array" ref="P51">INDEX(DataAll!$AU$2:$AU$555,MATCH(LOWER(Data!A51),LOWER(DataAll!$AS$2:$AS$555),0))</f>
        <v>6.09</v>
      </c>
      <c r="Q51" cm="1">
        <f t="array" ref="Q51">INDEX(DataAll!$AX$2:$AX$556,MATCH(LOWER(Data!A51),LOWER(DataAll!$AW$2:$AW$556),0))</f>
        <v>26.56</v>
      </c>
      <c r="R51" cm="1">
        <f t="array" ref="R51">INDEX('Longitude and Latitude'!$B$2:$B$579,MATCH(LOWER(Data!A51),LOWER('Longitude and Latitude'!$A$2:$A$579),0))</f>
        <v>1.1255279</v>
      </c>
      <c r="S51" cm="1">
        <f t="array" ref="S51">INDEX('Longitude and Latitude'!$C$2:$C$579,MATCH(LOWER(Data!A51),LOWER('Longitude and Latitude'!$A$2:$A$579),0))</f>
        <v>97.524724300000003</v>
      </c>
      <c r="T51" t="b">
        <f>IF(EXACT(A51, UPPER(A51)), TRUE, FALSE)</f>
        <v>0</v>
      </c>
    </row>
    <row r="52" spans="1:20" x14ac:dyDescent="0.35">
      <c r="A52" t="s">
        <v>53</v>
      </c>
      <c r="B52">
        <v>98.01</v>
      </c>
      <c r="C52" cm="1">
        <f t="array" ref="C52">INDEX(DataAll!$E$2:$E$555,MATCH(LOWER(Data!A52),LOWER(DataAll!$D$2:$D$555),0))</f>
        <v>75.14</v>
      </c>
      <c r="D52" cm="1">
        <f t="array" ref="D52">INDEX(DataAll!$H$2:$H$579,MATCH(LOWER(Data!A52),LOWER(DataAll!$G$2:$G$555),0))</f>
        <v>0.25900000000000001</v>
      </c>
      <c r="E52" cm="1">
        <f t="array" ref="E52">INDEX(DataAll!$K$2:$K$579,MATCH(LOWER(Data!A52),LOWER(DataAll!$J$2:$J$555),0))</f>
        <v>25</v>
      </c>
      <c r="F52" cm="1">
        <f t="array" ref="F52">INDEX(DataAll!$N$2:$N$555,MATCH(LOWER(Data!A52),LOWER(DataAll!$M$2:$M$555),0))</f>
        <v>55.27</v>
      </c>
      <c r="G52" cm="1">
        <f t="array" ref="G52">INDEX(DataAll!$Q$2:$Q$555,MATCH(LOWER(Data!A52),LOWER(DataAll!$P$2:$P$555),0))</f>
        <v>7.32</v>
      </c>
      <c r="H52" cm="1">
        <f t="array" ref="H52">INDEX(DataAll!$T$2:$T$555,MATCH(LOWER(Data!A52),LOWER(DataAll!$S$2:$S$555),0))</f>
        <v>0.125</v>
      </c>
      <c r="I52" cm="1">
        <f t="array" ref="I52">INDEX(DataAll!$W$2:$W$555,MATCH(LOWER(Data!A52),LOWER(DataAll!$V$2:$V$555),0))</f>
        <v>32.979999999999997</v>
      </c>
      <c r="J52" cm="1">
        <f t="array" ref="J52">INDEX(DataAll!$Z$2:$Z$555,MATCH(LOWER(Data!A52),LOWER(DataAll!$Y$2:$Y$555),0))</f>
        <v>2.29</v>
      </c>
      <c r="K52" cm="1">
        <f t="array" ref="K52">INDEX(DataAll!$AM$2:$AM$555,MATCH(LOWER(Data!A52),LOWER(DataAll!$AL$2:$AL$555),0))</f>
        <v>11.42</v>
      </c>
      <c r="L52" cm="1">
        <f t="array" ref="L52">INDEX(DataAll!$AJ$2:$AJ$555,MATCH(LOWER(Data!A52),LOWER(DataAll!$AI$2:$AI$555),0))</f>
        <v>21.64</v>
      </c>
      <c r="M52" cm="1">
        <f t="array" ref="M52">INDEX(DataAll!$AP$2:$AP$555,MATCH(LOWER(Data!A52),LOWER(DataAll!$AO$2:$AO$555),0))</f>
        <v>68.260000000000005</v>
      </c>
      <c r="N52" cm="1">
        <f t="array" ref="N52">INDEX(DataAll!$AQ$2:$AQ$555,MATCH(LOWER(Data!A52),LOWER(DataAll!$AO$2:$AO$555),0))</f>
        <v>72.2</v>
      </c>
      <c r="O52" cm="1">
        <f t="array" ref="O52">INDEX(DataAll!$AT$2:$AT$555,MATCH(LOWER(Data!A52),LOWER(DataAll!$AS$2:$AS$555),0))</f>
        <v>10.42</v>
      </c>
      <c r="P52" cm="1">
        <f t="array" ref="P52">INDEX(DataAll!$AU$2:$AU$555,MATCH(LOWER(Data!A52),LOWER(DataAll!$AS$2:$AS$555),0))</f>
        <v>10.45</v>
      </c>
      <c r="Q52" cm="1">
        <f t="array" ref="Q52">INDEX(DataAll!$AX$2:$AX$556,MATCH(LOWER(Data!A52),LOWER(DataAll!$AW$2:$AW$556),0))</f>
        <v>58.39</v>
      </c>
      <c r="R52" cm="1">
        <f t="array" ref="R52">INDEX('Longitude and Latitude'!$B$2:$B$579,MATCH(LOWER(Data!A52),LOWER('Longitude and Latitude'!$A$2:$A$579),0))</f>
        <v>1.7403744999999999</v>
      </c>
      <c r="S52" cm="1">
        <f t="array" ref="S52">INDEX('Longitude and Latitude'!$C$2:$C$579,MATCH(LOWER(Data!A52),LOWER('Longitude and Latitude'!$A$2:$A$579),0))</f>
        <v>98.782798799999995</v>
      </c>
      <c r="T52" t="b">
        <f>IF(EXACT(A52, UPPER(A52)), TRUE, FALSE)</f>
        <v>0</v>
      </c>
    </row>
    <row r="53" spans="1:20" x14ac:dyDescent="0.35">
      <c r="A53" t="s">
        <v>54</v>
      </c>
      <c r="B53">
        <v>90.53</v>
      </c>
      <c r="C53" cm="1">
        <f t="array" ref="C53">INDEX(DataAll!$E$2:$E$555,MATCH(LOWER(Data!A53),LOWER(DataAll!$D$2:$D$555),0))</f>
        <v>66.84</v>
      </c>
      <c r="D53" cm="1">
        <f t="array" ref="D53">INDEX(DataAll!$H$2:$H$579,MATCH(LOWER(Data!A53),LOWER(DataAll!$G$2:$G$555),0))</f>
        <v>0.24399999999999999</v>
      </c>
      <c r="E53" cm="1">
        <f t="array" ref="E53">INDEX(DataAll!$K$2:$K$579,MATCH(LOWER(Data!A53),LOWER(DataAll!$J$2:$J$555),0))</f>
        <v>24</v>
      </c>
      <c r="F53" cm="1">
        <f t="array" ref="F53">INDEX(DataAll!$N$2:$N$555,MATCH(LOWER(Data!A53),LOWER(DataAll!$M$2:$M$555),0))</f>
        <v>54.38</v>
      </c>
      <c r="G53" cm="1">
        <f t="array" ref="G53">INDEX(DataAll!$Q$2:$Q$555,MATCH(LOWER(Data!A53),LOWER(DataAll!$P$2:$P$555),0))</f>
        <v>7.56</v>
      </c>
      <c r="H53" cm="1">
        <f t="array" ref="H53">INDEX(DataAll!$T$2:$T$555,MATCH(LOWER(Data!A53),LOWER(DataAll!$S$2:$S$555),0))</f>
        <v>0.18</v>
      </c>
      <c r="I53" cm="1">
        <f t="array" ref="I53">INDEX(DataAll!$W$2:$W$555,MATCH(LOWER(Data!A53),LOWER(DataAll!$V$2:$V$555),0))</f>
        <v>24.49</v>
      </c>
      <c r="J53" cm="1">
        <f t="array" ref="J53">INDEX(DataAll!$Z$2:$Z$555,MATCH(LOWER(Data!A53),LOWER(DataAll!$Y$2:$Y$555),0))</f>
        <v>2.37</v>
      </c>
      <c r="K53" cm="1">
        <f t="array" ref="K53">INDEX(DataAll!$AM$2:$AM$555,MATCH(LOWER(Data!A53),LOWER(DataAll!$AL$2:$AL$555),0))</f>
        <v>12.21</v>
      </c>
      <c r="L53" cm="1">
        <f t="array" ref="L53">INDEX(DataAll!$AJ$2:$AJ$555,MATCH(LOWER(Data!A53),LOWER(DataAll!$AI$2:$AI$555),0))</f>
        <v>21.11</v>
      </c>
      <c r="M53" cm="1">
        <f t="array" ref="M53">INDEX(DataAll!$AP$2:$AP$555,MATCH(LOWER(Data!A53),LOWER(DataAll!$AO$2:$AO$555),0))</f>
        <v>62.42</v>
      </c>
      <c r="N53" cm="1">
        <f t="array" ref="N53">INDEX(DataAll!$AQ$2:$AQ$555,MATCH(LOWER(Data!A53),LOWER(DataAll!$AO$2:$AO$555),0))</f>
        <v>66.239999999999995</v>
      </c>
      <c r="O53" cm="1">
        <f t="array" ref="O53">INDEX(DataAll!$AT$2:$AT$555,MATCH(LOWER(Data!A53),LOWER(DataAll!$AS$2:$AS$555),0))</f>
        <v>9.5299999999999994</v>
      </c>
      <c r="P53" cm="1">
        <f t="array" ref="P53">INDEX(DataAll!$AU$2:$AU$555,MATCH(LOWER(Data!A53),LOWER(DataAll!$AS$2:$AS$555),0))</f>
        <v>9.86</v>
      </c>
      <c r="Q53" cm="1">
        <f t="array" ref="Q53">INDEX(DataAll!$AX$2:$AX$556,MATCH(LOWER(Data!A53),LOWER(DataAll!$AW$2:$AW$556),0))</f>
        <v>53.7</v>
      </c>
      <c r="R53" cm="1">
        <f t="array" ref="R53">INDEX('Longitude and Latitude'!$B$2:$B$579,MATCH(LOWER(Data!A53),LOWER('Longitude and Latitude'!$A$2:$A$579),0))</f>
        <v>2.965122</v>
      </c>
      <c r="S53" cm="1">
        <f t="array" ref="S53">INDEX('Longitude and Latitude'!$C$2:$C$579,MATCH(LOWER(Data!A53),LOWER('Longitude and Latitude'!$A$2:$A$579),0))</f>
        <v>99.800331</v>
      </c>
      <c r="T53" t="b">
        <f>IF(EXACT(A53, UPPER(A53)), TRUE, FALSE)</f>
        <v>0</v>
      </c>
    </row>
    <row r="54" spans="1:20" x14ac:dyDescent="0.35">
      <c r="A54" t="s">
        <v>55</v>
      </c>
      <c r="B54">
        <v>95.94</v>
      </c>
      <c r="C54" cm="1">
        <f t="array" ref="C54">INDEX(DataAll!$E$2:$E$555,MATCH(LOWER(Data!A54),LOWER(DataAll!$D$2:$D$555),0))</f>
        <v>62.96</v>
      </c>
      <c r="D54" cm="1">
        <f t="array" ref="D54">INDEX(DataAll!$H$2:$H$579,MATCH(LOWER(Data!A54),LOWER(DataAll!$G$2:$G$555),0))</f>
        <v>0.317</v>
      </c>
      <c r="E54" cm="1">
        <f t="array" ref="E54">INDEX(DataAll!$K$2:$K$579,MATCH(LOWER(Data!A54),LOWER(DataAll!$J$2:$J$555),0))</f>
        <v>10</v>
      </c>
      <c r="F54" cm="1">
        <f t="array" ref="F54">INDEX(DataAll!$N$2:$N$555,MATCH(LOWER(Data!A54),LOWER(DataAll!$M$2:$M$555),0))</f>
        <v>57.49</v>
      </c>
      <c r="G54" cm="1">
        <f t="array" ref="G54">INDEX(DataAll!$Q$2:$Q$555,MATCH(LOWER(Data!A54),LOWER(DataAll!$P$2:$P$555),0))</f>
        <v>9.09</v>
      </c>
      <c r="H54" cm="1">
        <f t="array" ref="H54">INDEX(DataAll!$T$2:$T$555,MATCH(LOWER(Data!A54),LOWER(DataAll!$S$2:$S$555),0))</f>
        <v>9.6000000000000002E-2</v>
      </c>
      <c r="I54" cm="1">
        <f t="array" ref="I54">INDEX(DataAll!$W$2:$W$555,MATCH(LOWER(Data!A54),LOWER(DataAll!$V$2:$V$555),0))</f>
        <v>35.72</v>
      </c>
      <c r="J54" cm="1">
        <f t="array" ref="J54">INDEX(DataAll!$Z$2:$Z$555,MATCH(LOWER(Data!A54),LOWER(DataAll!$Y$2:$Y$555),0))</f>
        <v>2.13</v>
      </c>
      <c r="K54" cm="1">
        <f t="array" ref="K54">INDEX(DataAll!$AM$2:$AM$555,MATCH(LOWER(Data!A54),LOWER(DataAll!$AL$2:$AL$555),0))</f>
        <v>7.24</v>
      </c>
      <c r="L54" cm="1">
        <f t="array" ref="L54">INDEX(DataAll!$AJ$2:$AJ$555,MATCH(LOWER(Data!A54),LOWER(DataAll!$AI$2:$AI$555),0))</f>
        <v>19.22</v>
      </c>
      <c r="M54" cm="1">
        <f t="array" ref="M54">INDEX(DataAll!$AP$2:$AP$555,MATCH(LOWER(Data!A54),LOWER(DataAll!$AO$2:$AO$555),0))</f>
        <v>73</v>
      </c>
      <c r="N54" cm="1">
        <f t="array" ref="N54">INDEX(DataAll!$AQ$2:$AQ$555,MATCH(LOWER(Data!A54),LOWER(DataAll!$AO$2:$AO$555),0))</f>
        <v>76.66</v>
      </c>
      <c r="O54" cm="1">
        <f t="array" ref="O54">INDEX(DataAll!$AT$2:$AT$555,MATCH(LOWER(Data!A54),LOWER(DataAll!$AS$2:$AS$555),0))</f>
        <v>11.89</v>
      </c>
      <c r="P54" cm="1">
        <f t="array" ref="P54">INDEX(DataAll!$AU$2:$AU$555,MATCH(LOWER(Data!A54),LOWER(DataAll!$AS$2:$AS$555),0))</f>
        <v>11.48</v>
      </c>
      <c r="Q54" cm="1">
        <f t="array" ref="Q54">INDEX(DataAll!$AX$2:$AX$556,MATCH(LOWER(Data!A54),LOWER(DataAll!$AW$2:$AW$556),0))</f>
        <v>72.11</v>
      </c>
      <c r="R54" cm="1">
        <f t="array" ref="R54">INDEX('Longitude and Latitude'!$B$2:$B$579,MATCH(LOWER(Data!A54),LOWER('Longitude and Latitude'!$A$2:$A$579),0))</f>
        <v>2.96</v>
      </c>
      <c r="S54" cm="1">
        <f t="array" ref="S54">INDEX('Longitude and Latitude'!$C$2:$C$579,MATCH(LOWER(Data!A54),LOWER('Longitude and Latitude'!$A$2:$A$579),0))</f>
        <v>99.06</v>
      </c>
      <c r="T54" t="b">
        <f>IF(EXACT(A54, UPPER(A54)), TRUE, FALSE)</f>
        <v>0</v>
      </c>
    </row>
    <row r="55" spans="1:20" x14ac:dyDescent="0.35">
      <c r="A55" t="s">
        <v>56</v>
      </c>
      <c r="B55">
        <v>93.64</v>
      </c>
      <c r="C55" cm="1">
        <f t="array" ref="C55">INDEX(DataAll!$E$2:$E$555,MATCH(LOWER(Data!A55),LOWER(DataAll!$D$2:$D$555),0))</f>
        <v>54.63</v>
      </c>
      <c r="D55" cm="1">
        <f t="array" ref="D55">INDEX(DataAll!$H$2:$H$579,MATCH(LOWER(Data!A55),LOWER(DataAll!$G$2:$G$555),0))</f>
        <v>0.25600000000000001</v>
      </c>
      <c r="E55" cm="1">
        <f t="array" ref="E55">INDEX(DataAll!$K$2:$K$579,MATCH(LOWER(Data!A55),LOWER(DataAll!$J$2:$J$555),0))</f>
        <v>4.17</v>
      </c>
      <c r="F55" cm="1">
        <f t="array" ref="F55">INDEX(DataAll!$N$2:$N$555,MATCH(LOWER(Data!A55),LOWER(DataAll!$M$2:$M$555),0))</f>
        <v>48.45</v>
      </c>
      <c r="G55" cm="1">
        <f t="array" ref="G55">INDEX(DataAll!$Q$2:$Q$555,MATCH(LOWER(Data!A55),LOWER(DataAll!$P$2:$P$555),0))</f>
        <v>9.7799999999999994</v>
      </c>
      <c r="H55" cm="1">
        <f t="array" ref="H55">INDEX(DataAll!$T$2:$T$555,MATCH(LOWER(Data!A55),LOWER(DataAll!$S$2:$S$555),0))</f>
        <v>9.2999999999999999E-2</v>
      </c>
      <c r="I55" cm="1">
        <f t="array" ref="I55">INDEX(DataAll!$W$2:$W$555,MATCH(LOWER(Data!A55),LOWER(DataAll!$V$2:$V$555),0))</f>
        <v>30.56</v>
      </c>
      <c r="J55" cm="1">
        <f t="array" ref="J55">INDEX(DataAll!$Z$2:$Z$555,MATCH(LOWER(Data!A55),LOWER(DataAll!$Y$2:$Y$555),0))</f>
        <v>2.2000000000000002</v>
      </c>
      <c r="K55" cm="1">
        <f t="array" ref="K55">INDEX(DataAll!$AM$2:$AM$555,MATCH(LOWER(Data!A55),LOWER(DataAll!$AL$2:$AL$555),0))</f>
        <v>9.49</v>
      </c>
      <c r="L55" cm="1">
        <f t="array" ref="L55">INDEX(DataAll!$AJ$2:$AJ$555,MATCH(LOWER(Data!A55),LOWER(DataAll!$AI$2:$AI$555),0))</f>
        <v>19.32</v>
      </c>
      <c r="M55" cm="1">
        <f t="array" ref="M55">INDEX(DataAll!$AP$2:$AP$555,MATCH(LOWER(Data!A55),LOWER(DataAll!$AO$2:$AO$555),0))</f>
        <v>69.69</v>
      </c>
      <c r="N55" cm="1">
        <f t="array" ref="N55">INDEX(DataAll!$AQ$2:$AQ$555,MATCH(LOWER(Data!A55),LOWER(DataAll!$AO$2:$AO$555),0))</f>
        <v>73.67</v>
      </c>
      <c r="O55" cm="1">
        <f t="array" ref="O55">INDEX(DataAll!$AT$2:$AT$555,MATCH(LOWER(Data!A55),LOWER(DataAll!$AS$2:$AS$555),0))</f>
        <v>11.11</v>
      </c>
      <c r="P55" cm="1">
        <f t="array" ref="P55">INDEX(DataAll!$AU$2:$AU$555,MATCH(LOWER(Data!A55),LOWER(DataAll!$AS$2:$AS$555),0))</f>
        <v>10.73</v>
      </c>
      <c r="Q55" cm="1">
        <f t="array" ref="Q55">INDEX(DataAll!$AX$2:$AX$556,MATCH(LOWER(Data!A55),LOWER(DataAll!$AW$2:$AW$556),0))</f>
        <v>63</v>
      </c>
      <c r="R55" cm="1">
        <f t="array" ref="R55">INDEX('Longitude and Latitude'!$B$2:$B$579,MATCH(LOWER(Data!A55),LOWER('Longitude and Latitude'!$A$2:$A$579),0))</f>
        <v>3.3856204999999999</v>
      </c>
      <c r="S55" cm="1">
        <f t="array" ref="S55">INDEX('Longitude and Latitude'!$C$2:$C$579,MATCH(LOWER(Data!A55),LOWER('Longitude and Latitude'!$A$2:$A$579),0))</f>
        <v>99.200981499999997</v>
      </c>
      <c r="T55" t="b">
        <f>IF(EXACT(A55, UPPER(A55)), TRUE, FALSE)</f>
        <v>0</v>
      </c>
    </row>
    <row r="56" spans="1:20" x14ac:dyDescent="0.35">
      <c r="A56" t="s">
        <v>57</v>
      </c>
      <c r="B56">
        <v>94.13</v>
      </c>
      <c r="C56" cm="1">
        <f t="array" ref="C56">INDEX(DataAll!$E$2:$E$555,MATCH(LOWER(Data!A56),LOWER(DataAll!$D$2:$D$555),0))</f>
        <v>62.35</v>
      </c>
      <c r="D56" cm="1">
        <f t="array" ref="D56">INDEX(DataAll!$H$2:$H$579,MATCH(LOWER(Data!A56),LOWER(DataAll!$G$2:$G$555),0))</f>
        <v>0.23200000000000001</v>
      </c>
      <c r="E56" cm="1">
        <f t="array" ref="E56">INDEX(DataAll!$K$2:$K$579,MATCH(LOWER(Data!A56),LOWER(DataAll!$J$2:$J$555),0))</f>
        <v>10</v>
      </c>
      <c r="F56" cm="1">
        <f t="array" ref="F56">INDEX(DataAll!$N$2:$N$555,MATCH(LOWER(Data!A56),LOWER(DataAll!$M$2:$M$555),0))</f>
        <v>54.86</v>
      </c>
      <c r="G56" cm="1">
        <f t="array" ref="G56">INDEX(DataAll!$Q$2:$Q$555,MATCH(LOWER(Data!A56),LOWER(DataAll!$P$2:$P$555),0))</f>
        <v>7.3</v>
      </c>
      <c r="H56" cm="1">
        <f t="array" ref="H56">INDEX(DataAll!$T$2:$T$555,MATCH(LOWER(Data!A56),LOWER(DataAll!$S$2:$S$555),0))</f>
        <v>8.4000000000000005E-2</v>
      </c>
      <c r="I56" cm="1">
        <f t="array" ref="I56">INDEX(DataAll!$W$2:$W$555,MATCH(LOWER(Data!A56),LOWER(DataAll!$V$2:$V$555),0))</f>
        <v>32.880000000000003</v>
      </c>
      <c r="J56" cm="1">
        <f t="array" ref="J56">INDEX(DataAll!$Z$2:$Z$555,MATCH(LOWER(Data!A56),LOWER(DataAll!$Y$2:$Y$555),0))</f>
        <v>1.9</v>
      </c>
      <c r="K56" cm="1">
        <f t="array" ref="K56">INDEX(DataAll!$AM$2:$AM$555,MATCH(LOWER(Data!A56),LOWER(DataAll!$AL$2:$AL$555),0))</f>
        <v>8</v>
      </c>
      <c r="L56" cm="1">
        <f t="array" ref="L56">INDEX(DataAll!$AJ$2:$AJ$555,MATCH(LOWER(Data!A56),LOWER(DataAll!$AI$2:$AI$555),0))</f>
        <v>17.64</v>
      </c>
      <c r="M56" cm="1">
        <f t="array" ref="M56">INDEX(DataAll!$AP$2:$AP$555,MATCH(LOWER(Data!A56),LOWER(DataAll!$AO$2:$AO$555),0))</f>
        <v>72.150000000000006</v>
      </c>
      <c r="N56" cm="1">
        <f t="array" ref="N56">INDEX(DataAll!$AQ$2:$AQ$555,MATCH(LOWER(Data!A56),LOWER(DataAll!$AO$2:$AO$555),0))</f>
        <v>75.88</v>
      </c>
      <c r="O56" cm="1">
        <f t="array" ref="O56">INDEX(DataAll!$AT$2:$AT$555,MATCH(LOWER(Data!A56),LOWER(DataAll!$AS$2:$AS$555),0))</f>
        <v>11.8</v>
      </c>
      <c r="P56" cm="1">
        <f t="array" ref="P56">INDEX(DataAll!$AU$2:$AU$555,MATCH(LOWER(Data!A56),LOWER(DataAll!$AS$2:$AS$555),0))</f>
        <v>11.49</v>
      </c>
      <c r="Q56" cm="1">
        <f t="array" ref="Q56">INDEX(DataAll!$AX$2:$AX$556,MATCH(LOWER(Data!A56),LOWER(DataAll!$AW$2:$AW$556),0))</f>
        <v>69.63</v>
      </c>
      <c r="R56" cm="1">
        <f t="array" ref="R56">INDEX('Longitude and Latitude'!$B$2:$B$579,MATCH(LOWER(Data!A56),LOWER('Longitude and Latitude'!$A$2:$A$579),0))</f>
        <v>3.585242</v>
      </c>
      <c r="S56" cm="1">
        <f t="array" ref="S56">INDEX('Longitude and Latitude'!$C$2:$C$579,MATCH(LOWER(Data!A56),LOWER('Longitude and Latitude'!$A$2:$A$579),0))</f>
        <v>98.6755979</v>
      </c>
      <c r="T56" t="b">
        <f>IF(EXACT(A56, UPPER(A56)), TRUE, FALSE)</f>
        <v>0</v>
      </c>
    </row>
    <row r="57" spans="1:20" x14ac:dyDescent="0.35">
      <c r="A57" t="s">
        <v>58</v>
      </c>
      <c r="B57">
        <v>90.99</v>
      </c>
      <c r="C57" cm="1">
        <f t="array" ref="C57">INDEX(DataAll!$E$2:$E$555,MATCH(LOWER(Data!A57),LOWER(DataAll!$D$2:$D$555),0))</f>
        <v>70.540000000000006</v>
      </c>
      <c r="D57" cm="1">
        <f t="array" ref="D57">INDEX(DataAll!$H$2:$H$579,MATCH(LOWER(Data!A57),LOWER(DataAll!$G$2:$G$555),0))</f>
        <v>0.14199999999999999</v>
      </c>
      <c r="E57" cm="1">
        <f t="array" ref="E57">INDEX(DataAll!$K$2:$K$579,MATCH(LOWER(Data!A57),LOWER(DataAll!$J$2:$J$555),0))</f>
        <v>16.670000000000002</v>
      </c>
      <c r="F57" cm="1">
        <f t="array" ref="F57">INDEX(DataAll!$N$2:$N$555,MATCH(LOWER(Data!A57),LOWER(DataAll!$M$2:$M$555),0))</f>
        <v>47.29</v>
      </c>
      <c r="G57" cm="1">
        <f t="array" ref="G57">INDEX(DataAll!$Q$2:$Q$555,MATCH(LOWER(Data!A57),LOWER(DataAll!$P$2:$P$555),0))</f>
        <v>11.5</v>
      </c>
      <c r="H57" cm="1">
        <f t="array" ref="H57">INDEX(DataAll!$T$2:$T$555,MATCH(LOWER(Data!A57),LOWER(DataAll!$S$2:$S$555),0))</f>
        <v>7.0000000000000007E-2</v>
      </c>
      <c r="I57" cm="1">
        <f t="array" ref="I57">INDEX(DataAll!$W$2:$W$555,MATCH(LOWER(Data!A57),LOWER(DataAll!$V$2:$V$555),0))</f>
        <v>34.74</v>
      </c>
      <c r="J57" cm="1">
        <f t="array" ref="J57">INDEX(DataAll!$Z$2:$Z$555,MATCH(LOWER(Data!A57),LOWER(DataAll!$Y$2:$Y$555),0))</f>
        <v>2.14</v>
      </c>
      <c r="K57" cm="1">
        <f t="array" ref="K57">INDEX(DataAll!$AM$2:$AM$555,MATCH(LOWER(Data!A57),LOWER(DataAll!$AL$2:$AL$555),0))</f>
        <v>4.79</v>
      </c>
      <c r="L57" cm="1">
        <f t="array" ref="L57">INDEX(DataAll!$AJ$2:$AJ$555,MATCH(LOWER(Data!A57),LOWER(DataAll!$AI$2:$AI$555),0))</f>
        <v>18.75</v>
      </c>
      <c r="M57" cm="1">
        <f t="array" ref="M57">INDEX(DataAll!$AP$2:$AP$555,MATCH(LOWER(Data!A57),LOWER(DataAll!$AO$2:$AO$555),0))</f>
        <v>71.09</v>
      </c>
      <c r="N57" cm="1">
        <f t="array" ref="N57">INDEX(DataAll!$AQ$2:$AQ$555,MATCH(LOWER(Data!A57),LOWER(DataAll!$AO$2:$AO$555),0))</f>
        <v>75.28</v>
      </c>
      <c r="O57" cm="1">
        <f t="array" ref="O57">INDEX(DataAll!$AT$2:$AT$555,MATCH(LOWER(Data!A57),LOWER(DataAll!$AS$2:$AS$555),0))</f>
        <v>11.38</v>
      </c>
      <c r="P57" cm="1">
        <f t="array" ref="P57">INDEX(DataAll!$AU$2:$AU$555,MATCH(LOWER(Data!A57),LOWER(DataAll!$AS$2:$AS$555),0))</f>
        <v>10.84</v>
      </c>
      <c r="Q57" cm="1">
        <f t="array" ref="Q57">INDEX(DataAll!$AX$2:$AX$556,MATCH(LOWER(Data!A57),LOWER(DataAll!$AW$2:$AW$556),0))</f>
        <v>63.18</v>
      </c>
      <c r="R57" cm="1">
        <f t="array" ref="R57">INDEX('Longitude and Latitude'!$B$2:$B$579,MATCH(LOWER(Data!A57),LOWER('Longitude and Latitude'!$A$2:$A$579),0))</f>
        <v>3.594462</v>
      </c>
      <c r="S57" cm="1">
        <f t="array" ref="S57">INDEX('Longitude and Latitude'!$C$2:$C$579,MATCH(LOWER(Data!A57),LOWER('Longitude and Latitude'!$A$2:$A$579),0))</f>
        <v>98.482246000000004</v>
      </c>
      <c r="T57" t="b">
        <f>IF(EXACT(A57, UPPER(A57)), TRUE, FALSE)</f>
        <v>0</v>
      </c>
    </row>
    <row r="58" spans="1:20" x14ac:dyDescent="0.35">
      <c r="A58" t="s">
        <v>59</v>
      </c>
      <c r="B58">
        <v>97.53</v>
      </c>
      <c r="C58" cm="1">
        <f t="array" ref="C58">INDEX(DataAll!$E$2:$E$555,MATCH(LOWER(Data!A58),LOWER(DataAll!$D$2:$D$555),0))</f>
        <v>66.849999999999994</v>
      </c>
      <c r="D58" cm="1">
        <f t="array" ref="D58">INDEX(DataAll!$H$2:$H$579,MATCH(LOWER(Data!A58),LOWER(DataAll!$G$2:$G$555),0))</f>
        <v>0.26</v>
      </c>
      <c r="E58" cm="1">
        <f t="array" ref="E58">INDEX(DataAll!$K$2:$K$579,MATCH(LOWER(Data!A58),LOWER(DataAll!$J$2:$J$555),0))</f>
        <v>16.670000000000002</v>
      </c>
      <c r="F58" cm="1">
        <f t="array" ref="F58">INDEX(DataAll!$N$2:$N$555,MATCH(LOWER(Data!A58),LOWER(DataAll!$M$2:$M$555),0))</f>
        <v>54.56</v>
      </c>
      <c r="G58" cm="1">
        <f t="array" ref="G58">INDEX(DataAll!$Q$2:$Q$555,MATCH(LOWER(Data!A58),LOWER(DataAll!$P$2:$P$555),0))</f>
        <v>7.45</v>
      </c>
      <c r="H58" cm="1">
        <f t="array" ref="H58">INDEX(DataAll!$T$2:$T$555,MATCH(LOWER(Data!A58),LOWER(DataAll!$S$2:$S$555),0))</f>
        <v>0.115</v>
      </c>
      <c r="I58" cm="1">
        <f t="array" ref="I58">INDEX(DataAll!$W$2:$W$555,MATCH(LOWER(Data!A58),LOWER(DataAll!$V$2:$V$555),0))</f>
        <v>31.67</v>
      </c>
      <c r="J58" cm="1">
        <f t="array" ref="J58">INDEX(DataAll!$Z$2:$Z$555,MATCH(LOWER(Data!A58),LOWER(DataAll!$Y$2:$Y$555),0))</f>
        <v>2.4700000000000002</v>
      </c>
      <c r="K58" cm="1">
        <f t="array" ref="K58">INDEX(DataAll!$AM$2:$AM$555,MATCH(LOWER(Data!A58),LOWER(DataAll!$AL$2:$AL$555),0))</f>
        <v>6.85</v>
      </c>
      <c r="L58" cm="1">
        <f t="array" ref="L58">INDEX(DataAll!$AJ$2:$AJ$555,MATCH(LOWER(Data!A58),LOWER(DataAll!$AI$2:$AI$555),0))</f>
        <v>22.04</v>
      </c>
      <c r="M58" cm="1">
        <f t="array" ref="M58">INDEX(DataAll!$AP$2:$AP$555,MATCH(LOWER(Data!A58),LOWER(DataAll!$AO$2:$AO$555),0))</f>
        <v>68.28</v>
      </c>
      <c r="N58" cm="1">
        <f t="array" ref="N58">INDEX(DataAll!$AQ$2:$AQ$555,MATCH(LOWER(Data!A58),LOWER(DataAll!$AO$2:$AO$555),0))</f>
        <v>72.22</v>
      </c>
      <c r="O58" cm="1">
        <f t="array" ref="O58">INDEX(DataAll!$AT$2:$AT$555,MATCH(LOWER(Data!A58),LOWER(DataAll!$AS$2:$AS$555),0))</f>
        <v>11.26</v>
      </c>
      <c r="P58" cm="1">
        <f t="array" ref="P58">INDEX(DataAll!$AU$2:$AU$555,MATCH(LOWER(Data!A58),LOWER(DataAll!$AS$2:$AS$555),0))</f>
        <v>11.02</v>
      </c>
      <c r="Q58" cm="1">
        <f t="array" ref="Q58">INDEX(DataAll!$AX$2:$AX$556,MATCH(LOWER(Data!A58),LOWER(DataAll!$AW$2:$AW$556),0))</f>
        <v>63.46</v>
      </c>
      <c r="R58" cm="1">
        <f t="array" ref="R58">INDEX('Longitude and Latitude'!$B$2:$B$579,MATCH(LOWER(Data!A58),LOWER('Longitude and Latitude'!$A$2:$A$579),0))</f>
        <v>1.3804240000000001</v>
      </c>
      <c r="S58" cm="1">
        <f t="array" ref="S58">INDEX('Longitude and Latitude'!$C$2:$C$579,MATCH(LOWER(Data!A58),LOWER('Longitude and Latitude'!$A$2:$A$579),0))</f>
        <v>99.273972000000001</v>
      </c>
      <c r="T58" t="b">
        <f>IF(EXACT(A58, UPPER(A58)), TRUE, FALSE)</f>
        <v>0</v>
      </c>
    </row>
    <row r="59" spans="1:20" x14ac:dyDescent="0.35">
      <c r="A59" t="s">
        <v>60</v>
      </c>
      <c r="B59">
        <v>89.92</v>
      </c>
      <c r="C59" cm="1">
        <f t="array" ref="C59">INDEX(DataAll!$E$2:$E$555,MATCH(LOWER(Data!A59),LOWER(DataAll!$D$2:$D$555),0))</f>
        <v>64.2</v>
      </c>
      <c r="D59" cm="1">
        <f t="array" ref="D59">INDEX(DataAll!$H$2:$H$579,MATCH(LOWER(Data!A59),LOWER(DataAll!$G$2:$G$555),0))</f>
        <v>0.48</v>
      </c>
      <c r="E59" cm="1">
        <f t="array" ref="E59">INDEX(DataAll!$K$2:$K$579,MATCH(LOWER(Data!A59),LOWER(DataAll!$J$2:$J$555),0))</f>
        <v>8</v>
      </c>
      <c r="F59" cm="1">
        <f t="array" ref="F59">INDEX(DataAll!$N$2:$N$555,MATCH(LOWER(Data!A59),LOWER(DataAll!$M$2:$M$555),0))</f>
        <v>53.09</v>
      </c>
      <c r="G59" cm="1">
        <f t="array" ref="G59">INDEX(DataAll!$Q$2:$Q$555,MATCH(LOWER(Data!A59),LOWER(DataAll!$P$2:$P$555),0))</f>
        <v>9.66</v>
      </c>
      <c r="H59" cm="1">
        <f t="array" ref="H59">INDEX(DataAll!$T$2:$T$555,MATCH(LOWER(Data!A59),LOWER(DataAll!$S$2:$S$555),0))</f>
        <v>0.192</v>
      </c>
      <c r="I59" cm="1">
        <f t="array" ref="I59">INDEX(DataAll!$W$2:$W$555,MATCH(LOWER(Data!A59),LOWER(DataAll!$V$2:$V$555),0))</f>
        <v>42.68</v>
      </c>
      <c r="J59" cm="1">
        <f t="array" ref="J59">INDEX(DataAll!$Z$2:$Z$555,MATCH(LOWER(Data!A59),LOWER(DataAll!$Y$2:$Y$555),0))</f>
        <v>2.72</v>
      </c>
      <c r="K59" cm="1">
        <f t="array" ref="K59">INDEX(DataAll!$AM$2:$AM$555,MATCH(LOWER(Data!A59),LOWER(DataAll!$AL$2:$AL$555),0))</f>
        <v>14.78</v>
      </c>
      <c r="L59" cm="1">
        <f t="array" ref="L59">INDEX(DataAll!$AJ$2:$AJ$555,MATCH(LOWER(Data!A59),LOWER(DataAll!$AI$2:$AI$555),0))</f>
        <v>20.34</v>
      </c>
      <c r="M59" cm="1">
        <f t="array" ref="M59">INDEX(DataAll!$AP$2:$AP$555,MATCH(LOWER(Data!A59),LOWER(DataAll!$AO$2:$AO$555),0))</f>
        <v>70.13</v>
      </c>
      <c r="N59" cm="1">
        <f t="array" ref="N59">INDEX(DataAll!$AQ$2:$AQ$555,MATCH(LOWER(Data!A59),LOWER(DataAll!$AO$2:$AO$555),0))</f>
        <v>74.14</v>
      </c>
      <c r="O59" cm="1">
        <f t="array" ref="O59">INDEX(DataAll!$AT$2:$AT$555,MATCH(LOWER(Data!A59),LOWER(DataAll!$AS$2:$AS$555),0))</f>
        <v>9.9600000000000009</v>
      </c>
      <c r="P59" cm="1">
        <f t="array" ref="P59">INDEX(DataAll!$AU$2:$AU$555,MATCH(LOWER(Data!A59),LOWER(DataAll!$AS$2:$AS$555),0))</f>
        <v>7.72</v>
      </c>
      <c r="Q59" cm="1">
        <f t="array" ref="Q59">INDEX(DataAll!$AX$2:$AX$556,MATCH(LOWER(Data!A59),LOWER(DataAll!$AW$2:$AW$556),0))</f>
        <v>37.880000000000003</v>
      </c>
      <c r="R59" cm="1">
        <f t="array" ref="R59">INDEX('Longitude and Latitude'!$B$2:$B$579,MATCH(LOWER(Data!A59),LOWER('Longitude and Latitude'!$A$2:$A$579),0))</f>
        <v>1.2819640000000001</v>
      </c>
      <c r="S59" cm="1">
        <f t="array" ref="S59">INDEX('Longitude and Latitude'!$C$2:$C$579,MATCH(LOWER(Data!A59),LOWER('Longitude and Latitude'!$A$2:$A$579),0))</f>
        <v>97.615939999999995</v>
      </c>
      <c r="T59" t="b">
        <f>IF(EXACT(A59, UPPER(A59)), TRUE, FALSE)</f>
        <v>0</v>
      </c>
    </row>
    <row r="60" spans="1:20" x14ac:dyDescent="0.35">
      <c r="A60" t="s">
        <v>61</v>
      </c>
      <c r="B60">
        <v>94.93</v>
      </c>
      <c r="C60" cm="1">
        <f t="array" ref="C60">INDEX(DataAll!$E$2:$E$555,MATCH(LOWER(Data!A60),LOWER(DataAll!$D$2:$D$555),0))</f>
        <v>65.34</v>
      </c>
      <c r="D60" cm="1">
        <f t="array" ref="D60">INDEX(DataAll!$H$2:$H$579,MATCH(LOWER(Data!A60),LOWER(DataAll!$G$2:$G$555),0))</f>
        <v>0.42499999999999999</v>
      </c>
      <c r="E60" cm="1">
        <f t="array" ref="E60">INDEX(DataAll!$K$2:$K$579,MATCH(LOWER(Data!A60),LOWER(DataAll!$J$2:$J$555),0))</f>
        <v>10.94</v>
      </c>
      <c r="F60" cm="1">
        <f t="array" ref="F60">INDEX(DataAll!$N$2:$N$555,MATCH(LOWER(Data!A60),LOWER(DataAll!$M$2:$M$555),0))</f>
        <v>61.04</v>
      </c>
      <c r="G60" t="e" cm="1">
        <f t="array" ref="G60">INDEX(DataAll!$Q$2:$Q$555,MATCH(LOWER(Data!A60),LOWER(DataAll!$P$2:$P$555),0))</f>
        <v>#N/A</v>
      </c>
      <c r="H60" cm="1">
        <f t="array" ref="H60">INDEX(DataAll!$T$2:$T$555,MATCH(LOWER(Data!A60),LOWER(DataAll!$S$2:$S$555),0))</f>
        <v>0.16500000000000001</v>
      </c>
      <c r="I60" cm="1">
        <f t="array" ref="I60">INDEX(DataAll!$W$2:$W$555,MATCH(LOWER(Data!A60),LOWER(DataAll!$V$2:$V$555),0))</f>
        <v>37.549999999999997</v>
      </c>
      <c r="J60" cm="1">
        <f t="array" ref="J60">INDEX(DataAll!$Z$2:$Z$555,MATCH(LOWER(Data!A60),LOWER(DataAll!$Y$2:$Y$555),0))</f>
        <v>2.46</v>
      </c>
      <c r="K60" cm="1">
        <f t="array" ref="K60">INDEX(DataAll!$AM$2:$AM$555,MATCH(LOWER(Data!A60),LOWER(DataAll!$AL$2:$AL$555),0))</f>
        <v>5.95</v>
      </c>
      <c r="L60" cm="1">
        <f t="array" ref="L60">INDEX(DataAll!$AJ$2:$AJ$555,MATCH(LOWER(Data!A60),LOWER(DataAll!$AI$2:$AI$555),0))</f>
        <v>19.190000000000001</v>
      </c>
      <c r="M60" cm="1">
        <f t="array" ref="M60">INDEX(DataAll!$AP$2:$AP$555,MATCH(LOWER(Data!A60),LOWER(DataAll!$AO$2:$AO$555),0))</f>
        <v>68.27</v>
      </c>
      <c r="N60" cm="1">
        <f t="array" ref="N60">INDEX(DataAll!$AQ$2:$AQ$555,MATCH(LOWER(Data!A60),LOWER(DataAll!$AO$2:$AO$555),0))</f>
        <v>72.209999999999994</v>
      </c>
      <c r="O60" cm="1">
        <f t="array" ref="O60">INDEX(DataAll!$AT$2:$AT$555,MATCH(LOWER(Data!A60),LOWER(DataAll!$AS$2:$AS$555),0))</f>
        <v>9.1999999999999993</v>
      </c>
      <c r="P60" cm="1">
        <f t="array" ref="P60">INDEX(DataAll!$AU$2:$AU$555,MATCH(LOWER(Data!A60),LOWER(DataAll!$AS$2:$AS$555),0))</f>
        <v>9.3699999999999992</v>
      </c>
      <c r="Q60" cm="1">
        <f t="array" ref="Q60">INDEX(DataAll!$AX$2:$AX$556,MATCH(LOWER(Data!A60),LOWER(DataAll!$AW$2:$AW$556),0))</f>
        <v>49.08</v>
      </c>
      <c r="R60" cm="1">
        <f t="array" ref="R60">INDEX('Longitude and Latitude'!$B$2:$B$579,MATCH(LOWER(Data!A60),LOWER('Longitude and Latitude'!$A$2:$A$579),0))</f>
        <v>-0.73993969999999998</v>
      </c>
      <c r="S60" cm="1">
        <f t="array" ref="S60">INDEX('Longitude and Latitude'!$C$2:$C$579,MATCH(LOWER(Data!A60),LOWER('Longitude and Latitude'!$A$2:$A$579),0))</f>
        <v>100.80000510000001</v>
      </c>
      <c r="T60" t="b">
        <f>IF(EXACT(A60, UPPER(A60)), TRUE, FALSE)</f>
        <v>1</v>
      </c>
    </row>
    <row r="61" spans="1:20" x14ac:dyDescent="0.35">
      <c r="A61" t="s">
        <v>62</v>
      </c>
      <c r="B61">
        <v>89.57</v>
      </c>
      <c r="C61" cm="1">
        <f t="array" ref="C61">INDEX(DataAll!$E$2:$E$555,MATCH(LOWER(Data!A61),LOWER(DataAll!$D$2:$D$555),0))</f>
        <v>48.5</v>
      </c>
      <c r="D61" cm="1">
        <f t="array" ref="D61">INDEX(DataAll!$H$2:$H$579,MATCH(LOWER(Data!A61),LOWER(DataAll!$G$2:$G$555),0))</f>
        <v>0.85099999999999998</v>
      </c>
      <c r="E61" t="str" cm="1">
        <f t="array" ref="E61">INDEX(DataAll!$K$2:$K$579,MATCH(LOWER(Data!A61),LOWER(DataAll!$J$2:$J$555),0))</f>
        <v>-</v>
      </c>
      <c r="F61" cm="1">
        <f t="array" ref="F61">INDEX(DataAll!$N$2:$N$555,MATCH(LOWER(Data!A61),LOWER(DataAll!$M$2:$M$555),0))</f>
        <v>52.34</v>
      </c>
      <c r="G61" cm="1">
        <f t="array" ref="G61">INDEX(DataAll!$Q$2:$Q$555,MATCH(LOWER(Data!A61),LOWER(DataAll!$P$2:$P$555),0))</f>
        <v>10.62</v>
      </c>
      <c r="H61" cm="1">
        <f t="array" ref="H61">INDEX(DataAll!$T$2:$T$555,MATCH(LOWER(Data!A61),LOWER(DataAll!$S$2:$S$555),0))</f>
        <v>0.33500000000000002</v>
      </c>
      <c r="I61" cm="1">
        <f t="array" ref="I61">INDEX(DataAll!$W$2:$W$555,MATCH(LOWER(Data!A61),LOWER(DataAll!$V$2:$V$555),0))</f>
        <v>31.23</v>
      </c>
      <c r="J61" cm="1">
        <f t="array" ref="J61">INDEX(DataAll!$Z$2:$Z$555,MATCH(LOWER(Data!A61),LOWER(DataAll!$Y$2:$Y$555),0))</f>
        <v>2.8</v>
      </c>
      <c r="K61" cm="1">
        <f t="array" ref="K61">INDEX(DataAll!$AM$2:$AM$555,MATCH(LOWER(Data!A61),LOWER(DataAll!$AL$2:$AL$555),0))</f>
        <v>13.72</v>
      </c>
      <c r="L61" cm="1">
        <f t="array" ref="L61">INDEX(DataAll!$AJ$2:$AJ$555,MATCH(LOWER(Data!A61),LOWER(DataAll!$AI$2:$AI$555),0))</f>
        <v>31.93</v>
      </c>
      <c r="M61" cm="1">
        <f t="array" ref="M61">INDEX(DataAll!$AP$2:$AP$555,MATCH(LOWER(Data!A61),LOWER(DataAll!$AO$2:$AO$555),0))</f>
        <v>63.22</v>
      </c>
      <c r="N61" cm="1">
        <f t="array" ref="N61">INDEX(DataAll!$AQ$2:$AQ$555,MATCH(LOWER(Data!A61),LOWER(DataAll!$AO$2:$AO$555),0))</f>
        <v>67.069999999999993</v>
      </c>
      <c r="O61" cm="1">
        <f t="array" ref="O61">INDEX(DataAll!$AT$2:$AT$555,MATCH(LOWER(Data!A61),LOWER(DataAll!$AS$2:$AS$555),0))</f>
        <v>8.36</v>
      </c>
      <c r="P61" cm="1">
        <f t="array" ref="P61">INDEX(DataAll!$AU$2:$AU$555,MATCH(LOWER(Data!A61),LOWER(DataAll!$AS$2:$AS$555),0))</f>
        <v>7.29</v>
      </c>
      <c r="Q61" cm="1">
        <f t="array" ref="Q61">INDEX(DataAll!$AX$2:$AX$556,MATCH(LOWER(Data!A61),LOWER(DataAll!$AW$2:$AW$556),0))</f>
        <v>28.15</v>
      </c>
      <c r="R61" cm="1">
        <f t="array" ref="R61">INDEX('Longitude and Latitude'!$B$2:$B$579,MATCH(LOWER(Data!A61),LOWER('Longitude and Latitude'!$A$2:$A$579),0))</f>
        <v>-1.4260010000000001</v>
      </c>
      <c r="S61" cm="1">
        <f t="array" ref="S61">INDEX('Longitude and Latitude'!$C$2:$C$579,MATCH(LOWER(Data!A61),LOWER('Longitude and Latitude'!$A$2:$A$579),0))</f>
        <v>98.924534300000005</v>
      </c>
      <c r="T61" t="b">
        <f>IF(EXACT(A61, UPPER(A61)), TRUE, FALSE)</f>
        <v>0</v>
      </c>
    </row>
    <row r="62" spans="1:20" x14ac:dyDescent="0.35">
      <c r="A62" t="s">
        <v>63</v>
      </c>
      <c r="B62">
        <v>95.57</v>
      </c>
      <c r="C62" cm="1">
        <f t="array" ref="C62">INDEX(DataAll!$E$2:$E$555,MATCH(LOWER(Data!A62),LOWER(DataAll!$D$2:$D$555),0))</f>
        <v>53.79</v>
      </c>
      <c r="D62" cm="1">
        <f t="array" ref="D62">INDEX(DataAll!$H$2:$H$579,MATCH(LOWER(Data!A62),LOWER(DataAll!$G$2:$G$555),0))</f>
        <v>0.48199999999999998</v>
      </c>
      <c r="E62" cm="1">
        <f t="array" ref="E62">INDEX(DataAll!$K$2:$K$579,MATCH(LOWER(Data!A62),LOWER(DataAll!$J$2:$J$555),0))</f>
        <v>6.67</v>
      </c>
      <c r="F62" cm="1">
        <f t="array" ref="F62">INDEX(DataAll!$N$2:$N$555,MATCH(LOWER(Data!A62),LOWER(DataAll!$M$2:$M$555),0))</f>
        <v>70.150000000000006</v>
      </c>
      <c r="G62" cm="1">
        <f t="array" ref="G62">INDEX(DataAll!$Q$2:$Q$555,MATCH(LOWER(Data!A62),LOWER(DataAll!$P$2:$P$555),0))</f>
        <v>8.65</v>
      </c>
      <c r="H62" cm="1">
        <f t="array" ref="H62">INDEX(DataAll!$T$2:$T$555,MATCH(LOWER(Data!A62),LOWER(DataAll!$S$2:$S$555),0))</f>
        <v>0.20200000000000001</v>
      </c>
      <c r="I62" cm="1">
        <f t="array" ref="I62">INDEX(DataAll!$W$2:$W$555,MATCH(LOWER(Data!A62),LOWER(DataAll!$V$2:$V$555),0))</f>
        <v>33.81</v>
      </c>
      <c r="J62" cm="1">
        <f t="array" ref="J62">INDEX(DataAll!$Z$2:$Z$555,MATCH(LOWER(Data!A62),LOWER(DataAll!$Y$2:$Y$555),0))</f>
        <v>2.56</v>
      </c>
      <c r="K62" cm="1">
        <f t="array" ref="K62">INDEX(DataAll!$AM$2:$AM$555,MATCH(LOWER(Data!A62),LOWER(DataAll!$AL$2:$AL$555),0))</f>
        <v>7.34</v>
      </c>
      <c r="L62" cm="1">
        <f t="array" ref="L62">INDEX(DataAll!$AJ$2:$AJ$555,MATCH(LOWER(Data!A62),LOWER(DataAll!$AI$2:$AI$555),0))</f>
        <v>21.3</v>
      </c>
      <c r="M62" cm="1">
        <f t="array" ref="M62">INDEX(DataAll!$AP$2:$AP$555,MATCH(LOWER(Data!A62),LOWER(DataAll!$AO$2:$AO$555),0))</f>
        <v>69.58</v>
      </c>
      <c r="N62" cm="1">
        <f t="array" ref="N62">INDEX(DataAll!$AQ$2:$AQ$555,MATCH(LOWER(Data!A62),LOWER(DataAll!$AO$2:$AO$555),0))</f>
        <v>73.55</v>
      </c>
      <c r="O62" cm="1">
        <f t="array" ref="O62">INDEX(DataAll!$AT$2:$AT$555,MATCH(LOWER(Data!A62),LOWER(DataAll!$AS$2:$AS$555),0))</f>
        <v>8.61</v>
      </c>
      <c r="P62" cm="1">
        <f t="array" ref="P62">INDEX(DataAll!$AU$2:$AU$555,MATCH(LOWER(Data!A62),LOWER(DataAll!$AS$2:$AS$555),0))</f>
        <v>8.58</v>
      </c>
      <c r="Q62" cm="1">
        <f t="array" ref="Q62">INDEX(DataAll!$AX$2:$AX$556,MATCH(LOWER(Data!A62),LOWER(DataAll!$AW$2:$AW$556),0))</f>
        <v>45.64</v>
      </c>
      <c r="R62" cm="1">
        <f t="array" ref="R62">INDEX('Longitude and Latitude'!$B$2:$B$579,MATCH(LOWER(Data!A62),LOWER('Longitude and Latitude'!$A$2:$A$579),0))</f>
        <v>-1.7223147000000001</v>
      </c>
      <c r="S62" cm="1">
        <f t="array" ref="S62">INDEX('Longitude and Latitude'!$C$2:$C$579,MATCH(LOWER(Data!A62),LOWER('Longitude and Latitude'!$A$2:$A$579),0))</f>
        <v>100.89030990000001</v>
      </c>
      <c r="T62" t="b">
        <f>IF(EXACT(A62, UPPER(A62)), TRUE, FALSE)</f>
        <v>0</v>
      </c>
    </row>
    <row r="63" spans="1:20" x14ac:dyDescent="0.35">
      <c r="A63" t="s">
        <v>64</v>
      </c>
      <c r="B63">
        <v>96.17</v>
      </c>
      <c r="C63" cm="1">
        <f t="array" ref="C63">INDEX(DataAll!$E$2:$E$555,MATCH(LOWER(Data!A63),LOWER(DataAll!$D$2:$D$555),0))</f>
        <v>59.38</v>
      </c>
      <c r="D63" cm="1">
        <f t="array" ref="D63">INDEX(DataAll!$H$2:$H$579,MATCH(LOWER(Data!A63),LOWER(DataAll!$G$2:$G$555),0))</f>
        <v>0.42299999999999999</v>
      </c>
      <c r="E63" cm="1">
        <f t="array" ref="E63">INDEX(DataAll!$K$2:$K$579,MATCH(LOWER(Data!A63),LOWER(DataAll!$J$2:$J$555),0))</f>
        <v>8.57</v>
      </c>
      <c r="F63" cm="1">
        <f t="array" ref="F63">INDEX(DataAll!$N$2:$N$555,MATCH(LOWER(Data!A63),LOWER(DataAll!$M$2:$M$555),0))</f>
        <v>69.87</v>
      </c>
      <c r="G63" cm="1">
        <f t="array" ref="G63">INDEX(DataAll!$Q$2:$Q$555,MATCH(LOWER(Data!A63),LOWER(DataAll!$P$2:$P$555),0))</f>
        <v>6.83</v>
      </c>
      <c r="H63" cm="1">
        <f t="array" ref="H63">INDEX(DataAll!$T$2:$T$555,MATCH(LOWER(Data!A63),LOWER(DataAll!$S$2:$S$555),0))</f>
        <v>0.19500000000000001</v>
      </c>
      <c r="I63" cm="1">
        <f t="array" ref="I63">INDEX(DataAll!$W$2:$W$555,MATCH(LOWER(Data!A63),LOWER(DataAll!$V$2:$V$555),0))</f>
        <v>39.46</v>
      </c>
      <c r="J63" cm="1">
        <f t="array" ref="J63">INDEX(DataAll!$Z$2:$Z$555,MATCH(LOWER(Data!A63),LOWER(DataAll!$Y$2:$Y$555),0))</f>
        <v>2.39</v>
      </c>
      <c r="K63" cm="1">
        <f t="array" ref="K63">INDEX(DataAll!$AM$2:$AM$555,MATCH(LOWER(Data!A63),LOWER(DataAll!$AL$2:$AL$555),0))</f>
        <v>7.13</v>
      </c>
      <c r="L63" cm="1">
        <f t="array" ref="L63">INDEX(DataAll!$AJ$2:$AJ$555,MATCH(LOWER(Data!A63),LOWER(DataAll!$AI$2:$AI$555),0))</f>
        <v>27.87</v>
      </c>
      <c r="M63" cm="1">
        <f t="array" ref="M63">INDEX(DataAll!$AP$2:$AP$555,MATCH(LOWER(Data!A63),LOWER(DataAll!$AO$2:$AO$555),0))</f>
        <v>67.63</v>
      </c>
      <c r="N63" cm="1">
        <f t="array" ref="N63">INDEX(DataAll!$AQ$2:$AQ$555,MATCH(LOWER(Data!A63),LOWER(DataAll!$AO$2:$AO$555),0))</f>
        <v>71.58</v>
      </c>
      <c r="O63" cm="1">
        <f t="array" ref="O63">INDEX(DataAll!$AT$2:$AT$555,MATCH(LOWER(Data!A63),LOWER(DataAll!$AS$2:$AS$555),0))</f>
        <v>7.93</v>
      </c>
      <c r="P63" cm="1">
        <f t="array" ref="P63">INDEX(DataAll!$AU$2:$AU$555,MATCH(LOWER(Data!A63),LOWER(DataAll!$AS$2:$AS$555),0))</f>
        <v>7.9</v>
      </c>
      <c r="Q63" cm="1">
        <f t="array" ref="Q63">INDEX(DataAll!$AX$2:$AX$556,MATCH(LOWER(Data!A63),LOWER(DataAll!$AW$2:$AW$556),0))</f>
        <v>37.1</v>
      </c>
      <c r="R63" cm="1">
        <f t="array" ref="R63">INDEX('Longitude and Latitude'!$B$2:$B$579,MATCH(LOWER(Data!A63),LOWER('Longitude and Latitude'!$A$2:$A$579),0))</f>
        <v>-0.80302700000000005</v>
      </c>
      <c r="S63" cm="1">
        <f t="array" ref="S63">INDEX('Longitude and Latitude'!$C$2:$C$579,MATCH(LOWER(Data!A63),LOWER('Longitude and Latitude'!$A$2:$A$579),0))</f>
        <v>100.644402</v>
      </c>
      <c r="T63" t="b">
        <f>IF(EXACT(A63, UPPER(A63)), TRUE, FALSE)</f>
        <v>0</v>
      </c>
    </row>
    <row r="64" spans="1:20" x14ac:dyDescent="0.35">
      <c r="A64" t="s">
        <v>65</v>
      </c>
      <c r="B64">
        <v>94.28</v>
      </c>
      <c r="C64" cm="1">
        <f t="array" ref="C64">INDEX(DataAll!$E$2:$E$555,MATCH(LOWER(Data!A64),LOWER(DataAll!$D$2:$D$555),0))</f>
        <v>61.72</v>
      </c>
      <c r="D64" cm="1">
        <f t="array" ref="D64">INDEX(DataAll!$H$2:$H$579,MATCH(LOWER(Data!A64),LOWER(DataAll!$G$2:$G$555),0))</f>
        <v>0.46500000000000002</v>
      </c>
      <c r="E64" cm="1">
        <f t="array" ref="E64">INDEX(DataAll!$K$2:$K$579,MATCH(LOWER(Data!A64),LOWER(DataAll!$J$2:$J$555),0))</f>
        <v>13.33</v>
      </c>
      <c r="F64" cm="1">
        <f t="array" ref="F64">INDEX(DataAll!$N$2:$N$555,MATCH(LOWER(Data!A64),LOWER(DataAll!$M$2:$M$555),0))</f>
        <v>58.97</v>
      </c>
      <c r="G64" cm="1">
        <f t="array" ref="G64">INDEX(DataAll!$Q$2:$Q$555,MATCH(LOWER(Data!A64),LOWER(DataAll!$P$2:$P$555),0))</f>
        <v>5.88</v>
      </c>
      <c r="H64" cm="1">
        <f t="array" ref="H64">INDEX(DataAll!$T$2:$T$555,MATCH(LOWER(Data!A64),LOWER(DataAll!$S$2:$S$555),0))</f>
        <v>0.24</v>
      </c>
      <c r="I64" cm="1">
        <f t="array" ref="I64">INDEX(DataAll!$W$2:$W$555,MATCH(LOWER(Data!A64),LOWER(DataAll!$V$2:$V$555),0))</f>
        <v>28.55</v>
      </c>
      <c r="J64" cm="1">
        <f t="array" ref="J64">INDEX(DataAll!$Z$2:$Z$555,MATCH(LOWER(Data!A64),LOWER(DataAll!$Y$2:$Y$555),0))</f>
        <v>2.5099999999999998</v>
      </c>
      <c r="K64" cm="1">
        <f t="array" ref="K64">INDEX(DataAll!$AM$2:$AM$555,MATCH(LOWER(Data!A64),LOWER(DataAll!$AL$2:$AL$555),0))</f>
        <v>5.88</v>
      </c>
      <c r="L64" cm="1">
        <f t="array" ref="L64">INDEX(DataAll!$AJ$2:$AJ$555,MATCH(LOWER(Data!A64),LOWER(DataAll!$AI$2:$AI$555),0))</f>
        <v>26.68</v>
      </c>
      <c r="M64" cm="1">
        <f t="array" ref="M64">INDEX(DataAll!$AP$2:$AP$555,MATCH(LOWER(Data!A64),LOWER(DataAll!$AO$2:$AO$555),0))</f>
        <v>65.09</v>
      </c>
      <c r="N64" cm="1">
        <f t="array" ref="N64">INDEX(DataAll!$AQ$2:$AQ$555,MATCH(LOWER(Data!A64),LOWER(DataAll!$AO$2:$AO$555),0))</f>
        <v>69.040000000000006</v>
      </c>
      <c r="O64" cm="1">
        <f t="array" ref="O64">INDEX(DataAll!$AT$2:$AT$555,MATCH(LOWER(Data!A64),LOWER(DataAll!$AS$2:$AS$555),0))</f>
        <v>8.66</v>
      </c>
      <c r="P64" cm="1">
        <f t="array" ref="P64">INDEX(DataAll!$AU$2:$AU$555,MATCH(LOWER(Data!A64),LOWER(DataAll!$AS$2:$AS$555),0))</f>
        <v>8.5500000000000007</v>
      </c>
      <c r="Q64" cm="1">
        <f t="array" ref="Q64">INDEX(DataAll!$AX$2:$AX$556,MATCH(LOWER(Data!A64),LOWER(DataAll!$AW$2:$AW$556),0))</f>
        <v>43.87</v>
      </c>
      <c r="R64" cm="1">
        <f t="array" ref="R64">INDEX('Longitude and Latitude'!$B$2:$B$579,MATCH(LOWER(Data!A64),LOWER('Longitude and Latitude'!$A$2:$A$579),0))</f>
        <v>-0.68815859999999995</v>
      </c>
      <c r="S64" cm="1">
        <f t="array" ref="S64">INDEX('Longitude and Latitude'!$C$2:$C$579,MATCH(LOWER(Data!A64),LOWER('Longitude and Latitude'!$A$2:$A$579),0))</f>
        <v>100.997658</v>
      </c>
      <c r="T64" t="b">
        <f>IF(EXACT(A64, UPPER(A64)), TRUE, FALSE)</f>
        <v>0</v>
      </c>
    </row>
    <row r="65" spans="1:20" x14ac:dyDescent="0.35">
      <c r="A65" t="s">
        <v>66</v>
      </c>
      <c r="B65">
        <v>97.73</v>
      </c>
      <c r="C65" cm="1">
        <f t="array" ref="C65">INDEX(DataAll!$E$2:$E$555,MATCH(LOWER(Data!A65),LOWER(DataAll!$D$2:$D$555),0))</f>
        <v>59.46</v>
      </c>
      <c r="D65" cm="1">
        <f t="array" ref="D65">INDEX(DataAll!$H$2:$H$579,MATCH(LOWER(Data!A65),LOWER(DataAll!$G$2:$G$555),0))</f>
        <v>0.33600000000000002</v>
      </c>
      <c r="E65" cm="1">
        <f t="array" ref="E65">INDEX(DataAll!$K$2:$K$579,MATCH(LOWER(Data!A65),LOWER(DataAll!$J$2:$J$555),0))</f>
        <v>8.57</v>
      </c>
      <c r="F65" cm="1">
        <f t="array" ref="F65">INDEX(DataAll!$N$2:$N$555,MATCH(LOWER(Data!A65),LOWER(DataAll!$M$2:$M$555),0))</f>
        <v>62.19</v>
      </c>
      <c r="G65" cm="1">
        <f t="array" ref="G65">INDEX(DataAll!$Q$2:$Q$555,MATCH(LOWER(Data!A65),LOWER(DataAll!$P$2:$P$555),0))</f>
        <v>9.5399999999999991</v>
      </c>
      <c r="H65" cm="1">
        <f t="array" ref="H65">INDEX(DataAll!$T$2:$T$555,MATCH(LOWER(Data!A65),LOWER(DataAll!$S$2:$S$555),0))</f>
        <v>0.14099999999999999</v>
      </c>
      <c r="I65" cm="1">
        <f t="array" ref="I65">INDEX(DataAll!$W$2:$W$555,MATCH(LOWER(Data!A65),LOWER(DataAll!$V$2:$V$555),0))</f>
        <v>35.54</v>
      </c>
      <c r="J65" cm="1">
        <f t="array" ref="J65">INDEX(DataAll!$Z$2:$Z$555,MATCH(LOWER(Data!A65),LOWER(DataAll!$Y$2:$Y$555),0))</f>
        <v>2.41</v>
      </c>
      <c r="K65" cm="1">
        <f t="array" ref="K65">INDEX(DataAll!$AM$2:$AM$555,MATCH(LOWER(Data!A65),LOWER(DataAll!$AL$2:$AL$555),0))</f>
        <v>4.16</v>
      </c>
      <c r="L65" cm="1">
        <f t="array" ref="L65">INDEX(DataAll!$AJ$2:$AJ$555,MATCH(LOWER(Data!A65),LOWER(DataAll!$AI$2:$AI$555),0))</f>
        <v>19.05</v>
      </c>
      <c r="M65" cm="1">
        <f t="array" ref="M65">INDEX(DataAll!$AP$2:$AP$555,MATCH(LOWER(Data!A65),LOWER(DataAll!$AO$2:$AO$555),0))</f>
        <v>68.92</v>
      </c>
      <c r="N65" cm="1">
        <f t="array" ref="N65">INDEX(DataAll!$AQ$2:$AQ$555,MATCH(LOWER(Data!A65),LOWER(DataAll!$AO$2:$AO$555),0))</f>
        <v>72.86</v>
      </c>
      <c r="O65" cm="1">
        <f t="array" ref="O65">INDEX(DataAll!$AT$2:$AT$555,MATCH(LOWER(Data!A65),LOWER(DataAll!$AS$2:$AS$555),0))</f>
        <v>8.7799999999999994</v>
      </c>
      <c r="P65" cm="1">
        <f t="array" ref="P65">INDEX(DataAll!$AU$2:$AU$555,MATCH(LOWER(Data!A65),LOWER(DataAll!$AS$2:$AS$555),0))</f>
        <v>9.2200000000000006</v>
      </c>
      <c r="Q65" cm="1">
        <f t="array" ref="Q65">INDEX(DataAll!$AX$2:$AX$556,MATCH(LOWER(Data!A65),LOWER(DataAll!$AW$2:$AW$556),0))</f>
        <v>46.7</v>
      </c>
      <c r="R65" cm="1">
        <f t="array" ref="R65">INDEX('Longitude and Latitude'!$B$2:$B$579,MATCH(LOWER(Data!A65),LOWER('Longitude and Latitude'!$A$2:$A$579),0))</f>
        <v>-0.47970429999999997</v>
      </c>
      <c r="S65" cm="1">
        <f t="array" ref="S65">INDEX('Longitude and Latitude'!$C$2:$C$579,MATCH(LOWER(Data!A65),LOWER('Longitude and Latitude'!$A$2:$A$579),0))</f>
        <v>100.5746224</v>
      </c>
      <c r="T65" t="b">
        <f>IF(EXACT(A65, UPPER(A65)), TRUE, FALSE)</f>
        <v>0</v>
      </c>
    </row>
    <row r="66" spans="1:20" x14ac:dyDescent="0.35">
      <c r="A66" t="s">
        <v>67</v>
      </c>
      <c r="B66">
        <v>93.32</v>
      </c>
      <c r="C66" cm="1">
        <f t="array" ref="C66">INDEX(DataAll!$E$2:$E$555,MATCH(LOWER(Data!A66),LOWER(DataAll!$D$2:$D$555),0))</f>
        <v>47.79</v>
      </c>
      <c r="D66" cm="1">
        <f t="array" ref="D66">INDEX(DataAll!$H$2:$H$579,MATCH(LOWER(Data!A66),LOWER(DataAll!$G$2:$G$555),0))</f>
        <v>0.751</v>
      </c>
      <c r="E66" t="str" cm="1">
        <f t="array" ref="E66">INDEX(DataAll!$K$2:$K$579,MATCH(LOWER(Data!A66),LOWER(DataAll!$J$2:$J$555),0))</f>
        <v>-</v>
      </c>
      <c r="F66" cm="1">
        <f t="array" ref="F66">INDEX(DataAll!$N$2:$N$555,MATCH(LOWER(Data!A66),LOWER(DataAll!$M$2:$M$555),0))</f>
        <v>60.06</v>
      </c>
      <c r="G66" cm="1">
        <f t="array" ref="G66">INDEX(DataAll!$Q$2:$Q$555,MATCH(LOWER(Data!A66),LOWER(DataAll!$P$2:$P$555),0))</f>
        <v>7.41</v>
      </c>
      <c r="H66" cm="1">
        <f t="array" ref="H66">INDEX(DataAll!$T$2:$T$555,MATCH(LOWER(Data!A66),LOWER(DataAll!$S$2:$S$555),0))</f>
        <v>6.7000000000000004E-2</v>
      </c>
      <c r="I66" cm="1">
        <f t="array" ref="I66">INDEX(DataAll!$W$2:$W$555,MATCH(LOWER(Data!A66),LOWER(DataAll!$V$2:$V$555),0))</f>
        <v>31.2</v>
      </c>
      <c r="J66" cm="1">
        <f t="array" ref="J66">INDEX(DataAll!$Z$2:$Z$555,MATCH(LOWER(Data!A66),LOWER(DataAll!$Y$2:$Y$555),0))</f>
        <v>2.54</v>
      </c>
      <c r="K66" cm="1">
        <f t="array" ref="K66">INDEX(DataAll!$AM$2:$AM$555,MATCH(LOWER(Data!A66),LOWER(DataAll!$AL$2:$AL$555),0))</f>
        <v>6.34</v>
      </c>
      <c r="L66" cm="1">
        <f t="array" ref="L66">INDEX(DataAll!$AJ$2:$AJ$555,MATCH(LOWER(Data!A66),LOWER(DataAll!$AI$2:$AI$555),0))</f>
        <v>19.05</v>
      </c>
      <c r="M66" cm="1">
        <f t="array" ref="M66">INDEX(DataAll!$AP$2:$AP$555,MATCH(LOWER(Data!A66),LOWER(DataAll!$AO$2:$AO$555),0))</f>
        <v>67.77</v>
      </c>
      <c r="N66" cm="1">
        <f t="array" ref="N66">INDEX(DataAll!$AQ$2:$AQ$555,MATCH(LOWER(Data!A66),LOWER(DataAll!$AO$2:$AO$555),0))</f>
        <v>71.72</v>
      </c>
      <c r="O66" cm="1">
        <f t="array" ref="O66">INDEX(DataAll!$AT$2:$AT$555,MATCH(LOWER(Data!A66),LOWER(DataAll!$AS$2:$AS$555),0))</f>
        <v>8.6999999999999993</v>
      </c>
      <c r="P66" cm="1">
        <f t="array" ref="P66">INDEX(DataAll!$AU$2:$AU$555,MATCH(LOWER(Data!A66),LOWER(DataAll!$AS$2:$AS$555),0))</f>
        <v>8.11</v>
      </c>
      <c r="Q66" cm="1">
        <f t="array" ref="Q66">INDEX(DataAll!$AX$2:$AX$556,MATCH(LOWER(Data!A66),LOWER(DataAll!$AW$2:$AW$556),0))</f>
        <v>40.36</v>
      </c>
      <c r="R66" cm="1">
        <f t="array" ref="R66">INDEX('Longitude and Latitude'!$B$2:$B$579,MATCH(LOWER(Data!A66),LOWER('Longitude and Latitude'!$A$2:$A$579),0))</f>
        <v>-0.55467569999999999</v>
      </c>
      <c r="S66" cm="1">
        <f t="array" ref="S66">INDEX('Longitude and Latitude'!$C$2:$C$579,MATCH(LOWER(Data!A66),LOWER('Longitude and Latitude'!$A$2:$A$579),0))</f>
        <v>100.2151578</v>
      </c>
      <c r="T66" t="b">
        <f>IF(EXACT(A66, UPPER(A66)), TRUE, FALSE)</f>
        <v>0</v>
      </c>
    </row>
    <row r="67" spans="1:20" x14ac:dyDescent="0.35">
      <c r="A67" t="s">
        <v>68</v>
      </c>
      <c r="B67">
        <v>97.19</v>
      </c>
      <c r="C67" cm="1">
        <f t="array" ref="C67">INDEX(DataAll!$E$2:$E$555,MATCH(LOWER(Data!A67),LOWER(DataAll!$D$2:$D$555),0))</f>
        <v>64.430000000000007</v>
      </c>
      <c r="D67" cm="1">
        <f t="array" ref="D67">INDEX(DataAll!$H$2:$H$579,MATCH(LOWER(Data!A67),LOWER(DataAll!$G$2:$G$555),0))</f>
        <v>0.16200000000000001</v>
      </c>
      <c r="E67" cm="1">
        <f t="array" ref="E67">INDEX(DataAll!$K$2:$K$579,MATCH(LOWER(Data!A67),LOWER(DataAll!$J$2:$J$555),0))</f>
        <v>8.89</v>
      </c>
      <c r="F67" cm="1">
        <f t="array" ref="F67">INDEX(DataAll!$N$2:$N$555,MATCH(LOWER(Data!A67),LOWER(DataAll!$M$2:$M$555),0))</f>
        <v>57.14</v>
      </c>
      <c r="G67" cm="1">
        <f t="array" ref="G67">INDEX(DataAll!$Q$2:$Q$555,MATCH(LOWER(Data!A67),LOWER(DataAll!$P$2:$P$555),0))</f>
        <v>9.86</v>
      </c>
      <c r="H67" cm="1">
        <f t="array" ref="H67">INDEX(DataAll!$T$2:$T$555,MATCH(LOWER(Data!A67),LOWER(DataAll!$S$2:$S$555),0))</f>
        <v>7.0000000000000007E-2</v>
      </c>
      <c r="I67" cm="1">
        <f t="array" ref="I67">INDEX(DataAll!$W$2:$W$555,MATCH(LOWER(Data!A67),LOWER(DataAll!$V$2:$V$555),0))</f>
        <v>39.72</v>
      </c>
      <c r="J67" cm="1">
        <f t="array" ref="J67">INDEX(DataAll!$Z$2:$Z$555,MATCH(LOWER(Data!A67),LOWER(DataAll!$Y$2:$Y$555),0))</f>
        <v>2.5499999999999998</v>
      </c>
      <c r="K67" cm="1">
        <f t="array" ref="K67">INDEX(DataAll!$AM$2:$AM$555,MATCH(LOWER(Data!A67),LOWER(DataAll!$AL$2:$AL$555),0))</f>
        <v>6.6</v>
      </c>
      <c r="L67" cm="1">
        <f t="array" ref="L67">INDEX(DataAll!$AJ$2:$AJ$555,MATCH(LOWER(Data!A67),LOWER(DataAll!$AI$2:$AI$555),0))</f>
        <v>17.649999999999999</v>
      </c>
      <c r="M67" cm="1">
        <f t="array" ref="M67">INDEX(DataAll!$AP$2:$AP$555,MATCH(LOWER(Data!A67),LOWER(DataAll!$AO$2:$AO$555),0))</f>
        <v>71.150000000000006</v>
      </c>
      <c r="N67" cm="1">
        <f t="array" ref="N67">INDEX(DataAll!$AQ$2:$AQ$555,MATCH(LOWER(Data!A67),LOWER(DataAll!$AO$2:$AO$555),0))</f>
        <v>75.41</v>
      </c>
      <c r="O67" cm="1">
        <f t="array" ref="O67">INDEX(DataAll!$AT$2:$AT$555,MATCH(LOWER(Data!A67),LOWER(DataAll!$AS$2:$AS$555),0))</f>
        <v>9.09</v>
      </c>
      <c r="P67" cm="1">
        <f t="array" ref="P67">INDEX(DataAll!$AU$2:$AU$555,MATCH(LOWER(Data!A67),LOWER(DataAll!$AS$2:$AS$555),0))</f>
        <v>9.33</v>
      </c>
      <c r="Q67" cm="1">
        <f t="array" ref="Q67">INDEX(DataAll!$AX$2:$AX$556,MATCH(LOWER(Data!A67),LOWER(DataAll!$AW$2:$AW$556),0))</f>
        <v>49.9</v>
      </c>
      <c r="R67" cm="1">
        <f t="array" ref="R67">INDEX('Longitude and Latitude'!$B$2:$B$579,MATCH(LOWER(Data!A67),LOWER('Longitude and Latitude'!$A$2:$A$579),0))</f>
        <v>-0.2209392</v>
      </c>
      <c r="S67" cm="1">
        <f t="array" ref="S67">INDEX('Longitude and Latitude'!$C$2:$C$579,MATCH(LOWER(Data!A67),LOWER('Longitude and Latitude'!$A$2:$A$579),0))</f>
        <v>100.17032570000001</v>
      </c>
      <c r="T67" t="b">
        <f>IF(EXACT(A67, UPPER(A67)), TRUE, FALSE)</f>
        <v>0</v>
      </c>
    </row>
    <row r="68" spans="1:20" x14ac:dyDescent="0.35">
      <c r="A68" t="s">
        <v>69</v>
      </c>
      <c r="B68">
        <v>94.77</v>
      </c>
      <c r="C68" cm="1">
        <f t="array" ref="C68">INDEX(DataAll!$E$2:$E$555,MATCH(LOWER(Data!A68),LOWER(DataAll!$D$2:$D$555),0))</f>
        <v>49.4</v>
      </c>
      <c r="D68" cm="1">
        <f t="array" ref="D68">INDEX(DataAll!$H$2:$H$579,MATCH(LOWER(Data!A68),LOWER(DataAll!$G$2:$G$555),0))</f>
        <v>0.49199999999999999</v>
      </c>
      <c r="E68" cm="1">
        <f t="array" ref="E68">INDEX(DataAll!$K$2:$K$579,MATCH(LOWER(Data!A68),LOWER(DataAll!$J$2:$J$555),0))</f>
        <v>5.71</v>
      </c>
      <c r="F68" cm="1">
        <f t="array" ref="F68">INDEX(DataAll!$N$2:$N$555,MATCH(LOWER(Data!A68),LOWER(DataAll!$M$2:$M$555),0))</f>
        <v>67.2</v>
      </c>
      <c r="G68" cm="1">
        <f t="array" ref="G68">INDEX(DataAll!$Q$2:$Q$555,MATCH(LOWER(Data!A68),LOWER(DataAll!$P$2:$P$555),0))</f>
        <v>6.85</v>
      </c>
      <c r="H68" cm="1">
        <f t="array" ref="H68">INDEX(DataAll!$T$2:$T$555,MATCH(LOWER(Data!A68),LOWER(DataAll!$S$2:$S$555),0))</f>
        <v>0.20699999999999999</v>
      </c>
      <c r="I68" cm="1">
        <f t="array" ref="I68">INDEX(DataAll!$W$2:$W$555,MATCH(LOWER(Data!A68),LOWER(DataAll!$V$2:$V$555),0))</f>
        <v>28.65</v>
      </c>
      <c r="J68" cm="1">
        <f t="array" ref="J68">INDEX(DataAll!$Z$2:$Z$555,MATCH(LOWER(Data!A68),LOWER(DataAll!$Y$2:$Y$555),0))</f>
        <v>2.4500000000000002</v>
      </c>
      <c r="K68" cm="1">
        <f t="array" ref="K68">INDEX(DataAll!$AM$2:$AM$555,MATCH(LOWER(Data!A68),LOWER(DataAll!$AL$2:$AL$555),0))</f>
        <v>6.8</v>
      </c>
      <c r="L68" cm="1">
        <f t="array" ref="L68">INDEX(DataAll!$AJ$2:$AJ$555,MATCH(LOWER(Data!A68),LOWER(DataAll!$AI$2:$AI$555),0))</f>
        <v>22.55</v>
      </c>
      <c r="M68" cm="1">
        <f t="array" ref="M68">INDEX(DataAll!$AP$2:$AP$555,MATCH(LOWER(Data!A68),LOWER(DataAll!$AO$2:$AO$555),0))</f>
        <v>68.38</v>
      </c>
      <c r="N68" cm="1">
        <f t="array" ref="N68">INDEX(DataAll!$AQ$2:$AQ$555,MATCH(LOWER(Data!A68),LOWER(DataAll!$AO$2:$AO$555),0))</f>
        <v>72.31</v>
      </c>
      <c r="O68" cm="1">
        <f t="array" ref="O68">INDEX(DataAll!$AT$2:$AT$555,MATCH(LOWER(Data!A68),LOWER(DataAll!$AS$2:$AS$555),0))</f>
        <v>8.4499999999999993</v>
      </c>
      <c r="P68" cm="1">
        <f t="array" ref="P68">INDEX(DataAll!$AU$2:$AU$555,MATCH(LOWER(Data!A68),LOWER(DataAll!$AS$2:$AS$555),0))</f>
        <v>8.11</v>
      </c>
      <c r="Q68" cm="1">
        <f t="array" ref="Q68">INDEX(DataAll!$AX$2:$AX$556,MATCH(LOWER(Data!A68),LOWER(DataAll!$AW$2:$AW$556),0))</f>
        <v>38.450000000000003</v>
      </c>
      <c r="R68" cm="1">
        <f t="array" ref="R68">INDEX('Longitude and Latitude'!$B$2:$B$579,MATCH(LOWER(Data!A68),LOWER('Longitude and Latitude'!$A$2:$A$579),0))</f>
        <v>3.1682160000000001</v>
      </c>
      <c r="S68" cm="1">
        <f t="array" ref="S68">INDEX('Longitude and Latitude'!$C$2:$C$579,MATCH(LOWER(Data!A68),LOWER('Longitude and Latitude'!$A$2:$A$579),0))</f>
        <v>99.4187929</v>
      </c>
      <c r="T68" t="b">
        <f>IF(EXACT(A68, UPPER(A68)), TRUE, FALSE)</f>
        <v>0</v>
      </c>
    </row>
    <row r="69" spans="1:20" x14ac:dyDescent="0.35">
      <c r="A69" t="s">
        <v>70</v>
      </c>
      <c r="B69">
        <v>92.7</v>
      </c>
      <c r="C69" cm="1">
        <f t="array" ref="C69">INDEX(DataAll!$E$2:$E$555,MATCH(LOWER(Data!A69),LOWER(DataAll!$D$2:$D$555),0))</f>
        <v>61.01</v>
      </c>
      <c r="D69" cm="1">
        <f t="array" ref="D69">INDEX(DataAll!$H$2:$H$579,MATCH(LOWER(Data!A69),LOWER(DataAll!$G$2:$G$555),0))</f>
        <v>0.52700000000000002</v>
      </c>
      <c r="E69" cm="1">
        <f t="array" ref="E69">INDEX(DataAll!$K$2:$K$579,MATCH(LOWER(Data!A69),LOWER(DataAll!$J$2:$J$555),0))</f>
        <v>8.57</v>
      </c>
      <c r="F69" cm="1">
        <f t="array" ref="F69">INDEX(DataAll!$N$2:$N$555,MATCH(LOWER(Data!A69),LOWER(DataAll!$M$2:$M$555),0))</f>
        <v>69.209999999999994</v>
      </c>
      <c r="G69" cm="1">
        <f t="array" ref="G69">INDEX(DataAll!$Q$2:$Q$555,MATCH(LOWER(Data!A69),LOWER(DataAll!$P$2:$P$555),0))</f>
        <v>8.67</v>
      </c>
      <c r="H69" cm="1">
        <f t="array" ref="H69">INDEX(DataAll!$T$2:$T$555,MATCH(LOWER(Data!A69),LOWER(DataAll!$S$2:$S$555),0))</f>
        <v>0.217</v>
      </c>
      <c r="I69" cm="1">
        <f t="array" ref="I69">INDEX(DataAll!$W$2:$W$555,MATCH(LOWER(Data!A69),LOWER(DataAll!$V$2:$V$555),0))</f>
        <v>40.409999999999997</v>
      </c>
      <c r="J69" cm="1">
        <f t="array" ref="J69">INDEX(DataAll!$Z$2:$Z$555,MATCH(LOWER(Data!A69),LOWER(DataAll!$Y$2:$Y$555),0))</f>
        <v>2.6</v>
      </c>
      <c r="K69" cm="1">
        <f t="array" ref="K69">INDEX(DataAll!$AM$2:$AM$555,MATCH(LOWER(Data!A69),LOWER(DataAll!$AL$2:$AL$555),0))</f>
        <v>6.8</v>
      </c>
      <c r="L69" cm="1">
        <f t="array" ref="L69">INDEX(DataAll!$AJ$2:$AJ$555,MATCH(LOWER(Data!A69),LOWER(DataAll!$AI$2:$AI$555),0))</f>
        <v>29.59</v>
      </c>
      <c r="M69" cm="1">
        <f t="array" ref="M69">INDEX(DataAll!$AP$2:$AP$555,MATCH(LOWER(Data!A69),LOWER(DataAll!$AO$2:$AO$555),0))</f>
        <v>66.34</v>
      </c>
      <c r="N69" cm="1">
        <f t="array" ref="N69">INDEX(DataAll!$AQ$2:$AQ$555,MATCH(LOWER(Data!A69),LOWER(DataAll!$AO$2:$AO$555),0))</f>
        <v>70.33</v>
      </c>
      <c r="O69" cm="1">
        <f t="array" ref="O69">INDEX(DataAll!$AT$2:$AT$555,MATCH(LOWER(Data!A69),LOWER(DataAll!$AS$2:$AS$555),0))</f>
        <v>8.39</v>
      </c>
      <c r="P69" cm="1">
        <f t="array" ref="P69">INDEX(DataAll!$AU$2:$AU$555,MATCH(LOWER(Data!A69),LOWER(DataAll!$AS$2:$AS$555),0))</f>
        <v>8.0500000000000007</v>
      </c>
      <c r="Q69" cm="1">
        <f t="array" ref="Q69">INDEX(DataAll!$AX$2:$AX$556,MATCH(LOWER(Data!A69),LOWER(DataAll!$AW$2:$AW$556),0))</f>
        <v>34.96</v>
      </c>
      <c r="R69" cm="1">
        <f t="array" ref="R69">INDEX('Longitude and Latitude'!$B$2:$B$579,MATCH(LOWER(Data!A69),LOWER('Longitude and Latitude'!$A$2:$A$579),0))</f>
        <v>0.1288752</v>
      </c>
      <c r="S69" cm="1">
        <f t="array" ref="S69">INDEX('Longitude and Latitude'!$C$2:$C$579,MATCH(LOWER(Data!A69),LOWER('Longitude and Latitude'!$A$2:$A$579),0))</f>
        <v>99.790178100000006</v>
      </c>
      <c r="T69" t="b">
        <f>IF(EXACT(A69, UPPER(A69)), TRUE, FALSE)</f>
        <v>0</v>
      </c>
    </row>
    <row r="70" spans="1:20" x14ac:dyDescent="0.35">
      <c r="A70" t="s">
        <v>71</v>
      </c>
      <c r="B70">
        <v>95.27</v>
      </c>
      <c r="C70" cm="1">
        <f t="array" ref="C70">INDEX(DataAll!$E$2:$E$555,MATCH(LOWER(Data!A70),LOWER(DataAll!$D$2:$D$555),0))</f>
        <v>48.7</v>
      </c>
      <c r="D70" cm="1">
        <f t="array" ref="D70">INDEX(DataAll!$H$2:$H$579,MATCH(LOWER(Data!A70),LOWER(DataAll!$G$2:$G$555),0))</f>
        <v>0.81100000000000005</v>
      </c>
      <c r="E70" t="str" cm="1">
        <f t="array" ref="E70">INDEX(DataAll!$K$2:$K$579,MATCH(LOWER(Data!A70),LOWER(DataAll!$J$2:$J$555),0))</f>
        <v>-</v>
      </c>
      <c r="F70" cm="1">
        <f t="array" ref="F70">INDEX(DataAll!$N$2:$N$555,MATCH(LOWER(Data!A70),LOWER(DataAll!$M$2:$M$555),0))</f>
        <v>66.95</v>
      </c>
      <c r="G70" cm="1">
        <f t="array" ref="G70">INDEX(DataAll!$Q$2:$Q$555,MATCH(LOWER(Data!A70),LOWER(DataAll!$P$2:$P$555),0))</f>
        <v>8.01</v>
      </c>
      <c r="H70" cm="1">
        <f t="array" ref="H70">INDEX(DataAll!$T$2:$T$555,MATCH(LOWER(Data!A70),LOWER(DataAll!$S$2:$S$555),0))</f>
        <v>0.24199999999999999</v>
      </c>
      <c r="I70" cm="1">
        <f t="array" ref="I70">INDEX(DataAll!$W$2:$W$555,MATCH(LOWER(Data!A70),LOWER(DataAll!$V$2:$V$555),0))</f>
        <v>37.79</v>
      </c>
      <c r="J70" cm="1">
        <f t="array" ref="J70">INDEX(DataAll!$Z$2:$Z$555,MATCH(LOWER(Data!A70),LOWER(DataAll!$Y$2:$Y$555),0))</f>
        <v>2.6</v>
      </c>
      <c r="K70" cm="1">
        <f t="array" ref="K70">INDEX(DataAll!$AM$2:$AM$555,MATCH(LOWER(Data!A70),LOWER(DataAll!$AL$2:$AL$555),0))</f>
        <v>6.45</v>
      </c>
      <c r="L70" cm="1">
        <f t="array" ref="L70">INDEX(DataAll!$AJ$2:$AJ$555,MATCH(LOWER(Data!A70),LOWER(DataAll!$AI$2:$AI$555),0))</f>
        <v>28.79</v>
      </c>
      <c r="M70" cm="1">
        <f t="array" ref="M70">INDEX(DataAll!$AP$2:$AP$555,MATCH(LOWER(Data!A70),LOWER(DataAll!$AO$2:$AO$555),0))</f>
        <v>66.77</v>
      </c>
      <c r="N70" cm="1">
        <f t="array" ref="N70">INDEX(DataAll!$AQ$2:$AQ$555,MATCH(LOWER(Data!A70),LOWER(DataAll!$AO$2:$AO$555),0))</f>
        <v>70.739999999999995</v>
      </c>
      <c r="O70" cm="1">
        <f t="array" ref="O70">INDEX(DataAll!$AT$2:$AT$555,MATCH(LOWER(Data!A70),LOWER(DataAll!$AS$2:$AS$555),0))</f>
        <v>8.67</v>
      </c>
      <c r="P70" cm="1">
        <f t="array" ref="P70">INDEX(DataAll!$AU$2:$AU$555,MATCH(LOWER(Data!A70),LOWER(DataAll!$AS$2:$AS$555),0))</f>
        <v>8.7200000000000006</v>
      </c>
      <c r="Q70" cm="1">
        <f t="array" ref="Q70">INDEX(DataAll!$AX$2:$AX$556,MATCH(LOWER(Data!A70),LOWER(DataAll!$AW$2:$AW$556),0))</f>
        <v>40.68</v>
      </c>
      <c r="R70" cm="1">
        <f t="array" ref="R70">INDEX('Longitude and Latitude'!$B$2:$B$579,MATCH(LOWER(Data!A70),LOWER('Longitude and Latitude'!$A$2:$A$579),0))</f>
        <v>-1.4157329000000001</v>
      </c>
      <c r="S70" cm="1">
        <f t="array" ref="S70">INDEX('Longitude and Latitude'!$C$2:$C$579,MATCH(LOWER(Data!A70),LOWER('Longitude and Latitude'!$A$2:$A$579),0))</f>
        <v>101.25237919999999</v>
      </c>
      <c r="T70" t="b">
        <f>IF(EXACT(A70, UPPER(A70)), TRUE, FALSE)</f>
        <v>0</v>
      </c>
    </row>
    <row r="71" spans="1:20" x14ac:dyDescent="0.35">
      <c r="A71" t="s">
        <v>1084</v>
      </c>
      <c r="B71">
        <v>89.11</v>
      </c>
      <c r="C71" cm="1">
        <f t="array" ref="C71">INDEX(DataAll!$E$2:$E$555,MATCH(LOWER(Data!A71),LOWER(DataAll!$D$2:$D$555),0))</f>
        <v>51.83</v>
      </c>
      <c r="D71" cm="1">
        <f t="array" ref="D71">INDEX(DataAll!$H$2:$H$579,MATCH(LOWER(Data!A71),LOWER(DataAll!$G$2:$G$555),0))</f>
        <v>0.53900000000000003</v>
      </c>
      <c r="E71" cm="1">
        <f t="array" ref="E71">INDEX(DataAll!$K$2:$K$579,MATCH(LOWER(Data!A71),LOWER(DataAll!$J$2:$J$555),0))</f>
        <v>6.67</v>
      </c>
      <c r="F71" cm="1">
        <f t="array" ref="F71">INDEX(DataAll!$N$2:$N$555,MATCH(LOWER(Data!A71),LOWER(DataAll!$M$2:$M$555),0))</f>
        <v>60.3</v>
      </c>
      <c r="G71" cm="1">
        <f t="array" ref="G71">INDEX(DataAll!$Q$2:$Q$555,MATCH(LOWER(Data!A71),LOWER(DataAll!$P$2:$P$555),0))</f>
        <v>6.25</v>
      </c>
      <c r="H71" cm="1">
        <f t="array" ref="H71">INDEX(DataAll!$T$2:$T$555,MATCH(LOWER(Data!A71),LOWER(DataAll!$S$2:$S$555),0))</f>
        <v>0.33300000000000002</v>
      </c>
      <c r="I71" cm="1">
        <f t="array" ref="I71">INDEX(DataAll!$W$2:$W$555,MATCH(LOWER(Data!A71),LOWER(DataAll!$V$2:$V$555),0))</f>
        <v>26.87</v>
      </c>
      <c r="J71" cm="1">
        <f t="array" ref="J71">INDEX(DataAll!$Z$2:$Z$555,MATCH(LOWER(Data!A71),LOWER(DataAll!$Y$2:$Y$555),0))</f>
        <v>2.4</v>
      </c>
      <c r="K71" cm="1">
        <f t="array" ref="K71">INDEX(DataAll!$AM$2:$AM$555,MATCH(LOWER(Data!A71),LOWER(DataAll!$AL$2:$AL$555),0))</f>
        <v>5.56</v>
      </c>
      <c r="L71" cm="1">
        <f t="array" ref="L71">INDEX(DataAll!$AJ$2:$AJ$555,MATCH(LOWER(Data!A71),LOWER(DataAll!$AI$2:$AI$555),0))</f>
        <v>21.25</v>
      </c>
      <c r="M71" cm="1">
        <f t="array" ref="M71">INDEX(DataAll!$AP$2:$AP$555,MATCH(LOWER(Data!A71),LOWER(DataAll!$AO$2:$AO$555),0))</f>
        <v>70.290000000000006</v>
      </c>
      <c r="N71" cm="1">
        <f t="array" ref="N71">INDEX(DataAll!$AQ$2:$AQ$555,MATCH(LOWER(Data!A71),LOWER(DataAll!$AO$2:$AO$555),0))</f>
        <v>74.3</v>
      </c>
      <c r="O71" cm="1">
        <f t="array" ref="O71">INDEX(DataAll!$AT$2:$AT$555,MATCH(LOWER(Data!A71),LOWER(DataAll!$AS$2:$AS$555),0))</f>
        <v>8.9499999999999993</v>
      </c>
      <c r="P71" cm="1">
        <f t="array" ref="P71">INDEX(DataAll!$AU$2:$AU$555,MATCH(LOWER(Data!A71),LOWER(DataAll!$AS$2:$AS$555),0))</f>
        <v>8.6999999999999993</v>
      </c>
      <c r="Q71" t="e" cm="1">
        <f t="array" ref="Q71">INDEX(DataAll!$AX$2:$AX$556,MATCH(LOWER(Data!A71),LOWER(DataAll!$AW$2:$AW$556),0))</f>
        <v>#N/A</v>
      </c>
      <c r="R71" cm="1">
        <f t="array" ref="R71">INDEX('Longitude and Latitude'!$B$2:$B$579,MATCH(LOWER(Data!A71),LOWER('Longitude and Latitude'!$A$2:$A$579),0))</f>
        <v>-1.1120568</v>
      </c>
      <c r="S71" cm="1">
        <f t="array" ref="S71">INDEX('Longitude and Latitude'!$C$2:$C$579,MATCH(LOWER(Data!A71),LOWER('Longitude and Latitude'!$A$2:$A$579),0))</f>
        <v>101.6157773</v>
      </c>
      <c r="T71" t="b">
        <f>IF(EXACT(A71, UPPER(A71)), TRUE, FALSE)</f>
        <v>0</v>
      </c>
    </row>
    <row r="72" spans="1:20" x14ac:dyDescent="0.35">
      <c r="A72" t="s">
        <v>72</v>
      </c>
      <c r="B72">
        <v>90.05</v>
      </c>
      <c r="C72" cm="1">
        <f t="array" ref="C72">INDEX(DataAll!$E$2:$E$555,MATCH(LOWER(Data!A72),LOWER(DataAll!$D$2:$D$555),0))</f>
        <v>61.04</v>
      </c>
      <c r="D72" cm="1">
        <f t="array" ref="D72">INDEX(DataAll!$H$2:$H$579,MATCH(LOWER(Data!A72),LOWER(DataAll!$G$2:$G$555),0))</f>
        <v>0.49399999999999999</v>
      </c>
      <c r="E72" cm="1">
        <f t="array" ref="E72">INDEX(DataAll!$K$2:$K$579,MATCH(LOWER(Data!A72),LOWER(DataAll!$J$2:$J$555),0))</f>
        <v>7.5</v>
      </c>
      <c r="F72" cm="1">
        <f t="array" ref="F72">INDEX(DataAll!$N$2:$N$555,MATCH(LOWER(Data!A72),LOWER(DataAll!$M$2:$M$555),0))</f>
        <v>60.17</v>
      </c>
      <c r="G72" cm="1">
        <f t="array" ref="G72">INDEX(DataAll!$Q$2:$Q$555,MATCH(LOWER(Data!A72),LOWER(DataAll!$P$2:$P$555),0))</f>
        <v>7.21</v>
      </c>
      <c r="H72" cm="1">
        <f t="array" ref="H72">INDEX(DataAll!$T$2:$T$555,MATCH(LOWER(Data!A72),LOWER(DataAll!$S$2:$S$555),0))</f>
        <v>0.20699999999999999</v>
      </c>
      <c r="I72" cm="1">
        <f t="array" ref="I72">INDEX(DataAll!$W$2:$W$555,MATCH(LOWER(Data!A72),LOWER(DataAll!$V$2:$V$555),0))</f>
        <v>37.07</v>
      </c>
      <c r="J72" cm="1">
        <f t="array" ref="J72">INDEX(DataAll!$Z$2:$Z$555,MATCH(LOWER(Data!A72),LOWER(DataAll!$Y$2:$Y$555),0))</f>
        <v>2.5099999999999998</v>
      </c>
      <c r="K72" cm="1">
        <f t="array" ref="K72">INDEX(DataAll!$AM$2:$AM$555,MATCH(LOWER(Data!A72),LOWER(DataAll!$AL$2:$AL$555),0))</f>
        <v>6.92</v>
      </c>
      <c r="L72" cm="1">
        <f t="array" ref="L72">INDEX(DataAll!$AJ$2:$AJ$555,MATCH(LOWER(Data!A72),LOWER(DataAll!$AI$2:$AI$555),0))</f>
        <v>27.06</v>
      </c>
      <c r="M72" cm="1">
        <f t="array" ref="M72">INDEX(DataAll!$AP$2:$AP$555,MATCH(LOWER(Data!A72),LOWER(DataAll!$AO$2:$AO$555),0))</f>
        <v>66.59</v>
      </c>
      <c r="N72" cm="1">
        <f t="array" ref="N72">INDEX(DataAll!$AQ$2:$AQ$555,MATCH(LOWER(Data!A72),LOWER(DataAll!$AO$2:$AO$555),0))</f>
        <v>70.56</v>
      </c>
      <c r="O72" cm="1">
        <f t="array" ref="O72">INDEX(DataAll!$AT$2:$AT$555,MATCH(LOWER(Data!A72),LOWER(DataAll!$AS$2:$AS$555),0))</f>
        <v>8.9600000000000009</v>
      </c>
      <c r="P72" cm="1">
        <f t="array" ref="P72">INDEX(DataAll!$AU$2:$AU$555,MATCH(LOWER(Data!A72),LOWER(DataAll!$AS$2:$AS$555),0))</f>
        <v>8.6300000000000008</v>
      </c>
      <c r="Q72" cm="1">
        <f t="array" ref="Q72">INDEX(DataAll!$AX$2:$AX$556,MATCH(LOWER(Data!A72),LOWER(DataAll!$AW$2:$AW$556),0))</f>
        <v>42.75</v>
      </c>
      <c r="R72" cm="1">
        <f t="array" ref="R72">INDEX('Longitude and Latitude'!$B$2:$B$579,MATCH(LOWER(Data!A72),LOWER('Longitude and Latitude'!$A$2:$A$579),0))</f>
        <v>0.22130050000000001</v>
      </c>
      <c r="S72" cm="1">
        <f t="array" ref="S72">INDEX('Longitude and Latitude'!$C$2:$C$579,MATCH(LOWER(Data!A72),LOWER('Longitude and Latitude'!$A$2:$A$579),0))</f>
        <v>99.634135000000001</v>
      </c>
      <c r="T72" t="b">
        <f>IF(EXACT(A72, UPPER(A72)), TRUE, FALSE)</f>
        <v>0</v>
      </c>
    </row>
    <row r="73" spans="1:20" x14ac:dyDescent="0.35">
      <c r="A73" t="s">
        <v>73</v>
      </c>
      <c r="B73">
        <v>93.94</v>
      </c>
      <c r="C73" cm="1">
        <f t="array" ref="C73">INDEX(DataAll!$E$2:$E$555,MATCH(LOWER(Data!A73),LOWER(DataAll!$D$2:$D$555),0))</f>
        <v>68.27</v>
      </c>
      <c r="D73" cm="1">
        <f t="array" ref="D73">INDEX(DataAll!$H$2:$H$579,MATCH(LOWER(Data!A73),LOWER(DataAll!$G$2:$G$555),0))</f>
        <v>0.19800000000000001</v>
      </c>
      <c r="E73" cm="1">
        <f t="array" ref="E73">INDEX(DataAll!$K$2:$K$579,MATCH(LOWER(Data!A73),LOWER(DataAll!$J$2:$J$555),0))</f>
        <v>13.95</v>
      </c>
      <c r="F73" cm="1">
        <f t="array" ref="F73">INDEX(DataAll!$N$2:$N$555,MATCH(LOWER(Data!A73),LOWER(DataAll!$M$2:$M$555),0))</f>
        <v>54.29</v>
      </c>
      <c r="G73" cm="1">
        <f t="array" ref="G73">INDEX(DataAll!$Q$2:$Q$555,MATCH(LOWER(Data!A73),LOWER(DataAll!$P$2:$P$555),0))</f>
        <v>6.52</v>
      </c>
      <c r="H73" cm="1">
        <f t="array" ref="H73">INDEX(DataAll!$T$2:$T$555,MATCH(LOWER(Data!A73),LOWER(DataAll!$S$2:$S$555),0))</f>
        <v>9.1999999999999998E-2</v>
      </c>
      <c r="I73" cm="1">
        <f t="array" ref="I73">INDEX(DataAll!$W$2:$W$555,MATCH(LOWER(Data!A73),LOWER(DataAll!$V$2:$V$555),0))</f>
        <v>35.21</v>
      </c>
      <c r="J73" cm="1">
        <f t="array" ref="J73">INDEX(DataAll!$Z$2:$Z$555,MATCH(LOWER(Data!A73),LOWER(DataAll!$Y$2:$Y$555),0))</f>
        <v>2.27</v>
      </c>
      <c r="K73" cm="1">
        <f t="array" ref="K73">INDEX(DataAll!$AM$2:$AM$555,MATCH(LOWER(Data!A73),LOWER(DataAll!$AL$2:$AL$555),0))</f>
        <v>4.17</v>
      </c>
      <c r="L73" cm="1">
        <f t="array" ref="L73">INDEX(DataAll!$AJ$2:$AJ$555,MATCH(LOWER(Data!A73),LOWER(DataAll!$AI$2:$AI$555),0))</f>
        <v>14.65</v>
      </c>
      <c r="M73" cm="1">
        <f t="array" ref="M73">INDEX(DataAll!$AP$2:$AP$555,MATCH(LOWER(Data!A73),LOWER(DataAll!$AO$2:$AO$555),0))</f>
        <v>72.39</v>
      </c>
      <c r="N73" cm="1">
        <f t="array" ref="N73">INDEX(DataAll!$AQ$2:$AQ$555,MATCH(LOWER(Data!A73),LOWER(DataAll!$AO$2:$AO$555),0))</f>
        <v>76.09</v>
      </c>
      <c r="O73" cm="1">
        <f t="array" ref="O73">INDEX(DataAll!$AT$2:$AT$555,MATCH(LOWER(Data!A73),LOWER(DataAll!$AS$2:$AS$555),0))</f>
        <v>11.71</v>
      </c>
      <c r="P73" cm="1">
        <f t="array" ref="P73">INDEX(DataAll!$AU$2:$AU$555,MATCH(LOWER(Data!A73),LOWER(DataAll!$AS$2:$AS$555),0))</f>
        <v>11.56</v>
      </c>
      <c r="Q73" cm="1">
        <f t="array" ref="Q73">INDEX(DataAll!$AX$2:$AX$556,MATCH(LOWER(Data!A73),LOWER(DataAll!$AW$2:$AW$556),0))</f>
        <v>67.930000000000007</v>
      </c>
      <c r="R73" cm="1">
        <f t="array" ref="R73">INDEX('Longitude and Latitude'!$B$2:$B$579,MATCH(LOWER(Data!A73),LOWER('Longitude and Latitude'!$A$2:$A$579),0))</f>
        <v>-0.95</v>
      </c>
      <c r="S73" cm="1">
        <f t="array" ref="S73">INDEX('Longitude and Latitude'!$C$2:$C$579,MATCH(LOWER(Data!A73),LOWER('Longitude and Latitude'!$A$2:$A$579),0))</f>
        <v>100.3530556</v>
      </c>
      <c r="T73" t="b">
        <f>IF(EXACT(A73, UPPER(A73)), TRUE, FALSE)</f>
        <v>0</v>
      </c>
    </row>
    <row r="74" spans="1:20" x14ac:dyDescent="0.35">
      <c r="A74" t="s">
        <v>74</v>
      </c>
      <c r="B74">
        <v>96.64</v>
      </c>
      <c r="C74" cm="1">
        <f t="array" ref="C74">INDEX(DataAll!$E$2:$E$555,MATCH(LOWER(Data!A74),LOWER(DataAll!$D$2:$D$555),0))</f>
        <v>64.23</v>
      </c>
      <c r="D74" cm="1">
        <f t="array" ref="D74">INDEX(DataAll!$H$2:$H$579,MATCH(LOWER(Data!A74),LOWER(DataAll!$G$2:$G$555),0))</f>
        <v>0.182</v>
      </c>
      <c r="E74" cm="1">
        <f t="array" ref="E74">INDEX(DataAll!$K$2:$K$579,MATCH(LOWER(Data!A74),LOWER(DataAll!$J$2:$J$555),0))</f>
        <v>10</v>
      </c>
      <c r="F74" cm="1">
        <f t="array" ref="F74">INDEX(DataAll!$N$2:$N$555,MATCH(LOWER(Data!A74),LOWER(DataAll!$M$2:$M$555),0))</f>
        <v>56.55</v>
      </c>
      <c r="G74" cm="1">
        <f t="array" ref="G74">INDEX(DataAll!$Q$2:$Q$555,MATCH(LOWER(Data!A74),LOWER(DataAll!$P$2:$P$555),0))</f>
        <v>6.71</v>
      </c>
      <c r="H74" cm="1">
        <f t="array" ref="H74">INDEX(DataAll!$T$2:$T$555,MATCH(LOWER(Data!A74),LOWER(DataAll!$S$2:$S$555),0))</f>
        <v>0.109</v>
      </c>
      <c r="I74" cm="1">
        <f t="array" ref="I74">INDEX(DataAll!$W$2:$W$555,MATCH(LOWER(Data!A74),LOWER(DataAll!$V$2:$V$555),0))</f>
        <v>36.53</v>
      </c>
      <c r="J74" cm="1">
        <f t="array" ref="J74">INDEX(DataAll!$Z$2:$Z$555,MATCH(LOWER(Data!A74),LOWER(DataAll!$Y$2:$Y$555),0))</f>
        <v>2.4500000000000002</v>
      </c>
      <c r="K74" cm="1">
        <f t="array" ref="K74">INDEX(DataAll!$AM$2:$AM$555,MATCH(LOWER(Data!A74),LOWER(DataAll!$AL$2:$AL$555),0))</f>
        <v>3.05</v>
      </c>
      <c r="L74" cm="1">
        <f t="array" ref="L74">INDEX(DataAll!$AJ$2:$AJ$555,MATCH(LOWER(Data!A74),LOWER(DataAll!$AI$2:$AI$555),0))</f>
        <v>17.25</v>
      </c>
      <c r="M74" cm="1">
        <f t="array" ref="M74">INDEX(DataAll!$AP$2:$AP$555,MATCH(LOWER(Data!A74),LOWER(DataAll!$AO$2:$AO$555),0))</f>
        <v>72.62</v>
      </c>
      <c r="N74" cm="1">
        <f t="array" ref="N74">INDEX(DataAll!$AQ$2:$AQ$555,MATCH(LOWER(Data!A74),LOWER(DataAll!$AO$2:$AO$555),0))</f>
        <v>76.31</v>
      </c>
      <c r="O74" cm="1">
        <f t="array" ref="O74">INDEX(DataAll!$AT$2:$AT$555,MATCH(LOWER(Data!A74),LOWER(DataAll!$AS$2:$AS$555),0))</f>
        <v>11.24</v>
      </c>
      <c r="P74" cm="1">
        <f t="array" ref="P74">INDEX(DataAll!$AU$2:$AU$555,MATCH(LOWER(Data!A74),LOWER(DataAll!$AS$2:$AS$555),0))</f>
        <v>11.52</v>
      </c>
      <c r="Q74" cm="1">
        <f t="array" ref="Q74">INDEX(DataAll!$AX$2:$AX$556,MATCH(LOWER(Data!A74),LOWER(DataAll!$AW$2:$AW$556),0))</f>
        <v>65.900000000000006</v>
      </c>
      <c r="R74" cm="1">
        <f t="array" ref="R74">INDEX('Longitude and Latitude'!$B$2:$B$579,MATCH(LOWER(Data!A74),LOWER('Longitude and Latitude'!$A$2:$A$579),0))</f>
        <v>-0.80302700000000005</v>
      </c>
      <c r="S74" cm="1">
        <f t="array" ref="S74">INDEX('Longitude and Latitude'!$C$2:$C$579,MATCH(LOWER(Data!A74),LOWER('Longitude and Latitude'!$A$2:$A$579),0))</f>
        <v>100.644402</v>
      </c>
      <c r="T74" t="b">
        <f>IF(EXACT(A74, UPPER(A74)), TRUE, FALSE)</f>
        <v>0</v>
      </c>
    </row>
    <row r="75" spans="1:20" x14ac:dyDescent="0.35">
      <c r="A75" t="s">
        <v>75</v>
      </c>
      <c r="B75">
        <v>95.36</v>
      </c>
      <c r="C75" cm="1">
        <f t="array" ref="C75">INDEX(DataAll!$E$2:$E$555,MATCH(LOWER(Data!A75),LOWER(DataAll!$D$2:$D$555),0))</f>
        <v>62.55</v>
      </c>
      <c r="D75" cm="1">
        <f t="array" ref="D75">INDEX(DataAll!$H$2:$H$579,MATCH(LOWER(Data!A75),LOWER(DataAll!$G$2:$G$555),0))</f>
        <v>0.19900000000000001</v>
      </c>
      <c r="E75" cm="1">
        <f t="array" ref="E75">INDEX(DataAll!$K$2:$K$579,MATCH(LOWER(Data!A75),LOWER(DataAll!$J$2:$J$555),0))</f>
        <v>20</v>
      </c>
      <c r="F75" cm="1">
        <f t="array" ref="F75">INDEX(DataAll!$N$2:$N$555,MATCH(LOWER(Data!A75),LOWER(DataAll!$M$2:$M$555),0))</f>
        <v>69.23</v>
      </c>
      <c r="G75" cm="1">
        <f t="array" ref="G75">INDEX(DataAll!$Q$2:$Q$555,MATCH(LOWER(Data!A75),LOWER(DataAll!$P$2:$P$555),0))</f>
        <v>8.76</v>
      </c>
      <c r="H75" cm="1">
        <f t="array" ref="H75">INDEX(DataAll!$T$2:$T$555,MATCH(LOWER(Data!A75),LOWER(DataAll!$S$2:$S$555),0))</f>
        <v>0.13300000000000001</v>
      </c>
      <c r="I75" cm="1">
        <f t="array" ref="I75">INDEX(DataAll!$W$2:$W$555,MATCH(LOWER(Data!A75),LOWER(DataAll!$V$2:$V$555),0))</f>
        <v>28.43</v>
      </c>
      <c r="J75" cm="1">
        <f t="array" ref="J75">INDEX(DataAll!$Z$2:$Z$555,MATCH(LOWER(Data!A75),LOWER(DataAll!$Y$2:$Y$555),0))</f>
        <v>2.41</v>
      </c>
      <c r="K75" cm="1">
        <f t="array" ref="K75">INDEX(DataAll!$AM$2:$AM$555,MATCH(LOWER(Data!A75),LOWER(DataAll!$AL$2:$AL$555),0))</f>
        <v>2.27</v>
      </c>
      <c r="L75" cm="1">
        <f t="array" ref="L75">INDEX(DataAll!$AJ$2:$AJ$555,MATCH(LOWER(Data!A75),LOWER(DataAll!$AI$2:$AI$555),0))</f>
        <v>22.31</v>
      </c>
      <c r="M75" cm="1">
        <f t="array" ref="M75">INDEX(DataAll!$AP$2:$AP$555,MATCH(LOWER(Data!A75),LOWER(DataAll!$AO$2:$AO$555),0))</f>
        <v>68.77</v>
      </c>
      <c r="N75" cm="1">
        <f t="array" ref="N75">INDEX(DataAll!$AQ$2:$AQ$555,MATCH(LOWER(Data!A75),LOWER(DataAll!$AO$2:$AO$555),0))</f>
        <v>72.709999999999994</v>
      </c>
      <c r="O75" cm="1">
        <f t="array" ref="O75">INDEX(DataAll!$AT$2:$AT$555,MATCH(LOWER(Data!A75),LOWER(DataAll!$AS$2:$AS$555),0))</f>
        <v>10.4</v>
      </c>
      <c r="P75" cm="1">
        <f t="array" ref="P75">INDEX(DataAll!$AU$2:$AU$555,MATCH(LOWER(Data!A75),LOWER(DataAll!$AS$2:$AS$555),0))</f>
        <v>10.59</v>
      </c>
      <c r="Q75" cm="1">
        <f t="array" ref="Q75">INDEX(DataAll!$AX$2:$AX$556,MATCH(LOWER(Data!A75),LOWER(DataAll!$AW$2:$AW$556),0))</f>
        <v>54.7</v>
      </c>
      <c r="R75" cm="1">
        <f t="array" ref="R75">INDEX('Longitude and Latitude'!$B$2:$B$579,MATCH(LOWER(Data!A75),LOWER('Longitude and Latitude'!$A$2:$A$579),0))</f>
        <v>-0.68102859999999998</v>
      </c>
      <c r="S75" cm="1">
        <f t="array" ref="S75">INDEX('Longitude and Latitude'!$C$2:$C$579,MATCH(LOWER(Data!A75),LOWER('Longitude and Latitude'!$A$2:$A$579),0))</f>
        <v>100.7763604</v>
      </c>
      <c r="T75" t="b">
        <f>IF(EXACT(A75, UPPER(A75)), TRUE, FALSE)</f>
        <v>0</v>
      </c>
    </row>
    <row r="76" spans="1:20" x14ac:dyDescent="0.35">
      <c r="A76" t="s">
        <v>76</v>
      </c>
      <c r="B76">
        <v>98.19</v>
      </c>
      <c r="C76" cm="1">
        <f t="array" ref="C76">INDEX(DataAll!$E$2:$E$555,MATCH(LOWER(Data!A76),LOWER(DataAll!$D$2:$D$555),0))</f>
        <v>67.58</v>
      </c>
      <c r="D76" cm="1">
        <f t="array" ref="D76">INDEX(DataAll!$H$2:$H$579,MATCH(LOWER(Data!A76),LOWER(DataAll!$G$2:$G$555),0))</f>
        <v>0.13500000000000001</v>
      </c>
      <c r="E76" cm="1">
        <f t="array" ref="E76">INDEX(DataAll!$K$2:$K$579,MATCH(LOWER(Data!A76),LOWER(DataAll!$J$2:$J$555),0))</f>
        <v>10</v>
      </c>
      <c r="F76" cm="1">
        <f t="array" ref="F76">INDEX(DataAll!$N$2:$N$555,MATCH(LOWER(Data!A76),LOWER(DataAll!$M$2:$M$555),0))</f>
        <v>59.27</v>
      </c>
      <c r="G76" cm="1">
        <f t="array" ref="G76">INDEX(DataAll!$Q$2:$Q$555,MATCH(LOWER(Data!A76),LOWER(DataAll!$P$2:$P$555),0))</f>
        <v>6.81</v>
      </c>
      <c r="H76" cm="1">
        <f t="array" ref="H76">INDEX(DataAll!$T$2:$T$555,MATCH(LOWER(Data!A76),LOWER(DataAll!$S$2:$S$555),0))</f>
        <v>5.2999999999999999E-2</v>
      </c>
      <c r="I76" cm="1">
        <f t="array" ref="I76">INDEX(DataAll!$W$2:$W$555,MATCH(LOWER(Data!A76),LOWER(DataAll!$V$2:$V$555),0))</f>
        <v>46.8</v>
      </c>
      <c r="J76" cm="1">
        <f t="array" ref="J76">INDEX(DataAll!$Z$2:$Z$555,MATCH(LOWER(Data!A76),LOWER(DataAll!$Y$2:$Y$555),0))</f>
        <v>2.5099999999999998</v>
      </c>
      <c r="K76" cm="1">
        <f t="array" ref="K76">INDEX(DataAll!$AM$2:$AM$555,MATCH(LOWER(Data!A76),LOWER(DataAll!$AL$2:$AL$555),0))</f>
        <v>5.24</v>
      </c>
      <c r="L76" cm="1">
        <f t="array" ref="L76">INDEX(DataAll!$AJ$2:$AJ$555,MATCH(LOWER(Data!A76),LOWER(DataAll!$AI$2:$AI$555),0))</f>
        <v>17.47</v>
      </c>
      <c r="M76" cm="1">
        <f t="array" ref="M76">INDEX(DataAll!$AP$2:$AP$555,MATCH(LOWER(Data!A76),LOWER(DataAll!$AO$2:$AO$555),0))</f>
        <v>71.16</v>
      </c>
      <c r="N76" cm="1">
        <f t="array" ref="N76">INDEX(DataAll!$AQ$2:$AQ$555,MATCH(LOWER(Data!A76),LOWER(DataAll!$AO$2:$AO$555),0))</f>
        <v>75.41</v>
      </c>
      <c r="O76" cm="1">
        <f t="array" ref="O76">INDEX(DataAll!$AT$2:$AT$555,MATCH(LOWER(Data!A76),LOWER(DataAll!$AS$2:$AS$555),0))</f>
        <v>11.56</v>
      </c>
      <c r="P76" cm="1">
        <f t="array" ref="P76">INDEX(DataAll!$AU$2:$AU$555,MATCH(LOWER(Data!A76),LOWER(DataAll!$AS$2:$AS$555),0))</f>
        <v>12.18</v>
      </c>
      <c r="Q76" cm="1">
        <f t="array" ref="Q76">INDEX(DataAll!$AX$2:$AX$556,MATCH(LOWER(Data!A76),LOWER(DataAll!$AW$2:$AW$556),0))</f>
        <v>76.540000000000006</v>
      </c>
      <c r="R76" cm="1">
        <f t="array" ref="R76">INDEX('Longitude and Latitude'!$B$2:$B$579,MATCH(LOWER(Data!A76),LOWER('Longitude and Latitude'!$A$2:$A$579),0))</f>
        <v>-0.47067900000000001</v>
      </c>
      <c r="S76" cm="1">
        <f t="array" ref="S76">INDEX('Longitude and Latitude'!$C$2:$C$579,MATCH(LOWER(Data!A76),LOWER('Longitude and Latitude'!$A$2:$A$579),0))</f>
        <v>100.4059456</v>
      </c>
      <c r="T76" t="b">
        <f>IF(EXACT(A76, UPPER(A76)), TRUE, FALSE)</f>
        <v>0</v>
      </c>
    </row>
    <row r="77" spans="1:20" x14ac:dyDescent="0.35">
      <c r="A77" t="s">
        <v>77</v>
      </c>
      <c r="B77">
        <v>99.17</v>
      </c>
      <c r="C77" cm="1">
        <f t="array" ref="C77">INDEX(DataAll!$E$2:$E$555,MATCH(LOWER(Data!A77),LOWER(DataAll!$D$2:$D$555),0))</f>
        <v>60.96</v>
      </c>
      <c r="D77" cm="1">
        <f t="array" ref="D77">INDEX(DataAll!$H$2:$H$579,MATCH(LOWER(Data!A77),LOWER(DataAll!$G$2:$G$555),0))</f>
        <v>0.159</v>
      </c>
      <c r="E77" cm="1">
        <f t="array" ref="E77">INDEX(DataAll!$K$2:$K$579,MATCH(LOWER(Data!A77),LOWER(DataAll!$J$2:$J$555),0))</f>
        <v>8</v>
      </c>
      <c r="F77" cm="1">
        <f t="array" ref="F77">INDEX(DataAll!$N$2:$N$555,MATCH(LOWER(Data!A77),LOWER(DataAll!$M$2:$M$555),0))</f>
        <v>67.290000000000006</v>
      </c>
      <c r="G77" cm="1">
        <f t="array" ref="G77">INDEX(DataAll!$Q$2:$Q$555,MATCH(LOWER(Data!A77),LOWER(DataAll!$P$2:$P$555),0))</f>
        <v>6.21</v>
      </c>
      <c r="H77" cm="1">
        <f t="array" ref="H77">INDEX(DataAll!$T$2:$T$555,MATCH(LOWER(Data!A77),LOWER(DataAll!$S$2:$S$555),0))</f>
        <v>6.6000000000000003E-2</v>
      </c>
      <c r="I77" cm="1">
        <f t="array" ref="I77">INDEX(DataAll!$W$2:$W$555,MATCH(LOWER(Data!A77),LOWER(DataAll!$V$2:$V$555),0))</f>
        <v>39.61</v>
      </c>
      <c r="J77" cm="1">
        <f t="array" ref="J77">INDEX(DataAll!$Z$2:$Z$555,MATCH(LOWER(Data!A77),LOWER(DataAll!$Y$2:$Y$555),0))</f>
        <v>2.36</v>
      </c>
      <c r="K77" cm="1">
        <f t="array" ref="K77">INDEX(DataAll!$AM$2:$AM$555,MATCH(LOWER(Data!A77),LOWER(DataAll!$AL$2:$AL$555),0))</f>
        <v>4.1100000000000003</v>
      </c>
      <c r="L77" cm="1">
        <f t="array" ref="L77">INDEX(DataAll!$AJ$2:$AJ$555,MATCH(LOWER(Data!A77),LOWER(DataAll!$AI$2:$AI$555),0))</f>
        <v>14.05</v>
      </c>
      <c r="M77" cm="1">
        <f t="array" ref="M77">INDEX(DataAll!$AP$2:$AP$555,MATCH(LOWER(Data!A77),LOWER(DataAll!$AO$2:$AO$555),0))</f>
        <v>73.39</v>
      </c>
      <c r="N77" cm="1">
        <f t="array" ref="N77">INDEX(DataAll!$AQ$2:$AQ$555,MATCH(LOWER(Data!A77),LOWER(DataAll!$AO$2:$AO$555),0))</f>
        <v>77.02</v>
      </c>
      <c r="O77" cm="1">
        <f t="array" ref="O77">INDEX(DataAll!$AT$2:$AT$555,MATCH(LOWER(Data!A77),LOWER(DataAll!$AS$2:$AS$555),0))</f>
        <v>11.46</v>
      </c>
      <c r="P77" cm="1">
        <f t="array" ref="P77">INDEX(DataAll!$AU$2:$AU$555,MATCH(LOWER(Data!A77),LOWER(DataAll!$AS$2:$AS$555),0))</f>
        <v>11.64</v>
      </c>
      <c r="Q77" cm="1">
        <f t="array" ref="Q77">INDEX(DataAll!$AX$2:$AX$556,MATCH(LOWER(Data!A77),LOWER(DataAll!$AW$2:$AW$556),0))</f>
        <v>71.3</v>
      </c>
      <c r="R77" cm="1">
        <f t="array" ref="R77">INDEX('Longitude and Latitude'!$B$2:$B$579,MATCH(LOWER(Data!A77),LOWER('Longitude and Latitude'!$A$2:$A$579),0))</f>
        <v>-0.30555559999999998</v>
      </c>
      <c r="S77" cm="1">
        <f t="array" ref="S77">INDEX('Longitude and Latitude'!$C$2:$C$579,MATCH(LOWER(Data!A77),LOWER('Longitude and Latitude'!$A$2:$A$579),0))</f>
        <v>100.36916669999999</v>
      </c>
      <c r="T77" t="b">
        <f>IF(EXACT(A77, UPPER(A77)), TRUE, FALSE)</f>
        <v>0</v>
      </c>
    </row>
    <row r="78" spans="1:20" x14ac:dyDescent="0.35">
      <c r="A78" t="s">
        <v>78</v>
      </c>
      <c r="B78">
        <v>98.58</v>
      </c>
      <c r="C78" cm="1">
        <f t="array" ref="C78">INDEX(DataAll!$E$2:$E$555,MATCH(LOWER(Data!A78),LOWER(DataAll!$D$2:$D$555),0))</f>
        <v>71.09</v>
      </c>
      <c r="D78" cm="1">
        <f t="array" ref="D78">INDEX(DataAll!$H$2:$H$579,MATCH(LOWER(Data!A78),LOWER(DataAll!$G$2:$G$555),0))</f>
        <v>0.153</v>
      </c>
      <c r="E78" cm="1">
        <f t="array" ref="E78">INDEX(DataAll!$K$2:$K$579,MATCH(LOWER(Data!A78),LOWER(DataAll!$J$2:$J$555),0))</f>
        <v>16</v>
      </c>
      <c r="F78" cm="1">
        <f t="array" ref="F78">INDEX(DataAll!$N$2:$N$555,MATCH(LOWER(Data!A78),LOWER(DataAll!$M$2:$M$555),0))</f>
        <v>59.34</v>
      </c>
      <c r="G78" cm="1">
        <f t="array" ref="G78">INDEX(DataAll!$Q$2:$Q$555,MATCH(LOWER(Data!A78),LOWER(DataAll!$P$2:$P$555),0))</f>
        <v>6.51</v>
      </c>
      <c r="H78" cm="1">
        <f t="array" ref="H78">INDEX(DataAll!$T$2:$T$555,MATCH(LOWER(Data!A78),LOWER(DataAll!$S$2:$S$555),0))</f>
        <v>0.129</v>
      </c>
      <c r="I78" cm="1">
        <f t="array" ref="I78">INDEX(DataAll!$W$2:$W$555,MATCH(LOWER(Data!A78),LOWER(DataAll!$V$2:$V$555),0))</f>
        <v>38.71</v>
      </c>
      <c r="J78" cm="1">
        <f t="array" ref="J78">INDEX(DataAll!$Z$2:$Z$555,MATCH(LOWER(Data!A78),LOWER(DataAll!$Y$2:$Y$555),0))</f>
        <v>2.4</v>
      </c>
      <c r="K78" cm="1">
        <f t="array" ref="K78">INDEX(DataAll!$AM$2:$AM$555,MATCH(LOWER(Data!A78),LOWER(DataAll!$AL$2:$AL$555),0))</f>
        <v>5.44</v>
      </c>
      <c r="L78" cm="1">
        <f t="array" ref="L78">INDEX(DataAll!$AJ$2:$AJ$555,MATCH(LOWER(Data!A78),LOWER(DataAll!$AI$2:$AI$555),0))</f>
        <v>16.21</v>
      </c>
      <c r="M78" cm="1">
        <f t="array" ref="M78">INDEX(DataAll!$AP$2:$AP$555,MATCH(LOWER(Data!A78),LOWER(DataAll!$AO$2:$AO$555),0))</f>
        <v>72.67</v>
      </c>
      <c r="N78" cm="1">
        <f t="array" ref="N78">INDEX(DataAll!$AQ$2:$AQ$555,MATCH(LOWER(Data!A78),LOWER(DataAll!$AO$2:$AO$555),0))</f>
        <v>76.349999999999994</v>
      </c>
      <c r="O78" cm="1">
        <f t="array" ref="O78">INDEX(DataAll!$AT$2:$AT$555,MATCH(LOWER(Data!A78),LOWER(DataAll!$AS$2:$AS$555),0))</f>
        <v>10.61</v>
      </c>
      <c r="P78" cm="1">
        <f t="array" ref="P78">INDEX(DataAll!$AU$2:$AU$555,MATCH(LOWER(Data!A78),LOWER(DataAll!$AS$2:$AS$555),0))</f>
        <v>11.06</v>
      </c>
      <c r="Q78" cm="1">
        <f t="array" ref="Q78">INDEX(DataAll!$AX$2:$AX$556,MATCH(LOWER(Data!A78),LOWER(DataAll!$AW$2:$AW$556),0))</f>
        <v>65.38</v>
      </c>
      <c r="R78" cm="1">
        <f t="array" ref="R78">INDEX('Longitude and Latitude'!$B$2:$B$579,MATCH(LOWER(Data!A78),LOWER('Longitude and Latitude'!$A$2:$A$579),0))</f>
        <v>-0.22886999999999999</v>
      </c>
      <c r="S78" cm="1">
        <f t="array" ref="S78">INDEX('Longitude and Latitude'!$C$2:$C$579,MATCH(LOWER(Data!A78),LOWER('Longitude and Latitude'!$A$2:$A$579),0))</f>
        <v>100.632301</v>
      </c>
      <c r="T78" t="b">
        <f>IF(EXACT(A78, UPPER(A78)), TRUE, FALSE)</f>
        <v>0</v>
      </c>
    </row>
    <row r="79" spans="1:20" x14ac:dyDescent="0.35">
      <c r="A79" t="s">
        <v>79</v>
      </c>
      <c r="B79">
        <v>98.07</v>
      </c>
      <c r="C79" cm="1">
        <f t="array" ref="C79">INDEX(DataAll!$E$2:$E$555,MATCH(LOWER(Data!A79),LOWER(DataAll!$D$2:$D$555),0))</f>
        <v>53.91</v>
      </c>
      <c r="D79" cm="1">
        <f t="array" ref="D79">INDEX(DataAll!$H$2:$H$579,MATCH(LOWER(Data!A79),LOWER(DataAll!$G$2:$G$555),0))</f>
        <v>0.374</v>
      </c>
      <c r="E79" cm="1">
        <f t="array" ref="E79">INDEX(DataAll!$K$2:$K$579,MATCH(LOWER(Data!A79),LOWER(DataAll!$J$2:$J$555),0))</f>
        <v>5</v>
      </c>
      <c r="F79" cm="1">
        <f t="array" ref="F79">INDEX(DataAll!$N$2:$N$555,MATCH(LOWER(Data!A79),LOWER(DataAll!$M$2:$M$555),0))</f>
        <v>60.79</v>
      </c>
      <c r="G79" cm="1">
        <f t="array" ref="G79">INDEX(DataAll!$Q$2:$Q$555,MATCH(LOWER(Data!A79),LOWER(DataAll!$P$2:$P$555),0))</f>
        <v>8.3800000000000008</v>
      </c>
      <c r="H79" cm="1">
        <f t="array" ref="H79">INDEX(DataAll!$T$2:$T$555,MATCH(LOWER(Data!A79),LOWER(DataAll!$S$2:$S$555),0))</f>
        <v>0.06</v>
      </c>
      <c r="I79" cm="1">
        <f t="array" ref="I79">INDEX(DataAll!$W$2:$W$555,MATCH(LOWER(Data!A79),LOWER(DataAll!$V$2:$V$555),0))</f>
        <v>32.39</v>
      </c>
      <c r="J79" cm="1">
        <f t="array" ref="J79">INDEX(DataAll!$Z$2:$Z$555,MATCH(LOWER(Data!A79),LOWER(DataAll!$Y$2:$Y$555),0))</f>
        <v>2.4300000000000002</v>
      </c>
      <c r="K79" cm="1">
        <f t="array" ref="K79">INDEX(DataAll!$AM$2:$AM$555,MATCH(LOWER(Data!A79),LOWER(DataAll!$AL$2:$AL$555),0))</f>
        <v>4.2</v>
      </c>
      <c r="L79" cm="1">
        <f t="array" ref="L79">INDEX(DataAll!$AJ$2:$AJ$555,MATCH(LOWER(Data!A79),LOWER(DataAll!$AI$2:$AI$555),0))</f>
        <v>18.600000000000001</v>
      </c>
      <c r="M79" cm="1">
        <f t="array" ref="M79">INDEX(DataAll!$AP$2:$AP$555,MATCH(LOWER(Data!A79),LOWER(DataAll!$AO$2:$AO$555),0))</f>
        <v>69.02</v>
      </c>
      <c r="N79" cm="1">
        <f t="array" ref="N79">INDEX(DataAll!$AQ$2:$AQ$555,MATCH(LOWER(Data!A79),LOWER(DataAll!$AO$2:$AO$555),0))</f>
        <v>72.97</v>
      </c>
      <c r="O79" cm="1">
        <f t="array" ref="O79">INDEX(DataAll!$AT$2:$AT$555,MATCH(LOWER(Data!A79),LOWER(DataAll!$AS$2:$AS$555),0))</f>
        <v>10.7</v>
      </c>
      <c r="P79" cm="1">
        <f t="array" ref="P79">INDEX(DataAll!$AU$2:$AU$555,MATCH(LOWER(Data!A79),LOWER(DataAll!$AS$2:$AS$555),0))</f>
        <v>10.9</v>
      </c>
      <c r="Q79" cm="1">
        <f t="array" ref="Q79">INDEX(DataAll!$AX$2:$AX$556,MATCH(LOWER(Data!A79),LOWER(DataAll!$AW$2:$AW$556),0))</f>
        <v>60.72</v>
      </c>
      <c r="R79" cm="1">
        <f t="array" ref="R79">INDEX('Longitude and Latitude'!$B$2:$B$579,MATCH(LOWER(Data!A79),LOWER('Longitude and Latitude'!$A$2:$A$579),0))</f>
        <v>-0.62643890000000002</v>
      </c>
      <c r="S79" cm="1">
        <f t="array" ref="S79">INDEX('Longitude and Latitude'!$C$2:$C$579,MATCH(LOWER(Data!A79),LOWER('Longitude and Latitude'!$A$2:$A$579),0))</f>
        <v>100.11795739999999</v>
      </c>
      <c r="T79" t="b">
        <f>IF(EXACT(A79, UPPER(A79)), TRUE, FALSE)</f>
        <v>0</v>
      </c>
    </row>
    <row r="80" spans="1:20" x14ac:dyDescent="0.35">
      <c r="A80" t="s">
        <v>80</v>
      </c>
      <c r="B80">
        <v>88.98</v>
      </c>
      <c r="C80" cm="1">
        <f t="array" ref="C80">INDEX(DataAll!$E$2:$E$555,MATCH(LOWER(Data!A80),LOWER(DataAll!$D$2:$D$555),0))</f>
        <v>72.290000000000006</v>
      </c>
      <c r="D80" cm="1">
        <f t="array" ref="D80">INDEX(DataAll!$H$2:$H$579,MATCH(LOWER(Data!A80),LOWER(DataAll!$G$2:$G$555),0))</f>
        <v>0.45800000000000002</v>
      </c>
      <c r="E80" cm="1">
        <f t="array" ref="E80">INDEX(DataAll!$K$2:$K$579,MATCH(LOWER(Data!A80),LOWER(DataAll!$J$2:$J$555),0))</f>
        <v>23.08</v>
      </c>
      <c r="F80" cm="1">
        <f t="array" ref="F80">INDEX(DataAll!$N$2:$N$555,MATCH(LOWER(Data!A80),LOWER(DataAll!$M$2:$M$555),0))</f>
        <v>49.41</v>
      </c>
      <c r="G80" t="e" cm="1">
        <f t="array" ref="G80">INDEX(DataAll!$Q$2:$Q$555,MATCH(LOWER(Data!A80),LOWER(DataAll!$P$2:$P$555),0))</f>
        <v>#N/A</v>
      </c>
      <c r="H80" cm="1">
        <f t="array" ref="H80">INDEX(DataAll!$T$2:$T$555,MATCH(LOWER(Data!A80),LOWER(DataAll!$S$2:$S$555),0))</f>
        <v>0.21299999999999999</v>
      </c>
      <c r="I80" cm="1">
        <f t="array" ref="I80">INDEX(DataAll!$W$2:$W$555,MATCH(LOWER(Data!A80),LOWER(DataAll!$V$2:$V$555),0))</f>
        <v>27.95</v>
      </c>
      <c r="J80" cm="1">
        <f t="array" ref="J80">INDEX(DataAll!$Z$2:$Z$555,MATCH(LOWER(Data!A80),LOWER(DataAll!$Y$2:$Y$555),0))</f>
        <v>2.2799999999999998</v>
      </c>
      <c r="K80" cm="1">
        <f t="array" ref="K80">INDEX(DataAll!$AM$2:$AM$555,MATCH(LOWER(Data!A80),LOWER(DataAll!$AL$2:$AL$555),0))</f>
        <v>6.68</v>
      </c>
      <c r="L80" cm="1">
        <f t="array" ref="L80">INDEX(DataAll!$AJ$2:$AJ$555,MATCH(LOWER(Data!A80),LOWER(DataAll!$AI$2:$AI$555),0))</f>
        <v>18.239999999999998</v>
      </c>
      <c r="M80" cm="1">
        <f t="array" ref="M80">INDEX(DataAll!$AP$2:$AP$555,MATCH(LOWER(Data!A80),LOWER(DataAll!$AO$2:$AO$555),0))</f>
        <v>70.28</v>
      </c>
      <c r="N80" cm="1">
        <f t="array" ref="N80">INDEX(DataAll!$AQ$2:$AQ$555,MATCH(LOWER(Data!A80),LOWER(DataAll!$AO$2:$AO$555),0))</f>
        <v>74.290000000000006</v>
      </c>
      <c r="O80" cm="1">
        <f t="array" ref="O80">INDEX(DataAll!$AT$2:$AT$555,MATCH(LOWER(Data!A80),LOWER(DataAll!$AS$2:$AS$555),0))</f>
        <v>9.4700000000000006</v>
      </c>
      <c r="P80" cm="1">
        <f t="array" ref="P80">INDEX(DataAll!$AU$2:$AU$555,MATCH(LOWER(Data!A80),LOWER(DataAll!$AS$2:$AS$555),0))</f>
        <v>9.1999999999999993</v>
      </c>
      <c r="Q80" cm="1">
        <f t="array" ref="Q80">INDEX(DataAll!$AX$2:$AX$556,MATCH(LOWER(Data!A80),LOWER(DataAll!$AW$2:$AW$556),0))</f>
        <v>43.27</v>
      </c>
      <c r="R80" cm="1">
        <f t="array" ref="R80">INDEX('Longitude and Latitude'!$B$2:$B$579,MATCH(LOWER(Data!A80),LOWER('Longitude and Latitude'!$A$2:$A$579),0))</f>
        <v>0.29334690000000002</v>
      </c>
      <c r="S80" cm="1">
        <f t="array" ref="S80">INDEX('Longitude and Latitude'!$C$2:$C$579,MATCH(LOWER(Data!A80),LOWER('Longitude and Latitude'!$A$2:$A$579),0))</f>
        <v>101.7068294</v>
      </c>
      <c r="T80" t="b">
        <f>IF(EXACT(A80, UPPER(A80)), TRUE, FALSE)</f>
        <v>1</v>
      </c>
    </row>
    <row r="81" spans="1:20" x14ac:dyDescent="0.35">
      <c r="A81" t="s">
        <v>81</v>
      </c>
      <c r="B81">
        <v>90.47</v>
      </c>
      <c r="C81" cm="1">
        <f t="array" ref="C81">INDEX(DataAll!$E$2:$E$555,MATCH(LOWER(Data!A81),LOWER(DataAll!$D$2:$D$555),0))</f>
        <v>61.81</v>
      </c>
      <c r="D81" cm="1">
        <f t="array" ref="D81">INDEX(DataAll!$H$2:$H$579,MATCH(LOWER(Data!A81),LOWER(DataAll!$G$2:$G$555),0))</f>
        <v>0.53700000000000003</v>
      </c>
      <c r="E81" cm="1">
        <f t="array" ref="E81">INDEX(DataAll!$K$2:$K$579,MATCH(LOWER(Data!A81),LOWER(DataAll!$J$2:$J$555),0))</f>
        <v>5.88</v>
      </c>
      <c r="F81" cm="1">
        <f t="array" ref="F81">INDEX(DataAll!$N$2:$N$555,MATCH(LOWER(Data!A81),LOWER(DataAll!$M$2:$M$555),0))</f>
        <v>48.29</v>
      </c>
      <c r="G81" cm="1">
        <f t="array" ref="G81">INDEX(DataAll!$Q$2:$Q$555,MATCH(LOWER(Data!A81),LOWER(DataAll!$P$2:$P$555),0))</f>
        <v>13.75</v>
      </c>
      <c r="H81" cm="1">
        <f t="array" ref="H81">INDEX(DataAll!$T$2:$T$555,MATCH(LOWER(Data!A81),LOWER(DataAll!$S$2:$S$555),0))</f>
        <v>0.249</v>
      </c>
      <c r="I81" cm="1">
        <f t="array" ref="I81">INDEX(DataAll!$W$2:$W$555,MATCH(LOWER(Data!A81),LOWER(DataAll!$V$2:$V$555),0))</f>
        <v>36.340000000000003</v>
      </c>
      <c r="J81" cm="1">
        <f t="array" ref="J81">INDEX(DataAll!$Z$2:$Z$555,MATCH(LOWER(Data!A81),LOWER(DataAll!$Y$2:$Y$555),0))</f>
        <v>2.27</v>
      </c>
      <c r="K81" cm="1">
        <f t="array" ref="K81">INDEX(DataAll!$AM$2:$AM$555,MATCH(LOWER(Data!A81),LOWER(DataAll!$AL$2:$AL$555),0))</f>
        <v>8.07</v>
      </c>
      <c r="L81" cm="1">
        <f t="array" ref="L81">INDEX(DataAll!$AJ$2:$AJ$555,MATCH(LOWER(Data!A81),LOWER(DataAll!$AI$2:$AI$555),0))</f>
        <v>23.06</v>
      </c>
      <c r="M81" cm="1">
        <f t="array" ref="M81">INDEX(DataAll!$AP$2:$AP$555,MATCH(LOWER(Data!A81),LOWER(DataAll!$AO$2:$AO$555),0))</f>
        <v>67.19</v>
      </c>
      <c r="N81" cm="1">
        <f t="array" ref="N81">INDEX(DataAll!$AQ$2:$AQ$555,MATCH(LOWER(Data!A81),LOWER(DataAll!$AO$2:$AO$555),0))</f>
        <v>71.16</v>
      </c>
      <c r="O81" cm="1">
        <f t="array" ref="O81">INDEX(DataAll!$AT$2:$AT$555,MATCH(LOWER(Data!A81),LOWER(DataAll!$AS$2:$AS$555),0))</f>
        <v>9.16</v>
      </c>
      <c r="P81" cm="1">
        <f t="array" ref="P81">INDEX(DataAll!$AU$2:$AU$555,MATCH(LOWER(Data!A81),LOWER(DataAll!$AS$2:$AS$555),0))</f>
        <v>8.6300000000000008</v>
      </c>
      <c r="Q81" cm="1">
        <f t="array" ref="Q81">INDEX(DataAll!$AX$2:$AX$556,MATCH(LOWER(Data!A81),LOWER(DataAll!$AW$2:$AW$556),0))</f>
        <v>37.9</v>
      </c>
      <c r="R81" cm="1">
        <f t="array" ref="R81">INDEX('Longitude and Latitude'!$B$2:$B$579,MATCH(LOWER(Data!A81),LOWER('Longitude and Latitude'!$A$2:$A$579),0))</f>
        <v>-0.44115959999999999</v>
      </c>
      <c r="S81" cm="1">
        <f t="array" ref="S81">INDEX('Longitude and Latitude'!$C$2:$C$579,MATCH(LOWER(Data!A81),LOWER('Longitude and Latitude'!$A$2:$A$579),0))</f>
        <v>101.5248055</v>
      </c>
      <c r="T81" t="b">
        <f>IF(EXACT(A81, UPPER(A81)), TRUE, FALSE)</f>
        <v>0</v>
      </c>
    </row>
    <row r="82" spans="1:20" x14ac:dyDescent="0.35">
      <c r="A82" t="s">
        <v>82</v>
      </c>
      <c r="B82">
        <v>87.07</v>
      </c>
      <c r="C82" cm="1">
        <f t="array" ref="C82">INDEX(DataAll!$E$2:$E$555,MATCH(LOWER(Data!A82),LOWER(DataAll!$D$2:$D$555),0))</f>
        <v>56.27</v>
      </c>
      <c r="D82" cm="1">
        <f t="array" ref="D82">INDEX(DataAll!$H$2:$H$579,MATCH(LOWER(Data!A82),LOWER(DataAll!$G$2:$G$555),0))</f>
        <v>0.57299999999999995</v>
      </c>
      <c r="E82" cm="1">
        <f t="array" ref="E82">INDEX(DataAll!$K$2:$K$579,MATCH(LOWER(Data!A82),LOWER(DataAll!$J$2:$J$555),0))</f>
        <v>5</v>
      </c>
      <c r="F82" cm="1">
        <f t="array" ref="F82">INDEX(DataAll!$N$2:$N$555,MATCH(LOWER(Data!A82),LOWER(DataAll!$M$2:$M$555),0))</f>
        <v>51.13</v>
      </c>
      <c r="G82" cm="1">
        <f t="array" ref="G82">INDEX(DataAll!$Q$2:$Q$555,MATCH(LOWER(Data!A82),LOWER(DataAll!$P$2:$P$555),0))</f>
        <v>12.31</v>
      </c>
      <c r="H82" cm="1">
        <f t="array" ref="H82">INDEX(DataAll!$T$2:$T$555,MATCH(LOWER(Data!A82),LOWER(DataAll!$S$2:$S$555),0))</f>
        <v>0.29699999999999999</v>
      </c>
      <c r="I82" cm="1">
        <f t="array" ref="I82">INDEX(DataAll!$W$2:$W$555,MATCH(LOWER(Data!A82),LOWER(DataAll!$V$2:$V$555),0))</f>
        <v>29.02</v>
      </c>
      <c r="J82" cm="1">
        <f t="array" ref="J82">INDEX(DataAll!$Z$2:$Z$555,MATCH(LOWER(Data!A82),LOWER(DataAll!$Y$2:$Y$555),0))</f>
        <v>2.2400000000000002</v>
      </c>
      <c r="K82" cm="1">
        <f t="array" ref="K82">INDEX(DataAll!$AM$2:$AM$555,MATCH(LOWER(Data!A82),LOWER(DataAll!$AL$2:$AL$555),0))</f>
        <v>6.06</v>
      </c>
      <c r="L82" cm="1">
        <f t="array" ref="L82">INDEX(DataAll!$AJ$2:$AJ$555,MATCH(LOWER(Data!A82),LOWER(DataAll!$AI$2:$AI$555),0))</f>
        <v>22.7</v>
      </c>
      <c r="M82" cm="1">
        <f t="array" ref="M82">INDEX(DataAll!$AP$2:$AP$555,MATCH(LOWER(Data!A82),LOWER(DataAll!$AO$2:$AO$555),0))</f>
        <v>68.77</v>
      </c>
      <c r="N82" cm="1">
        <f t="array" ref="N82">INDEX(DataAll!$AQ$2:$AQ$555,MATCH(LOWER(Data!A82),LOWER(DataAll!$AO$2:$AO$555),0))</f>
        <v>72.709999999999994</v>
      </c>
      <c r="O82" cm="1">
        <f t="array" ref="O82">INDEX(DataAll!$AT$2:$AT$555,MATCH(LOWER(Data!A82),LOWER(DataAll!$AS$2:$AS$555),0))</f>
        <v>8.64</v>
      </c>
      <c r="P82" cm="1">
        <f t="array" ref="P82">INDEX(DataAll!$AU$2:$AU$555,MATCH(LOWER(Data!A82),LOWER(DataAll!$AS$2:$AS$555),0))</f>
        <v>8.19</v>
      </c>
      <c r="Q82" cm="1">
        <f t="array" ref="Q82">INDEX(DataAll!$AX$2:$AX$556,MATCH(LOWER(Data!A82),LOWER(DataAll!$AW$2:$AW$556),0))</f>
        <v>37.909999999999997</v>
      </c>
      <c r="R82" cm="1">
        <f t="array" ref="R82">INDEX('Longitude and Latitude'!$B$2:$B$579,MATCH(LOWER(Data!A82),LOWER('Longitude and Latitude'!$A$2:$A$579),0))</f>
        <v>-0.7361181</v>
      </c>
      <c r="S82" cm="1">
        <f t="array" ref="S82">INDEX('Longitude and Latitude'!$C$2:$C$579,MATCH(LOWER(Data!A82),LOWER('Longitude and Latitude'!$A$2:$A$579),0))</f>
        <v>102.2547919</v>
      </c>
      <c r="T82" t="b">
        <f>IF(EXACT(A82, UPPER(A82)), TRUE, FALSE)</f>
        <v>0</v>
      </c>
    </row>
    <row r="83" spans="1:20" x14ac:dyDescent="0.35">
      <c r="A83" t="s">
        <v>83</v>
      </c>
      <c r="B83">
        <v>83.2</v>
      </c>
      <c r="C83" cm="1">
        <f t="array" ref="C83">INDEX(DataAll!$E$2:$E$555,MATCH(LOWER(Data!A83),LOWER(DataAll!$D$2:$D$555),0))</f>
        <v>65.47</v>
      </c>
      <c r="D83" cm="1">
        <f t="array" ref="D83">INDEX(DataAll!$H$2:$H$579,MATCH(LOWER(Data!A83),LOWER(DataAll!$G$2:$G$555),0))</f>
        <v>0.57299999999999995</v>
      </c>
      <c r="E83" cm="1">
        <f t="array" ref="E83">INDEX(DataAll!$K$2:$K$579,MATCH(LOWER(Data!A83),LOWER(DataAll!$J$2:$J$555),0))</f>
        <v>13.33</v>
      </c>
      <c r="F83" cm="1">
        <f t="array" ref="F83">INDEX(DataAll!$N$2:$N$555,MATCH(LOWER(Data!A83),LOWER(DataAll!$M$2:$M$555),0))</f>
        <v>44.16</v>
      </c>
      <c r="G83" cm="1">
        <f t="array" ref="G83">INDEX(DataAll!$Q$2:$Q$555,MATCH(LOWER(Data!A83),LOWER(DataAll!$P$2:$P$555),0))</f>
        <v>17.059999999999999</v>
      </c>
      <c r="H83" cm="1">
        <f t="array" ref="H83">INDEX(DataAll!$T$2:$T$555,MATCH(LOWER(Data!A83),LOWER(DataAll!$S$2:$S$555),0))</f>
        <v>0.35499999999999998</v>
      </c>
      <c r="I83" cm="1">
        <f t="array" ref="I83">INDEX(DataAll!$W$2:$W$555,MATCH(LOWER(Data!A83),LOWER(DataAll!$V$2:$V$555),0))</f>
        <v>29.93</v>
      </c>
      <c r="J83" cm="1">
        <f t="array" ref="J83">INDEX(DataAll!$Z$2:$Z$555,MATCH(LOWER(Data!A83),LOWER(DataAll!$Y$2:$Y$555),0))</f>
        <v>2.2799999999999998</v>
      </c>
      <c r="K83" cm="1">
        <f t="array" ref="K83">INDEX(DataAll!$AM$2:$AM$555,MATCH(LOWER(Data!A83),LOWER(DataAll!$AL$2:$AL$555),0))</f>
        <v>5.64</v>
      </c>
      <c r="L83" cm="1">
        <f t="array" ref="L83">INDEX(DataAll!$AJ$2:$AJ$555,MATCH(LOWER(Data!A83),LOWER(DataAll!$AI$2:$AI$555),0))</f>
        <v>23.31</v>
      </c>
      <c r="M83" cm="1">
        <f t="array" ref="M83">INDEX(DataAll!$AP$2:$AP$555,MATCH(LOWER(Data!A83),LOWER(DataAll!$AO$2:$AO$555),0))</f>
        <v>66.680000000000007</v>
      </c>
      <c r="N83" cm="1">
        <f t="array" ref="N83">INDEX(DataAll!$AQ$2:$AQ$555,MATCH(LOWER(Data!A83),LOWER(DataAll!$AO$2:$AO$555),0))</f>
        <v>70.650000000000006</v>
      </c>
      <c r="O83" cm="1">
        <f t="array" ref="O83">INDEX(DataAll!$AT$2:$AT$555,MATCH(LOWER(Data!A83),LOWER(DataAll!$AS$2:$AS$555),0))</f>
        <v>7.55</v>
      </c>
      <c r="P83" cm="1">
        <f t="array" ref="P83">INDEX(DataAll!$AU$2:$AU$555,MATCH(LOWER(Data!A83),LOWER(DataAll!$AS$2:$AS$555),0))</f>
        <v>7.23</v>
      </c>
      <c r="Q83" cm="1">
        <f t="array" ref="Q83">INDEX(DataAll!$AX$2:$AX$556,MATCH(LOWER(Data!A83),LOWER(DataAll!$AW$2:$AW$556),0))</f>
        <v>27.04</v>
      </c>
      <c r="R83" cm="1">
        <f t="array" ref="R83">INDEX('Longitude and Latitude'!$B$2:$B$579,MATCH(LOWER(Data!A83),LOWER('Longitude and Latitude'!$A$2:$A$579),0))</f>
        <v>-0.14567330000000001</v>
      </c>
      <c r="S83" cm="1">
        <f t="array" ref="S83">INDEX('Longitude and Latitude'!$C$2:$C$579,MATCH(LOWER(Data!A83),LOWER('Longitude and Latitude'!$A$2:$A$579),0))</f>
        <v>102.989615</v>
      </c>
      <c r="T83" t="b">
        <f>IF(EXACT(A83, UPPER(A83)), TRUE, FALSE)</f>
        <v>0</v>
      </c>
    </row>
    <row r="84" spans="1:20" x14ac:dyDescent="0.35">
      <c r="A84" t="s">
        <v>84</v>
      </c>
      <c r="B84">
        <v>89.37</v>
      </c>
      <c r="C84" cm="1">
        <f t="array" ref="C84">INDEX(DataAll!$E$2:$E$555,MATCH(LOWER(Data!A84),LOWER(DataAll!$D$2:$D$555),0))</f>
        <v>54.51</v>
      </c>
      <c r="D84" cm="1">
        <f t="array" ref="D84">INDEX(DataAll!$H$2:$H$579,MATCH(LOWER(Data!A84),LOWER(DataAll!$G$2:$G$555),0))</f>
        <v>0.59199999999999997</v>
      </c>
      <c r="E84" cm="1">
        <f t="array" ref="E84">INDEX(DataAll!$K$2:$K$579,MATCH(LOWER(Data!A84),LOWER(DataAll!$J$2:$J$555),0))</f>
        <v>5.71</v>
      </c>
      <c r="F84" cm="1">
        <f t="array" ref="F84">INDEX(DataAll!$N$2:$N$555,MATCH(LOWER(Data!A84),LOWER(DataAll!$M$2:$M$555),0))</f>
        <v>55.32</v>
      </c>
      <c r="G84" cm="1">
        <f t="array" ref="G84">INDEX(DataAll!$Q$2:$Q$555,MATCH(LOWER(Data!A84),LOWER(DataAll!$P$2:$P$555),0))</f>
        <v>10.96</v>
      </c>
      <c r="H84" cm="1">
        <f t="array" ref="H84">INDEX(DataAll!$T$2:$T$555,MATCH(LOWER(Data!A84),LOWER(DataAll!$S$2:$S$555),0))</f>
        <v>0.27700000000000002</v>
      </c>
      <c r="I84" cm="1">
        <f t="array" ref="I84">INDEX(DataAll!$W$2:$W$555,MATCH(LOWER(Data!A84),LOWER(DataAll!$V$2:$V$555),0))</f>
        <v>27.98</v>
      </c>
      <c r="J84" cm="1">
        <f t="array" ref="J84">INDEX(DataAll!$Z$2:$Z$555,MATCH(LOWER(Data!A84),LOWER(DataAll!$Y$2:$Y$555),0))</f>
        <v>2.2799999999999998</v>
      </c>
      <c r="K84" cm="1">
        <f t="array" ref="K84">INDEX(DataAll!$AM$2:$AM$555,MATCH(LOWER(Data!A84),LOWER(DataAll!$AL$2:$AL$555),0))</f>
        <v>8.15</v>
      </c>
      <c r="L84" cm="1">
        <f t="array" ref="L84">INDEX(DataAll!$AJ$2:$AJ$555,MATCH(LOWER(Data!A84),LOWER(DataAll!$AI$2:$AI$555),0))</f>
        <v>17.52</v>
      </c>
      <c r="M84" cm="1">
        <f t="array" ref="M84">INDEX(DataAll!$AP$2:$AP$555,MATCH(LOWER(Data!A84),LOWER(DataAll!$AO$2:$AO$555),0))</f>
        <v>70.05</v>
      </c>
      <c r="N84" cm="1">
        <f t="array" ref="N84">INDEX(DataAll!$AQ$2:$AQ$555,MATCH(LOWER(Data!A84),LOWER(DataAll!$AO$2:$AO$555),0))</f>
        <v>74.05</v>
      </c>
      <c r="O84" cm="1">
        <f t="array" ref="O84">INDEX(DataAll!$AT$2:$AT$555,MATCH(LOWER(Data!A84),LOWER(DataAll!$AS$2:$AS$555),0))</f>
        <v>8.9600000000000009</v>
      </c>
      <c r="P84" cm="1">
        <f t="array" ref="P84">INDEX(DataAll!$AU$2:$AU$555,MATCH(LOWER(Data!A84),LOWER(DataAll!$AS$2:$AS$555),0))</f>
        <v>8.5399999999999991</v>
      </c>
      <c r="Q84" cm="1">
        <f t="array" ref="Q84">INDEX(DataAll!$AX$2:$AX$556,MATCH(LOWER(Data!A84),LOWER(DataAll!$AW$2:$AW$556),0))</f>
        <v>39.54</v>
      </c>
      <c r="R84" cm="1">
        <f t="array" ref="R84">INDEX('Longitude and Latitude'!$B$2:$B$579,MATCH(LOWER(Data!A84),LOWER('Longitude and Latitude'!$A$2:$A$579),0))</f>
        <v>0.441415</v>
      </c>
      <c r="S84" cm="1">
        <f t="array" ref="S84">INDEX('Longitude and Latitude'!$C$2:$C$579,MATCH(LOWER(Data!A84),LOWER('Longitude and Latitude'!$A$2:$A$579),0))</f>
        <v>102.08869900000001</v>
      </c>
      <c r="T84" t="b">
        <f>IF(EXACT(A84, UPPER(A84)), TRUE, FALSE)</f>
        <v>0</v>
      </c>
    </row>
    <row r="85" spans="1:20" x14ac:dyDescent="0.35">
      <c r="A85" t="s">
        <v>85</v>
      </c>
      <c r="B85">
        <v>88.93</v>
      </c>
      <c r="C85" cm="1">
        <f t="array" ref="C85">INDEX(DataAll!$E$2:$E$555,MATCH(LOWER(Data!A85),LOWER(DataAll!$D$2:$D$555),0))</f>
        <v>42.46</v>
      </c>
      <c r="D85" cm="1">
        <f t="array" ref="D85">INDEX(DataAll!$H$2:$H$579,MATCH(LOWER(Data!A85),LOWER(DataAll!$G$2:$G$555),0))</f>
        <v>0.54200000000000004</v>
      </c>
      <c r="E85" cm="1">
        <f t="array" ref="E85">INDEX(DataAll!$K$2:$K$579,MATCH(LOWER(Data!A85),LOWER(DataAll!$J$2:$J$555),0))</f>
        <v>2.5</v>
      </c>
      <c r="F85" cm="1">
        <f t="array" ref="F85">INDEX(DataAll!$N$2:$N$555,MATCH(LOWER(Data!A85),LOWER(DataAll!$M$2:$M$555),0))</f>
        <v>54.4</v>
      </c>
      <c r="G85" cm="1">
        <f t="array" ref="G85">INDEX(DataAll!$Q$2:$Q$555,MATCH(LOWER(Data!A85),LOWER(DataAll!$P$2:$P$555),0))</f>
        <v>10.33</v>
      </c>
      <c r="H85" cm="1">
        <f t="array" ref="H85">INDEX(DataAll!$T$2:$T$555,MATCH(LOWER(Data!A85),LOWER(DataAll!$S$2:$S$555),0))</f>
        <v>0.155</v>
      </c>
      <c r="I85" cm="1">
        <f t="array" ref="I85">INDEX(DataAll!$W$2:$W$555,MATCH(LOWER(Data!A85),LOWER(DataAll!$V$2:$V$555),0))</f>
        <v>19.98</v>
      </c>
      <c r="J85" cm="1">
        <f t="array" ref="J85">INDEX(DataAll!$Z$2:$Z$555,MATCH(LOWER(Data!A85),LOWER(DataAll!$Y$2:$Y$555),0))</f>
        <v>2.31</v>
      </c>
      <c r="K85" cm="1">
        <f t="array" ref="K85">INDEX(DataAll!$AM$2:$AM$555,MATCH(LOWER(Data!A85),LOWER(DataAll!$AL$2:$AL$555),0))</f>
        <v>5.23</v>
      </c>
      <c r="L85" cm="1">
        <f t="array" ref="L85">INDEX(DataAll!$AJ$2:$AJ$555,MATCH(LOWER(Data!A85),LOWER(DataAll!$AI$2:$AI$555),0))</f>
        <v>21.74</v>
      </c>
      <c r="M85" cm="1">
        <f t="array" ref="M85">INDEX(DataAll!$AP$2:$AP$555,MATCH(LOWER(Data!A85),LOWER(DataAll!$AO$2:$AO$555),0))</f>
        <v>69.69</v>
      </c>
      <c r="N85" cm="1">
        <f t="array" ref="N85">INDEX(DataAll!$AQ$2:$AQ$555,MATCH(LOWER(Data!A85),LOWER(DataAll!$AO$2:$AO$555),0))</f>
        <v>73.680000000000007</v>
      </c>
      <c r="O85" cm="1">
        <f t="array" ref="O85">INDEX(DataAll!$AT$2:$AT$555,MATCH(LOWER(Data!A85),LOWER(DataAll!$AS$2:$AS$555),0))</f>
        <v>10.09</v>
      </c>
      <c r="P85" cm="1">
        <f t="array" ref="P85">INDEX(DataAll!$AU$2:$AU$555,MATCH(LOWER(Data!A85),LOWER(DataAll!$AS$2:$AS$555),0))</f>
        <v>9.83</v>
      </c>
      <c r="Q85" cm="1">
        <f t="array" ref="Q85">INDEX(DataAll!$AX$2:$AX$556,MATCH(LOWER(Data!A85),LOWER(DataAll!$AW$2:$AW$556),0))</f>
        <v>49.22</v>
      </c>
      <c r="R85" cm="1">
        <f t="array" ref="R85">INDEX('Longitude and Latitude'!$B$2:$B$579,MATCH(LOWER(Data!A85),LOWER('Longitude and Latitude'!$A$2:$A$579),0))</f>
        <v>-0.78927499999999995</v>
      </c>
      <c r="S85" cm="1">
        <f t="array" ref="S85">INDEX('Longitude and Latitude'!$C$2:$C$579,MATCH(LOWER(Data!A85),LOWER('Longitude and Latitude'!$A$2:$A$579),0))</f>
        <v>113.92132700000001</v>
      </c>
      <c r="T85" t="b">
        <f>IF(EXACT(A85, UPPER(A85)), TRUE, FALSE)</f>
        <v>0</v>
      </c>
    </row>
    <row r="86" spans="1:20" x14ac:dyDescent="0.35">
      <c r="A86" t="s">
        <v>86</v>
      </c>
      <c r="B86">
        <v>89.87</v>
      </c>
      <c r="C86" cm="1">
        <f t="array" ref="C86">INDEX(DataAll!$E$2:$E$555,MATCH(LOWER(Data!A86),LOWER(DataAll!$D$2:$D$555),0))</f>
        <v>55.48</v>
      </c>
      <c r="D86" cm="1">
        <f t="array" ref="D86">INDEX(DataAll!$H$2:$H$579,MATCH(LOWER(Data!A86),LOWER(DataAll!$G$2:$G$555),0))</f>
        <v>0.49199999999999999</v>
      </c>
      <c r="E86" cm="1">
        <f t="array" ref="E86">INDEX(DataAll!$K$2:$K$579,MATCH(LOWER(Data!A86),LOWER(DataAll!$J$2:$J$555),0))</f>
        <v>8.89</v>
      </c>
      <c r="F86" cm="1">
        <f t="array" ref="F86">INDEX(DataAll!$N$2:$N$555,MATCH(LOWER(Data!A86),LOWER(DataAll!$M$2:$M$555),0))</f>
        <v>49.39</v>
      </c>
      <c r="G86" cm="1">
        <f t="array" ref="G86">INDEX(DataAll!$Q$2:$Q$555,MATCH(LOWER(Data!A86),LOWER(DataAll!$P$2:$P$555),0))</f>
        <v>12.01</v>
      </c>
      <c r="H86" cm="1">
        <f t="array" ref="H86">INDEX(DataAll!$T$2:$T$555,MATCH(LOWER(Data!A86),LOWER(DataAll!$S$2:$S$555),0))</f>
        <v>0.216</v>
      </c>
      <c r="I86" cm="1">
        <f t="array" ref="I86">INDEX(DataAll!$W$2:$W$555,MATCH(LOWER(Data!A86),LOWER(DataAll!$V$2:$V$555),0))</f>
        <v>23.59</v>
      </c>
      <c r="J86" cm="1">
        <f t="array" ref="J86">INDEX(DataAll!$Z$2:$Z$555,MATCH(LOWER(Data!A86),LOWER(DataAll!$Y$2:$Y$555),0))</f>
        <v>2.33</v>
      </c>
      <c r="K86" cm="1">
        <f t="array" ref="K86">INDEX(DataAll!$AM$2:$AM$555,MATCH(LOWER(Data!A86),LOWER(DataAll!$AL$2:$AL$555),0))</f>
        <v>7.04</v>
      </c>
      <c r="L86" cm="1">
        <f t="array" ref="L86">INDEX(DataAll!$AJ$2:$AJ$555,MATCH(LOWER(Data!A86),LOWER(DataAll!$AI$2:$AI$555),0))</f>
        <v>21.38</v>
      </c>
      <c r="M86" cm="1">
        <f t="array" ref="M86">INDEX(DataAll!$AP$2:$AP$555,MATCH(LOWER(Data!A86),LOWER(DataAll!$AO$2:$AO$555),0))</f>
        <v>69.489999999999995</v>
      </c>
      <c r="N86" cm="1">
        <f t="array" ref="N86">INDEX(DataAll!$AQ$2:$AQ$555,MATCH(LOWER(Data!A86),LOWER(DataAll!$AO$2:$AO$555),0))</f>
        <v>73.459999999999994</v>
      </c>
      <c r="O86" cm="1">
        <f t="array" ref="O86">INDEX(DataAll!$AT$2:$AT$555,MATCH(LOWER(Data!A86),LOWER(DataAll!$AS$2:$AS$555),0))</f>
        <v>9.69</v>
      </c>
      <c r="P86" cm="1">
        <f t="array" ref="P86">INDEX(DataAll!$AU$2:$AU$555,MATCH(LOWER(Data!A86),LOWER(DataAll!$AS$2:$AS$555),0))</f>
        <v>9.11</v>
      </c>
      <c r="Q86" cm="1">
        <f t="array" ref="Q86">INDEX(DataAll!$AX$2:$AX$556,MATCH(LOWER(Data!A86),LOWER(DataAll!$AW$2:$AW$556),0))</f>
        <v>39.950000000000003</v>
      </c>
      <c r="R86" cm="1">
        <f t="array" ref="R86">INDEX('Longitude and Latitude'!$B$2:$B$579,MATCH(LOWER(Data!A86),LOWER('Longitude and Latitude'!$A$2:$A$579),0))</f>
        <v>0.146671</v>
      </c>
      <c r="S86" cm="1">
        <f t="array" ref="S86">INDEX('Longitude and Latitude'!$C$2:$C$579,MATCH(LOWER(Data!A86),LOWER('Longitude and Latitude'!$A$2:$A$579),0))</f>
        <v>101.1617356</v>
      </c>
      <c r="T86" t="b">
        <f>IF(EXACT(A86, UPPER(A86)), TRUE, FALSE)</f>
        <v>0</v>
      </c>
    </row>
    <row r="87" spans="1:20" x14ac:dyDescent="0.35">
      <c r="A87" t="s">
        <v>87</v>
      </c>
      <c r="B87">
        <v>82.72</v>
      </c>
      <c r="C87" cm="1">
        <f t="array" ref="C87">INDEX(DataAll!$E$2:$E$555,MATCH(LOWER(Data!A87),LOWER(DataAll!$D$2:$D$555),0))</f>
        <v>52.15</v>
      </c>
      <c r="D87" cm="1">
        <f t="array" ref="D87">INDEX(DataAll!$H$2:$H$579,MATCH(LOWER(Data!A87),LOWER(DataAll!$G$2:$G$555),0))</f>
        <v>0.55600000000000005</v>
      </c>
      <c r="E87" cm="1">
        <f t="array" ref="E87">INDEX(DataAll!$K$2:$K$579,MATCH(LOWER(Data!A87),LOWER(DataAll!$J$2:$J$555),0))</f>
        <v>4.4400000000000004</v>
      </c>
      <c r="F87" cm="1">
        <f t="array" ref="F87">INDEX(DataAll!$N$2:$N$555,MATCH(LOWER(Data!A87),LOWER(DataAll!$M$2:$M$555),0))</f>
        <v>45.31</v>
      </c>
      <c r="G87" cm="1">
        <f t="array" ref="G87">INDEX(DataAll!$Q$2:$Q$555,MATCH(LOWER(Data!A87),LOWER(DataAll!$P$2:$P$555),0))</f>
        <v>9.32</v>
      </c>
      <c r="H87" cm="1">
        <f t="array" ref="H87">INDEX(DataAll!$T$2:$T$555,MATCH(LOWER(Data!A87),LOWER(DataAll!$S$2:$S$555),0))</f>
        <v>0.249</v>
      </c>
      <c r="I87" cm="1">
        <f t="array" ref="I87">INDEX(DataAll!$W$2:$W$555,MATCH(LOWER(Data!A87),LOWER(DataAll!$V$2:$V$555),0))</f>
        <v>26.33</v>
      </c>
      <c r="J87" cm="1">
        <f t="array" ref="J87">INDEX(DataAll!$Z$2:$Z$555,MATCH(LOWER(Data!A87),LOWER(DataAll!$Y$2:$Y$555),0))</f>
        <v>2.27</v>
      </c>
      <c r="K87" cm="1">
        <f t="array" ref="K87">INDEX(DataAll!$AM$2:$AM$555,MATCH(LOWER(Data!A87),LOWER(DataAll!$AL$2:$AL$555),0))</f>
        <v>9.7200000000000006</v>
      </c>
      <c r="L87" cm="1">
        <f t="array" ref="L87">INDEX(DataAll!$AJ$2:$AJ$555,MATCH(LOWER(Data!A87),LOWER(DataAll!$AI$2:$AI$555),0))</f>
        <v>14.25</v>
      </c>
      <c r="M87" cm="1">
        <f t="array" ref="M87">INDEX(DataAll!$AP$2:$AP$555,MATCH(LOWER(Data!A87),LOWER(DataAll!$AO$2:$AO$555),0))</f>
        <v>68.91</v>
      </c>
      <c r="N87" cm="1">
        <f t="array" ref="N87">INDEX(DataAll!$AQ$2:$AQ$555,MATCH(LOWER(Data!A87),LOWER(DataAll!$AO$2:$AO$555),0))</f>
        <v>72.86</v>
      </c>
      <c r="O87" cm="1">
        <f t="array" ref="O87">INDEX(DataAll!$AT$2:$AT$555,MATCH(LOWER(Data!A87),LOWER(DataAll!$AS$2:$AS$555),0))</f>
        <v>8.93</v>
      </c>
      <c r="P87" cm="1">
        <f t="array" ref="P87">INDEX(DataAll!$AU$2:$AU$555,MATCH(LOWER(Data!A87),LOWER(DataAll!$AS$2:$AS$555),0))</f>
        <v>8.68</v>
      </c>
      <c r="Q87" cm="1">
        <f t="array" ref="Q87">INDEX(DataAll!$AX$2:$AX$556,MATCH(LOWER(Data!A87),LOWER(DataAll!$AW$2:$AW$556),0))</f>
        <v>35.229999999999997</v>
      </c>
      <c r="R87" cm="1">
        <f t="array" ref="R87">INDEX('Longitude and Latitude'!$B$2:$B$579,MATCH(LOWER(Data!A87),LOWER('Longitude and Latitude'!$A$2:$A$579),0))</f>
        <v>1.0410934000000001</v>
      </c>
      <c r="S87" cm="1">
        <f t="array" ref="S87">INDEX('Longitude and Latitude'!$C$2:$C$579,MATCH(LOWER(Data!A87),LOWER('Longitude and Latitude'!$A$2:$A$579),0))</f>
        <v>100.439656</v>
      </c>
      <c r="T87" t="b">
        <f>IF(EXACT(A87, UPPER(A87)), TRUE, FALSE)</f>
        <v>0</v>
      </c>
    </row>
    <row r="88" spans="1:20" x14ac:dyDescent="0.35">
      <c r="A88" t="s">
        <v>88</v>
      </c>
      <c r="B88">
        <v>89.94</v>
      </c>
      <c r="C88" cm="1">
        <f t="array" ref="C88">INDEX(DataAll!$E$2:$E$555,MATCH(LOWER(Data!A88),LOWER(DataAll!$D$2:$D$555),0))</f>
        <v>54.01</v>
      </c>
      <c r="D88" cm="1">
        <f t="array" ref="D88">INDEX(DataAll!$H$2:$H$579,MATCH(LOWER(Data!A88),LOWER(DataAll!$G$2:$G$555),0))</f>
        <v>0.48899999999999999</v>
      </c>
      <c r="E88" cm="1">
        <f t="array" ref="E88">INDEX(DataAll!$K$2:$K$579,MATCH(LOWER(Data!A88),LOWER(DataAll!$J$2:$J$555),0))</f>
        <v>8.89</v>
      </c>
      <c r="F88" cm="1">
        <f t="array" ref="F88">INDEX(DataAll!$N$2:$N$555,MATCH(LOWER(Data!A88),LOWER(DataAll!$M$2:$M$555),0))</f>
        <v>50.41</v>
      </c>
      <c r="G88" cm="1">
        <f t="array" ref="G88">INDEX(DataAll!$Q$2:$Q$555,MATCH(LOWER(Data!A88),LOWER(DataAll!$P$2:$P$555),0))</f>
        <v>12.77</v>
      </c>
      <c r="H88" cm="1">
        <f t="array" ref="H88">INDEX(DataAll!$T$2:$T$555,MATCH(LOWER(Data!A88),LOWER(DataAll!$S$2:$S$555),0))</f>
        <v>0.15</v>
      </c>
      <c r="I88" cm="1">
        <f t="array" ref="I88">INDEX(DataAll!$W$2:$W$555,MATCH(LOWER(Data!A88),LOWER(DataAll!$V$2:$V$555),0))</f>
        <v>22.98</v>
      </c>
      <c r="J88" cm="1">
        <f t="array" ref="J88">INDEX(DataAll!$Z$2:$Z$555,MATCH(LOWER(Data!A88),LOWER(DataAll!$Y$2:$Y$555),0))</f>
        <v>2.62</v>
      </c>
      <c r="K88" cm="1">
        <f t="array" ref="K88">INDEX(DataAll!$AM$2:$AM$555,MATCH(LOWER(Data!A88),LOWER(DataAll!$AL$2:$AL$555),0))</f>
        <v>6.31</v>
      </c>
      <c r="L88" cm="1">
        <f t="array" ref="L88">INDEX(DataAll!$AJ$2:$AJ$555,MATCH(LOWER(Data!A88),LOWER(DataAll!$AI$2:$AI$555),0))</f>
        <v>20.23</v>
      </c>
      <c r="M88" cm="1">
        <f t="array" ref="M88">INDEX(DataAll!$AP$2:$AP$555,MATCH(LOWER(Data!A88),LOWER(DataAll!$AO$2:$AO$555),0))</f>
        <v>69.84</v>
      </c>
      <c r="N88" cm="1">
        <f t="array" ref="N88">INDEX(DataAll!$AQ$2:$AQ$555,MATCH(LOWER(Data!A88),LOWER(DataAll!$AO$2:$AO$555),0))</f>
        <v>73.83</v>
      </c>
      <c r="O88" cm="1">
        <f t="array" ref="O88">INDEX(DataAll!$AT$2:$AT$555,MATCH(LOWER(Data!A88),LOWER(DataAll!$AS$2:$AS$555),0))</f>
        <v>10.01</v>
      </c>
      <c r="P88" cm="1">
        <f t="array" ref="P88">INDEX(DataAll!$AU$2:$AU$555,MATCH(LOWER(Data!A88),LOWER(DataAll!$AS$2:$AS$555),0))</f>
        <v>9.43</v>
      </c>
      <c r="Q88" cm="1">
        <f t="array" ref="Q88">INDEX(DataAll!$AX$2:$AX$556,MATCH(LOWER(Data!A88),LOWER(DataAll!$AW$2:$AW$556),0))</f>
        <v>44.61</v>
      </c>
      <c r="R88" cm="1">
        <f t="array" ref="R88">INDEX('Longitude and Latitude'!$B$2:$B$579,MATCH(LOWER(Data!A88),LOWER('Longitude and Latitude'!$A$2:$A$579),0))</f>
        <v>1.4897222000000001</v>
      </c>
      <c r="S88" cm="1">
        <f t="array" ref="S88">INDEX('Longitude and Latitude'!$C$2:$C$579,MATCH(LOWER(Data!A88),LOWER('Longitude and Latitude'!$A$2:$A$579),0))</f>
        <v>102.07972220000001</v>
      </c>
      <c r="T88" t="b">
        <f>IF(EXACT(A88, UPPER(A88)), TRUE, FALSE)</f>
        <v>0</v>
      </c>
    </row>
    <row r="89" spans="1:20" x14ac:dyDescent="0.35">
      <c r="A89" t="s">
        <v>89</v>
      </c>
      <c r="B89">
        <v>85.38</v>
      </c>
      <c r="C89" cm="1">
        <f t="array" ref="C89">INDEX(DataAll!$E$2:$E$555,MATCH(LOWER(Data!A89),LOWER(DataAll!$D$2:$D$555),0))</f>
        <v>59.18</v>
      </c>
      <c r="D89" cm="1">
        <f t="array" ref="D89">INDEX(DataAll!$H$2:$H$579,MATCH(LOWER(Data!A89),LOWER(DataAll!$G$2:$G$555),0))</f>
        <v>0.52600000000000002</v>
      </c>
      <c r="E89" cm="1">
        <f t="array" ref="E89">INDEX(DataAll!$K$2:$K$579,MATCH(LOWER(Data!A89),LOWER(DataAll!$J$2:$J$555),0))</f>
        <v>15.56</v>
      </c>
      <c r="F89" cm="1">
        <f t="array" ref="F89">INDEX(DataAll!$N$2:$N$555,MATCH(LOWER(Data!A89),LOWER(DataAll!$M$2:$M$555),0))</f>
        <v>59.64</v>
      </c>
      <c r="G89" cm="1">
        <f t="array" ref="G89">INDEX(DataAll!$Q$2:$Q$555,MATCH(LOWER(Data!A89),LOWER(DataAll!$P$2:$P$555),0))</f>
        <v>12.62</v>
      </c>
      <c r="H89" cm="1">
        <f t="array" ref="H89">INDEX(DataAll!$T$2:$T$555,MATCH(LOWER(Data!A89),LOWER(DataAll!$S$2:$S$555),0))</f>
        <v>0.23899999999999999</v>
      </c>
      <c r="I89" cm="1">
        <f t="array" ref="I89">INDEX(DataAll!$W$2:$W$555,MATCH(LOWER(Data!A89),LOWER(DataAll!$V$2:$V$555),0))</f>
        <v>23.04</v>
      </c>
      <c r="J89" cm="1">
        <f t="array" ref="J89">INDEX(DataAll!$Z$2:$Z$555,MATCH(LOWER(Data!A89),LOWER(DataAll!$Y$2:$Y$555),0))</f>
        <v>2.33</v>
      </c>
      <c r="K89" cm="1">
        <f t="array" ref="K89">INDEX(DataAll!$AM$2:$AM$555,MATCH(LOWER(Data!A89),LOWER(DataAll!$AL$2:$AL$555),0))</f>
        <v>7.07</v>
      </c>
      <c r="L89" cm="1">
        <f t="array" ref="L89">INDEX(DataAll!$AJ$2:$AJ$555,MATCH(LOWER(Data!A89),LOWER(DataAll!$AI$2:$AI$555),0))</f>
        <v>21.45</v>
      </c>
      <c r="M89" cm="1">
        <f t="array" ref="M89">INDEX(DataAll!$AP$2:$AP$555,MATCH(LOWER(Data!A89),LOWER(DataAll!$AO$2:$AO$555),0))</f>
        <v>69.069999999999993</v>
      </c>
      <c r="N89" cm="1">
        <f t="array" ref="N89">INDEX(DataAll!$AQ$2:$AQ$555,MATCH(LOWER(Data!A89),LOWER(DataAll!$AO$2:$AO$555),0))</f>
        <v>73.02</v>
      </c>
      <c r="O89" cm="1">
        <f t="array" ref="O89">INDEX(DataAll!$AT$2:$AT$555,MATCH(LOWER(Data!A89),LOWER(DataAll!$AS$2:$AS$555),0))</f>
        <v>8.8699999999999992</v>
      </c>
      <c r="P89" cm="1">
        <f t="array" ref="P89">INDEX(DataAll!$AU$2:$AU$555,MATCH(LOWER(Data!A89),LOWER(DataAll!$AS$2:$AS$555),0))</f>
        <v>8.2100000000000009</v>
      </c>
      <c r="Q89" cm="1">
        <f t="array" ref="Q89">INDEX(DataAll!$AX$2:$AX$556,MATCH(LOWER(Data!A89),LOWER(DataAll!$AW$2:$AW$556),0))</f>
        <v>36.6</v>
      </c>
      <c r="R89" cm="1">
        <f t="array" ref="R89">INDEX('Longitude and Latitude'!$B$2:$B$579,MATCH(LOWER(Data!A89),LOWER('Longitude and Latitude'!$A$2:$A$579),0))</f>
        <v>1.6463977999999999</v>
      </c>
      <c r="S89" cm="1">
        <f t="array" ref="S89">INDEX('Longitude and Latitude'!$C$2:$C$579,MATCH(LOWER(Data!A89),LOWER('Longitude and Latitude'!$A$2:$A$579),0))</f>
        <v>100.80000510000001</v>
      </c>
      <c r="T89" t="b">
        <f>IF(EXACT(A89, UPPER(A89)), TRUE, FALSE)</f>
        <v>0</v>
      </c>
    </row>
    <row r="90" spans="1:20" x14ac:dyDescent="0.35">
      <c r="A90" t="s">
        <v>90</v>
      </c>
      <c r="B90">
        <v>87.35</v>
      </c>
      <c r="C90" cm="1">
        <f t="array" ref="C90">INDEX(DataAll!$E$2:$E$555,MATCH(LOWER(Data!A90),LOWER(DataAll!$D$2:$D$555),0))</f>
        <v>63.19</v>
      </c>
      <c r="D90" cm="1">
        <f t="array" ref="D90">INDEX(DataAll!$H$2:$H$579,MATCH(LOWER(Data!A90),LOWER(DataAll!$G$2:$G$555),0))</f>
        <v>0.48699999999999999</v>
      </c>
      <c r="E90" cm="1">
        <f t="array" ref="E90">INDEX(DataAll!$K$2:$K$579,MATCH(LOWER(Data!A90),LOWER(DataAll!$J$2:$J$555),0))</f>
        <v>13.33</v>
      </c>
      <c r="F90" cm="1">
        <f t="array" ref="F90">INDEX(DataAll!$N$2:$N$555,MATCH(LOWER(Data!A90),LOWER(DataAll!$M$2:$M$555),0))</f>
        <v>48.6</v>
      </c>
      <c r="G90" cm="1">
        <f t="array" ref="G90">INDEX(DataAll!$Q$2:$Q$555,MATCH(LOWER(Data!A90),LOWER(DataAll!$P$2:$P$555),0))</f>
        <v>15.95</v>
      </c>
      <c r="H90" cm="1">
        <f t="array" ref="H90">INDEX(DataAll!$T$2:$T$555,MATCH(LOWER(Data!A90),LOWER(DataAll!$S$2:$S$555),0))</f>
        <v>0.17399999999999999</v>
      </c>
      <c r="I90" cm="1">
        <f t="array" ref="I90">INDEX(DataAll!$W$2:$W$555,MATCH(LOWER(Data!A90),LOWER(DataAll!$V$2:$V$555),0))</f>
        <v>27.62</v>
      </c>
      <c r="J90" cm="1">
        <f t="array" ref="J90">INDEX(DataAll!$Z$2:$Z$555,MATCH(LOWER(Data!A90),LOWER(DataAll!$Y$2:$Y$555),0))</f>
        <v>2.2200000000000002</v>
      </c>
      <c r="K90" cm="1">
        <f t="array" ref="K90">INDEX(DataAll!$AM$2:$AM$555,MATCH(LOWER(Data!A90),LOWER(DataAll!$AL$2:$AL$555),0))</f>
        <v>22.98</v>
      </c>
      <c r="L90" cm="1">
        <f t="array" ref="L90">INDEX(DataAll!$AJ$2:$AJ$555,MATCH(LOWER(Data!A90),LOWER(DataAll!$AI$2:$AI$555),0))</f>
        <v>26.01</v>
      </c>
      <c r="M90" cm="1">
        <f t="array" ref="M90">INDEX(DataAll!$AP$2:$AP$555,MATCH(LOWER(Data!A90),LOWER(DataAll!$AO$2:$AO$555),0))</f>
        <v>66.47</v>
      </c>
      <c r="N90" cm="1">
        <f t="array" ref="N90">INDEX(DataAll!$AQ$2:$AQ$555,MATCH(LOWER(Data!A90),LOWER(DataAll!$AO$2:$AO$555),0))</f>
        <v>70.45</v>
      </c>
      <c r="O90" cm="1">
        <f t="array" ref="O90">INDEX(DataAll!$AT$2:$AT$555,MATCH(LOWER(Data!A90),LOWER(DataAll!$AS$2:$AS$555),0))</f>
        <v>8.14</v>
      </c>
      <c r="P90" cm="1">
        <f t="array" ref="P90">INDEX(DataAll!$AU$2:$AU$555,MATCH(LOWER(Data!A90),LOWER(DataAll!$AS$2:$AS$555),0))</f>
        <v>7.87</v>
      </c>
      <c r="Q90" cm="1">
        <f t="array" ref="Q90">INDEX(DataAll!$AX$2:$AX$556,MATCH(LOWER(Data!A90),LOWER(DataAll!$AW$2:$AW$556),0))</f>
        <v>34.340000000000003</v>
      </c>
      <c r="R90" cm="1">
        <f t="array" ref="R90">INDEX('Longitude and Latitude'!$B$2:$B$579,MATCH(LOWER(Data!A90),LOWER('Longitude and Latitude'!$A$2:$A$579),0))</f>
        <v>0.92087649999999999</v>
      </c>
      <c r="S90" cm="1">
        <f t="array" ref="S90">INDEX('Longitude and Latitude'!$C$2:$C$579,MATCH(LOWER(Data!A90),LOWER('Longitude and Latitude'!$A$2:$A$579),0))</f>
        <v>102.6675575</v>
      </c>
      <c r="T90" t="b">
        <f>IF(EXACT(A90, UPPER(A90)), TRUE, FALSE)</f>
        <v>0</v>
      </c>
    </row>
    <row r="91" spans="1:20" x14ac:dyDescent="0.35">
      <c r="A91" t="s">
        <v>91</v>
      </c>
      <c r="B91">
        <v>93.89</v>
      </c>
      <c r="C91" cm="1">
        <f t="array" ref="C91">INDEX(DataAll!$E$2:$E$555,MATCH(LOWER(Data!A91),LOWER(DataAll!$D$2:$D$555),0))</f>
        <v>68.040000000000006</v>
      </c>
      <c r="D91" cm="1">
        <f t="array" ref="D91">INDEX(DataAll!$H$2:$H$579,MATCH(LOWER(Data!A91),LOWER(DataAll!$G$2:$G$555),0))</f>
        <v>0.13</v>
      </c>
      <c r="E91" cm="1">
        <f t="array" ref="E91">INDEX(DataAll!$K$2:$K$579,MATCH(LOWER(Data!A91),LOWER(DataAll!$J$2:$J$555),0))</f>
        <v>20</v>
      </c>
      <c r="F91" cm="1">
        <f t="array" ref="F91">INDEX(DataAll!$N$2:$N$555,MATCH(LOWER(Data!A91),LOWER(DataAll!$M$2:$M$555),0))</f>
        <v>46.76</v>
      </c>
      <c r="G91" cm="1">
        <f t="array" ref="G91">INDEX(DataAll!$Q$2:$Q$555,MATCH(LOWER(Data!A91),LOWER(DataAll!$P$2:$P$555),0))</f>
        <v>11.75</v>
      </c>
      <c r="H91" cm="1">
        <f t="array" ref="H91">INDEX(DataAll!$T$2:$T$555,MATCH(LOWER(Data!A91),LOWER(DataAll!$S$2:$S$555),0))</f>
        <v>5.7000000000000002E-2</v>
      </c>
      <c r="I91" cm="1">
        <f t="array" ref="I91">INDEX(DataAll!$W$2:$W$555,MATCH(LOWER(Data!A91),LOWER(DataAll!$V$2:$V$555),0))</f>
        <v>27.19</v>
      </c>
      <c r="J91" cm="1">
        <f t="array" ref="J91">INDEX(DataAll!$Z$2:$Z$555,MATCH(LOWER(Data!A91),LOWER(DataAll!$Y$2:$Y$555),0))</f>
        <v>2.09</v>
      </c>
      <c r="K91" cm="1">
        <f t="array" ref="K91">INDEX(DataAll!$AM$2:$AM$555,MATCH(LOWER(Data!A91),LOWER(DataAll!$AL$2:$AL$555),0))</f>
        <v>3.16</v>
      </c>
      <c r="L91" cm="1">
        <f t="array" ref="L91">INDEX(DataAll!$AJ$2:$AJ$555,MATCH(LOWER(Data!A91),LOWER(DataAll!$AI$2:$AI$555),0))</f>
        <v>12.54</v>
      </c>
      <c r="M91" cm="1">
        <f t="array" ref="M91">INDEX(DataAll!$AP$2:$AP$555,MATCH(LOWER(Data!A91),LOWER(DataAll!$AO$2:$AO$555),0))</f>
        <v>71.02</v>
      </c>
      <c r="N91" cm="1">
        <f t="array" ref="N91">INDEX(DataAll!$AQ$2:$AQ$555,MATCH(LOWER(Data!A91),LOWER(DataAll!$AO$2:$AO$555),0))</f>
        <v>75.13</v>
      </c>
      <c r="O91" cm="1">
        <f t="array" ref="O91">INDEX(DataAll!$AT$2:$AT$555,MATCH(LOWER(Data!A91),LOWER(DataAll!$AS$2:$AS$555),0))</f>
        <v>11.97</v>
      </c>
      <c r="P91" cm="1">
        <f t="array" ref="P91">INDEX(DataAll!$AU$2:$AU$555,MATCH(LOWER(Data!A91),LOWER(DataAll!$AS$2:$AS$555),0))</f>
        <v>11.93</v>
      </c>
      <c r="Q91" cm="1">
        <f t="array" ref="Q91">INDEX(DataAll!$AX$2:$AX$556,MATCH(LOWER(Data!A91),LOWER(DataAll!$AW$2:$AW$556),0))</f>
        <v>65.52</v>
      </c>
      <c r="R91" cm="1">
        <f t="array" ref="R91">INDEX('Longitude and Latitude'!$B$2:$B$579,MATCH(LOWER(Data!A91),LOWER('Longitude and Latitude'!$A$2:$A$579),0))</f>
        <v>0.53333330000000001</v>
      </c>
      <c r="S91" cm="1">
        <f t="array" ref="S91">INDEX('Longitude and Latitude'!$C$2:$C$579,MATCH(LOWER(Data!A91),LOWER('Longitude and Latitude'!$A$2:$A$579),0))</f>
        <v>101.45</v>
      </c>
      <c r="T91" t="b">
        <f>IF(EXACT(A91, UPPER(A91)), TRUE, FALSE)</f>
        <v>0</v>
      </c>
    </row>
    <row r="92" spans="1:20" x14ac:dyDescent="0.35">
      <c r="A92" t="s">
        <v>92</v>
      </c>
      <c r="B92">
        <v>90.92</v>
      </c>
      <c r="C92" cm="1">
        <f t="array" ref="C92">INDEX(DataAll!$E$2:$E$555,MATCH(LOWER(Data!A92),LOWER(DataAll!$D$2:$D$555),0))</f>
        <v>52.93</v>
      </c>
      <c r="D92" cm="1">
        <f t="array" ref="D92">INDEX(DataAll!$H$2:$H$579,MATCH(LOWER(Data!A92),LOWER(DataAll!$G$2:$G$555),0))</f>
        <v>0.41</v>
      </c>
      <c r="E92" cm="1">
        <f t="array" ref="E92">INDEX(DataAll!$K$2:$K$579,MATCH(LOWER(Data!A92),LOWER(DataAll!$J$2:$J$555),0))</f>
        <v>6.67</v>
      </c>
      <c r="F92" cm="1">
        <f t="array" ref="F92">INDEX(DataAll!$N$2:$N$555,MATCH(LOWER(Data!A92),LOWER(DataAll!$M$2:$M$555),0))</f>
        <v>49.48</v>
      </c>
      <c r="G92" cm="1">
        <f t="array" ref="G92">INDEX(DataAll!$Q$2:$Q$555,MATCH(LOWER(Data!A92),LOWER(DataAll!$P$2:$P$555),0))</f>
        <v>12.42</v>
      </c>
      <c r="H92" cm="1">
        <f t="array" ref="H92">INDEX(DataAll!$T$2:$T$555,MATCH(LOWER(Data!A92),LOWER(DataAll!$S$2:$S$555),0))</f>
        <v>0.189</v>
      </c>
      <c r="I92" cm="1">
        <f t="array" ref="I92">INDEX(DataAll!$W$2:$W$555,MATCH(LOWER(Data!A92),LOWER(DataAll!$V$2:$V$555),0))</f>
        <v>23.48</v>
      </c>
      <c r="J92" cm="1">
        <f t="array" ref="J92">INDEX(DataAll!$Z$2:$Z$555,MATCH(LOWER(Data!A92),LOWER(DataAll!$Y$2:$Y$555),0))</f>
        <v>2.19</v>
      </c>
      <c r="K92" cm="1">
        <f t="array" ref="K92">INDEX(DataAll!$AM$2:$AM$555,MATCH(LOWER(Data!A92),LOWER(DataAll!$AL$2:$AL$555),0))</f>
        <v>3.21</v>
      </c>
      <c r="L92" cm="1">
        <f t="array" ref="L92">INDEX(DataAll!$AJ$2:$AJ$555,MATCH(LOWER(Data!A92),LOWER(DataAll!$AI$2:$AI$555),0))</f>
        <v>15.43</v>
      </c>
      <c r="M92" cm="1">
        <f t="array" ref="M92">INDEX(DataAll!$AP$2:$AP$555,MATCH(LOWER(Data!A92),LOWER(DataAll!$AO$2:$AO$555),0))</f>
        <v>69.73</v>
      </c>
      <c r="N92" cm="1">
        <f t="array" ref="N92">INDEX(DataAll!$AQ$2:$AQ$555,MATCH(LOWER(Data!A92),LOWER(DataAll!$AO$2:$AO$555),0))</f>
        <v>73.709999999999994</v>
      </c>
      <c r="O92" cm="1">
        <f t="array" ref="O92">INDEX(DataAll!$AT$2:$AT$555,MATCH(LOWER(Data!A92),LOWER(DataAll!$AS$2:$AS$555),0))</f>
        <v>10.38</v>
      </c>
      <c r="P92" cm="1">
        <f t="array" ref="P92">INDEX(DataAll!$AU$2:$AU$555,MATCH(LOWER(Data!A92),LOWER(DataAll!$AS$2:$AS$555),0))</f>
        <v>10.119999999999999</v>
      </c>
      <c r="Q92" cm="1">
        <f t="array" ref="Q92">INDEX(DataAll!$AX$2:$AX$556,MATCH(LOWER(Data!A92),LOWER(DataAll!$AW$2:$AW$556),0))</f>
        <v>53.48</v>
      </c>
      <c r="R92" cm="1">
        <f t="array" ref="R92">INDEX('Longitude and Latitude'!$B$2:$B$579,MATCH(LOWER(Data!A92),LOWER('Longitude and Latitude'!$A$2:$A$579),0))</f>
        <v>1.6657420000000001</v>
      </c>
      <c r="S92" cm="1">
        <f t="array" ref="S92">INDEX('Longitude and Latitude'!$C$2:$C$579,MATCH(LOWER(Data!A92),LOWER('Longitude and Latitude'!$A$2:$A$579),0))</f>
        <v>101.44760100000001</v>
      </c>
      <c r="T92" t="b">
        <f>IF(EXACT(A92, UPPER(A92)), TRUE, FALSE)</f>
        <v>0</v>
      </c>
    </row>
    <row r="93" spans="1:20" x14ac:dyDescent="0.35">
      <c r="A93" t="s">
        <v>93</v>
      </c>
      <c r="B93">
        <v>89.29</v>
      </c>
      <c r="C93" cm="1">
        <f t="array" ref="C93">INDEX(DataAll!$E$2:$E$555,MATCH(LOWER(Data!A93),LOWER(DataAll!$D$2:$D$555),0))</f>
        <v>68.069999999999993</v>
      </c>
      <c r="D93" cm="1">
        <f t="array" ref="D93">INDEX(DataAll!$H$2:$H$579,MATCH(LOWER(Data!A93),LOWER(DataAll!$G$2:$G$555),0))</f>
        <v>0.52800000000000002</v>
      </c>
      <c r="E93" cm="1">
        <f t="array" ref="E93">INDEX(DataAll!$K$2:$K$579,MATCH(LOWER(Data!A93),LOWER(DataAll!$J$2:$J$555),0))</f>
        <v>16.36</v>
      </c>
      <c r="F93" cm="1">
        <f t="array" ref="F93">INDEX(DataAll!$N$2:$N$555,MATCH(LOWER(Data!A93),LOWER(DataAll!$M$2:$M$555),0))</f>
        <v>52.49</v>
      </c>
      <c r="G93" t="e" cm="1">
        <f t="array" ref="G93">INDEX(DataAll!$Q$2:$Q$555,MATCH(LOWER(Data!A93),LOWER(DataAll!$P$2:$P$555),0))</f>
        <v>#N/A</v>
      </c>
      <c r="H93" cm="1">
        <f t="array" ref="H93">INDEX(DataAll!$T$2:$T$555,MATCH(LOWER(Data!A93),LOWER(DataAll!$S$2:$S$555),0))</f>
        <v>0.32400000000000001</v>
      </c>
      <c r="I93" cm="1">
        <f t="array" ref="I93">INDEX(DataAll!$W$2:$W$555,MATCH(LOWER(Data!A93),LOWER(DataAll!$V$2:$V$555),0))</f>
        <v>30.61</v>
      </c>
      <c r="J93" cm="1">
        <f t="array" ref="J93">INDEX(DataAll!$Z$2:$Z$555,MATCH(LOWER(Data!A93),LOWER(DataAll!$Y$2:$Y$555),0))</f>
        <v>2.2799999999999998</v>
      </c>
      <c r="K93" cm="1">
        <f t="array" ref="K93">INDEX(DataAll!$AM$2:$AM$555,MATCH(LOWER(Data!A93),LOWER(DataAll!$AL$2:$AL$555),0))</f>
        <v>7.58</v>
      </c>
      <c r="L93" cm="1">
        <f t="array" ref="L93">INDEX(DataAll!$AJ$2:$AJ$555,MATCH(LOWER(Data!A93),LOWER(DataAll!$AI$2:$AI$555),0))</f>
        <v>19.98</v>
      </c>
      <c r="M93" cm="1">
        <f t="array" ref="M93">INDEX(DataAll!$AP$2:$AP$555,MATCH(LOWER(Data!A93),LOWER(DataAll!$AO$2:$AO$555),0))</f>
        <v>69.83</v>
      </c>
      <c r="N93" cm="1">
        <f t="array" ref="N93">INDEX(DataAll!$AQ$2:$AQ$555,MATCH(LOWER(Data!A93),LOWER(DataAll!$AO$2:$AO$555),0))</f>
        <v>73.81</v>
      </c>
      <c r="O93" cm="1">
        <f t="array" ref="O93">INDEX(DataAll!$AT$2:$AT$555,MATCH(LOWER(Data!A93),LOWER(DataAll!$AS$2:$AS$555),0))</f>
        <v>9.09</v>
      </c>
      <c r="P93" cm="1">
        <f t="array" ref="P93">INDEX(DataAll!$AU$2:$AU$555,MATCH(LOWER(Data!A93),LOWER(DataAll!$AS$2:$AS$555),0))</f>
        <v>8.5299999999999994</v>
      </c>
      <c r="Q93" cm="1">
        <f t="array" ref="Q93">INDEX(DataAll!$AX$2:$AX$556,MATCH(LOWER(Data!A93),LOWER(DataAll!$AW$2:$AW$556),0))</f>
        <v>35.93</v>
      </c>
      <c r="R93" cm="1">
        <f t="array" ref="R93">INDEX('Longitude and Latitude'!$B$2:$B$579,MATCH(LOWER(Data!A93),LOWER('Longitude and Latitude'!$A$2:$A$579),0))</f>
        <v>-1.4851831</v>
      </c>
      <c r="S93" cm="1">
        <f t="array" ref="S93">INDEX('Longitude and Latitude'!$C$2:$C$579,MATCH(LOWER(Data!A93),LOWER('Longitude and Latitude'!$A$2:$A$579),0))</f>
        <v>102.43805810000001</v>
      </c>
      <c r="T93" t="b">
        <f>IF(EXACT(A93, UPPER(A93)), TRUE, FALSE)</f>
        <v>1</v>
      </c>
    </row>
    <row r="94" spans="1:20" x14ac:dyDescent="0.35">
      <c r="A94" t="s">
        <v>94</v>
      </c>
      <c r="B94">
        <v>87.15</v>
      </c>
      <c r="C94" cm="1">
        <f t="array" ref="C94">INDEX(DataAll!$E$2:$E$555,MATCH(LOWER(Data!A94),LOWER(DataAll!$D$2:$D$555),0))</f>
        <v>65.16</v>
      </c>
      <c r="D94" cm="1">
        <f t="array" ref="D94">INDEX(DataAll!$H$2:$H$579,MATCH(LOWER(Data!A94),LOWER(DataAll!$G$2:$G$555),0))</f>
        <v>0.45900000000000002</v>
      </c>
      <c r="E94" cm="1">
        <f t="array" ref="E94">INDEX(DataAll!$K$2:$K$579,MATCH(LOWER(Data!A94),LOWER(DataAll!$J$2:$J$555),0))</f>
        <v>6.67</v>
      </c>
      <c r="F94" cm="1">
        <f t="array" ref="F94">INDEX(DataAll!$N$2:$N$555,MATCH(LOWER(Data!A94),LOWER(DataAll!$M$2:$M$555),0))</f>
        <v>50.58</v>
      </c>
      <c r="G94" cm="1">
        <f t="array" ref="G94">INDEX(DataAll!$Q$2:$Q$555,MATCH(LOWER(Data!A94),LOWER(DataAll!$P$2:$P$555),0))</f>
        <v>15.09</v>
      </c>
      <c r="H94" cm="1">
        <f t="array" ref="H94">INDEX(DataAll!$T$2:$T$555,MATCH(LOWER(Data!A94),LOWER(DataAll!$S$2:$S$555),0))</f>
        <v>0.33500000000000002</v>
      </c>
      <c r="I94" cm="1">
        <f t="array" ref="I94">INDEX(DataAll!$W$2:$W$555,MATCH(LOWER(Data!A94),LOWER(DataAll!$V$2:$V$555),0))</f>
        <v>42.8</v>
      </c>
      <c r="J94" cm="1">
        <f t="array" ref="J94">INDEX(DataAll!$Z$2:$Z$555,MATCH(LOWER(Data!A94),LOWER(DataAll!$Y$2:$Y$555),0))</f>
        <v>2.2000000000000002</v>
      </c>
      <c r="K94" cm="1">
        <f t="array" ref="K94">INDEX(DataAll!$AM$2:$AM$555,MATCH(LOWER(Data!A94),LOWER(DataAll!$AL$2:$AL$555),0))</f>
        <v>7.54</v>
      </c>
      <c r="L94" cm="1">
        <f t="array" ref="L94">INDEX(DataAll!$AJ$2:$AJ$555,MATCH(LOWER(Data!A94),LOWER(DataAll!$AI$2:$AI$555),0))</f>
        <v>25.11</v>
      </c>
      <c r="M94" cm="1">
        <f t="array" ref="M94">INDEX(DataAll!$AP$2:$AP$555,MATCH(LOWER(Data!A94),LOWER(DataAll!$AO$2:$AO$555),0))</f>
        <v>68.63</v>
      </c>
      <c r="N94" cm="1">
        <f t="array" ref="N94">INDEX(DataAll!$AQ$2:$AQ$555,MATCH(LOWER(Data!A94),LOWER(DataAll!$AO$2:$AO$555),0))</f>
        <v>72.569999999999993</v>
      </c>
      <c r="O94" cm="1">
        <f t="array" ref="O94">INDEX(DataAll!$AT$2:$AT$555,MATCH(LOWER(Data!A94),LOWER(DataAll!$AS$2:$AS$555),0))</f>
        <v>9.2799999999999994</v>
      </c>
      <c r="P94" cm="1">
        <f t="array" ref="P94">INDEX(DataAll!$AU$2:$AU$555,MATCH(LOWER(Data!A94),LOWER(DataAll!$AS$2:$AS$555),0))</f>
        <v>8.07</v>
      </c>
      <c r="Q94" cm="1">
        <f t="array" ref="Q94">INDEX(DataAll!$AX$2:$AX$556,MATCH(LOWER(Data!A94),LOWER(DataAll!$AW$2:$AW$556),0))</f>
        <v>32.93</v>
      </c>
      <c r="R94" cm="1">
        <f t="array" ref="R94">INDEX('Longitude and Latitude'!$B$2:$B$579,MATCH(LOWER(Data!A94),LOWER('Longitude and Latitude'!$A$2:$A$579),0))</f>
        <v>-1.8720467000000001</v>
      </c>
      <c r="S94" cm="1">
        <f t="array" ref="S94">INDEX('Longitude and Latitude'!$C$2:$C$579,MATCH(LOWER(Data!A94),LOWER('Longitude and Latitude'!$A$2:$A$579),0))</f>
        <v>101.4339148</v>
      </c>
      <c r="T94" t="b">
        <f>IF(EXACT(A94, UPPER(A94)), TRUE, FALSE)</f>
        <v>0</v>
      </c>
    </row>
    <row r="95" spans="1:20" x14ac:dyDescent="0.35">
      <c r="A95" t="s">
        <v>95</v>
      </c>
      <c r="B95">
        <v>88.82</v>
      </c>
      <c r="C95" cm="1">
        <f t="array" ref="C95">INDEX(DataAll!$E$2:$E$555,MATCH(LOWER(Data!A95),LOWER(DataAll!$D$2:$D$555),0))</f>
        <v>56.71</v>
      </c>
      <c r="D95" cm="1">
        <f t="array" ref="D95">INDEX(DataAll!$H$2:$H$579,MATCH(LOWER(Data!A95),LOWER(DataAll!$G$2:$G$555),0))</f>
        <v>0.65600000000000003</v>
      </c>
      <c r="E95" cm="1">
        <f t="array" ref="E95">INDEX(DataAll!$K$2:$K$579,MATCH(LOWER(Data!A95),LOWER(DataAll!$J$2:$J$555),0))</f>
        <v>2.86</v>
      </c>
      <c r="F95" cm="1">
        <f t="array" ref="F95">INDEX(DataAll!$N$2:$N$555,MATCH(LOWER(Data!A95),LOWER(DataAll!$M$2:$M$555),0))</f>
        <v>62.55</v>
      </c>
      <c r="G95" cm="1">
        <f t="array" ref="G95">INDEX(DataAll!$Q$2:$Q$555,MATCH(LOWER(Data!A95),LOWER(DataAll!$P$2:$P$555),0))</f>
        <v>15.14</v>
      </c>
      <c r="H95" cm="1">
        <f t="array" ref="H95">INDEX(DataAll!$T$2:$T$555,MATCH(LOWER(Data!A95),LOWER(DataAll!$S$2:$S$555),0))</f>
        <v>0.45500000000000002</v>
      </c>
      <c r="I95" cm="1">
        <f t="array" ref="I95">INDEX(DataAll!$W$2:$W$555,MATCH(LOWER(Data!A95),LOWER(DataAll!$V$2:$V$555),0))</f>
        <v>40.770000000000003</v>
      </c>
      <c r="J95" cm="1">
        <f t="array" ref="J95">INDEX(DataAll!$Z$2:$Z$555,MATCH(LOWER(Data!A95),LOWER(DataAll!$Y$2:$Y$555),0))</f>
        <v>2.1800000000000002</v>
      </c>
      <c r="K95" cm="1">
        <f t="array" ref="K95">INDEX(DataAll!$AM$2:$AM$555,MATCH(LOWER(Data!A95),LOWER(DataAll!$AL$2:$AL$555),0))</f>
        <v>8.9</v>
      </c>
      <c r="L95" cm="1">
        <f t="array" ref="L95">INDEX(DataAll!$AJ$2:$AJ$555,MATCH(LOWER(Data!A95),LOWER(DataAll!$AI$2:$AI$555),0))</f>
        <v>18.78</v>
      </c>
      <c r="M95" cm="1">
        <f t="array" ref="M95">INDEX(DataAll!$AP$2:$AP$555,MATCH(LOWER(Data!A95),LOWER(DataAll!$AO$2:$AO$555),0))</f>
        <v>69.81</v>
      </c>
      <c r="N95" cm="1">
        <f t="array" ref="N95">INDEX(DataAll!$AQ$2:$AQ$555,MATCH(LOWER(Data!A95),LOWER(DataAll!$AO$2:$AO$555),0))</f>
        <v>73.8</v>
      </c>
      <c r="O95" cm="1">
        <f t="array" ref="O95">INDEX(DataAll!$AT$2:$AT$555,MATCH(LOWER(Data!A95),LOWER(DataAll!$AS$2:$AS$555),0))</f>
        <v>8.6300000000000008</v>
      </c>
      <c r="P95" cm="1">
        <f t="array" ref="P95">INDEX(DataAll!$AU$2:$AU$555,MATCH(LOWER(Data!A95),LOWER(DataAll!$AS$2:$AS$555),0))</f>
        <v>7.81</v>
      </c>
      <c r="Q95" cm="1">
        <f t="array" ref="Q95">INDEX(DataAll!$AX$2:$AX$556,MATCH(LOWER(Data!A95),LOWER(DataAll!$AW$2:$AW$556),0))</f>
        <v>30.4</v>
      </c>
      <c r="R95" cm="1">
        <f t="array" ref="R95">INDEX('Longitude and Latitude'!$B$2:$B$579,MATCH(LOWER(Data!A95),LOWER('Longitude and Latitude'!$A$2:$A$579),0))</f>
        <v>-2.1752788999999999</v>
      </c>
      <c r="S95" cm="1">
        <f t="array" ref="S95">INDEX('Longitude and Latitude'!$C$2:$C$579,MATCH(LOWER(Data!A95),LOWER('Longitude and Latitude'!$A$2:$A$579),0))</f>
        <v>101.9804613</v>
      </c>
      <c r="T95" t="b">
        <f>IF(EXACT(A95, UPPER(A95)), TRUE, FALSE)</f>
        <v>0</v>
      </c>
    </row>
    <row r="96" spans="1:20" x14ac:dyDescent="0.35">
      <c r="A96" t="s">
        <v>96</v>
      </c>
      <c r="B96">
        <v>91.38</v>
      </c>
      <c r="C96" cm="1">
        <f t="array" ref="C96">INDEX(DataAll!$E$2:$E$555,MATCH(LOWER(Data!A96),LOWER(DataAll!$D$2:$D$555),0))</f>
        <v>61.08</v>
      </c>
      <c r="D96" cm="1">
        <f t="array" ref="D96">INDEX(DataAll!$H$2:$H$579,MATCH(LOWER(Data!A96),LOWER(DataAll!$G$2:$G$555),0))</f>
        <v>0.61</v>
      </c>
      <c r="E96" cm="1">
        <f t="array" ref="E96">INDEX(DataAll!$K$2:$K$579,MATCH(LOWER(Data!A96),LOWER(DataAll!$J$2:$J$555),0))</f>
        <v>8.57</v>
      </c>
      <c r="F96" cm="1">
        <f t="array" ref="F96">INDEX(DataAll!$N$2:$N$555,MATCH(LOWER(Data!A96),LOWER(DataAll!$M$2:$M$555),0))</f>
        <v>46.7</v>
      </c>
      <c r="G96" cm="1">
        <f t="array" ref="G96">INDEX(DataAll!$Q$2:$Q$555,MATCH(LOWER(Data!A96),LOWER(DataAll!$P$2:$P$555),0))</f>
        <v>12.77</v>
      </c>
      <c r="H96" cm="1">
        <f t="array" ref="H96">INDEX(DataAll!$T$2:$T$555,MATCH(LOWER(Data!A96),LOWER(DataAll!$S$2:$S$555),0))</f>
        <v>0.39500000000000002</v>
      </c>
      <c r="I96" cm="1">
        <f t="array" ref="I96">INDEX(DataAll!$W$2:$W$555,MATCH(LOWER(Data!A96),LOWER(DataAll!$V$2:$V$555),0))</f>
        <v>31.19</v>
      </c>
      <c r="J96" cm="1">
        <f t="array" ref="J96">INDEX(DataAll!$Z$2:$Z$555,MATCH(LOWER(Data!A96),LOWER(DataAll!$Y$2:$Y$555),0))</f>
        <v>2.64</v>
      </c>
      <c r="K96" cm="1">
        <f t="array" ref="K96">INDEX(DataAll!$AM$2:$AM$555,MATCH(LOWER(Data!A96),LOWER(DataAll!$AL$2:$AL$555),0))</f>
        <v>8.5399999999999991</v>
      </c>
      <c r="L96" cm="1">
        <f t="array" ref="L96">INDEX(DataAll!$AJ$2:$AJ$555,MATCH(LOWER(Data!A96),LOWER(DataAll!$AI$2:$AI$555),0))</f>
        <v>23</v>
      </c>
      <c r="M96" cm="1">
        <f t="array" ref="M96">INDEX(DataAll!$AP$2:$AP$555,MATCH(LOWER(Data!A96),LOWER(DataAll!$AO$2:$AO$555),0))</f>
        <v>67.77</v>
      </c>
      <c r="N96" cm="1">
        <f t="array" ref="N96">INDEX(DataAll!$AQ$2:$AQ$555,MATCH(LOWER(Data!A96),LOWER(DataAll!$AO$2:$AO$555),0))</f>
        <v>71.72</v>
      </c>
      <c r="O96" cm="1">
        <f t="array" ref="O96">INDEX(DataAll!$AT$2:$AT$555,MATCH(LOWER(Data!A96),LOWER(DataAll!$AS$2:$AS$555),0))</f>
        <v>8.64</v>
      </c>
      <c r="P96" cm="1">
        <f t="array" ref="P96">INDEX(DataAll!$AU$2:$AU$555,MATCH(LOWER(Data!A96),LOWER(DataAll!$AS$2:$AS$555),0))</f>
        <v>7.84</v>
      </c>
      <c r="Q96" cm="1">
        <f t="array" ref="Q96">INDEX(DataAll!$AX$2:$AX$556,MATCH(LOWER(Data!A96),LOWER(DataAll!$AW$2:$AW$556),0))</f>
        <v>26.95</v>
      </c>
      <c r="R96" cm="1">
        <f t="array" ref="R96">INDEX('Longitude and Latitude'!$B$2:$B$579,MATCH(LOWER(Data!A96),LOWER('Longitude and Latitude'!$A$2:$A$579),0))</f>
        <v>-2.2654936999999999</v>
      </c>
      <c r="S96" cm="1">
        <f t="array" ref="S96">INDEX('Longitude and Latitude'!$C$2:$C$579,MATCH(LOWER(Data!A96),LOWER('Longitude and Latitude'!$A$2:$A$579),0))</f>
        <v>102.6905326</v>
      </c>
      <c r="T96" t="b">
        <f>IF(EXACT(A96, UPPER(A96)), TRUE, FALSE)</f>
        <v>0</v>
      </c>
    </row>
    <row r="97" spans="1:20" x14ac:dyDescent="0.35">
      <c r="A97" t="s">
        <v>97</v>
      </c>
      <c r="B97">
        <v>85.57</v>
      </c>
      <c r="C97" cm="1">
        <f t="array" ref="C97">INDEX(DataAll!$E$2:$E$555,MATCH(LOWER(Data!A97),LOWER(DataAll!$D$2:$D$555),0))</f>
        <v>73.87</v>
      </c>
      <c r="D97" cm="1">
        <f t="array" ref="D97">INDEX(DataAll!$H$2:$H$579,MATCH(LOWER(Data!A97),LOWER(DataAll!$G$2:$G$555),0))</f>
        <v>0.50700000000000001</v>
      </c>
      <c r="E97" cm="1">
        <f t="array" ref="E97">INDEX(DataAll!$K$2:$K$579,MATCH(LOWER(Data!A97),LOWER(DataAll!$J$2:$J$555),0))</f>
        <v>20</v>
      </c>
      <c r="F97" cm="1">
        <f t="array" ref="F97">INDEX(DataAll!$N$2:$N$555,MATCH(LOWER(Data!A97),LOWER(DataAll!$M$2:$M$555),0))</f>
        <v>52.68</v>
      </c>
      <c r="G97" cm="1">
        <f t="array" ref="G97">INDEX(DataAll!$Q$2:$Q$555,MATCH(LOWER(Data!A97),LOWER(DataAll!$P$2:$P$555),0))</f>
        <v>15.48</v>
      </c>
      <c r="H97" cm="1">
        <f t="array" ref="H97">INDEX(DataAll!$T$2:$T$555,MATCH(LOWER(Data!A97),LOWER(DataAll!$S$2:$S$555),0))</f>
        <v>0.36299999999999999</v>
      </c>
      <c r="I97" cm="1">
        <f t="array" ref="I97">INDEX(DataAll!$W$2:$W$555,MATCH(LOWER(Data!A97),LOWER(DataAll!$V$2:$V$555),0))</f>
        <v>34.99</v>
      </c>
      <c r="J97" cm="1">
        <f t="array" ref="J97">INDEX(DataAll!$Z$2:$Z$555,MATCH(LOWER(Data!A97),LOWER(DataAll!$Y$2:$Y$555),0))</f>
        <v>2.27</v>
      </c>
      <c r="K97" cm="1">
        <f t="array" ref="K97">INDEX(DataAll!$AM$2:$AM$555,MATCH(LOWER(Data!A97),LOWER(DataAll!$AL$2:$AL$555),0))</f>
        <v>9.4499999999999993</v>
      </c>
      <c r="L97" cm="1">
        <f t="array" ref="L97">INDEX(DataAll!$AJ$2:$AJ$555,MATCH(LOWER(Data!A97),LOWER(DataAll!$AI$2:$AI$555),0))</f>
        <v>17.27</v>
      </c>
      <c r="M97" cm="1">
        <f t="array" ref="M97">INDEX(DataAll!$AP$2:$AP$555,MATCH(LOWER(Data!A97),LOWER(DataAll!$AO$2:$AO$555),0))</f>
        <v>69.290000000000006</v>
      </c>
      <c r="N97" cm="1">
        <f t="array" ref="N97">INDEX(DataAll!$AQ$2:$AQ$555,MATCH(LOWER(Data!A97),LOWER(DataAll!$AO$2:$AO$555),0))</f>
        <v>73.25</v>
      </c>
      <c r="O97" cm="1">
        <f t="array" ref="O97">INDEX(DataAll!$AT$2:$AT$555,MATCH(LOWER(Data!A97),LOWER(DataAll!$AS$2:$AS$555),0))</f>
        <v>8.59</v>
      </c>
      <c r="P97" cm="1">
        <f t="array" ref="P97">INDEX(DataAll!$AU$2:$AU$555,MATCH(LOWER(Data!A97),LOWER(DataAll!$AS$2:$AS$555),0))</f>
        <v>8.09</v>
      </c>
      <c r="Q97" cm="1">
        <f t="array" ref="Q97">INDEX(DataAll!$AX$2:$AX$556,MATCH(LOWER(Data!A97),LOWER(DataAll!$AW$2:$AW$556),0))</f>
        <v>32.17</v>
      </c>
      <c r="R97" cm="1">
        <f t="array" ref="R97">INDEX('Longitude and Latitude'!$B$2:$B$579,MATCH(LOWER(Data!A97),LOWER('Longitude and Latitude'!$A$2:$A$579),0))</f>
        <v>-1.7083922</v>
      </c>
      <c r="S97" cm="1">
        <f t="array" ref="S97">INDEX('Longitude and Latitude'!$C$2:$C$579,MATCH(LOWER(Data!A97),LOWER('Longitude and Latitude'!$A$2:$A$579),0))</f>
        <v>103.08179029999999</v>
      </c>
      <c r="T97" t="b">
        <f>IF(EXACT(A97, UPPER(A97)), TRUE, FALSE)</f>
        <v>0</v>
      </c>
    </row>
    <row r="98" spans="1:20" x14ac:dyDescent="0.35">
      <c r="A98" t="s">
        <v>98</v>
      </c>
      <c r="B98">
        <v>82.12</v>
      </c>
      <c r="C98" cm="1">
        <f t="array" ref="C98">INDEX(DataAll!$E$2:$E$555,MATCH(LOWER(Data!A98),LOWER(DataAll!$D$2:$D$555),0))</f>
        <v>62.97</v>
      </c>
      <c r="D98" cm="1">
        <f t="array" ref="D98">INDEX(DataAll!$H$2:$H$579,MATCH(LOWER(Data!A98),LOWER(DataAll!$G$2:$G$555),0))</f>
        <v>0.53700000000000003</v>
      </c>
      <c r="E98" cm="1">
        <f t="array" ref="E98">INDEX(DataAll!$K$2:$K$579,MATCH(LOWER(Data!A98),LOWER(DataAll!$J$2:$J$555),0))</f>
        <v>8.57</v>
      </c>
      <c r="F98" cm="1">
        <f t="array" ref="F98">INDEX(DataAll!$N$2:$N$555,MATCH(LOWER(Data!A98),LOWER(DataAll!$M$2:$M$555),0))</f>
        <v>57.46</v>
      </c>
      <c r="G98" cm="1">
        <f t="array" ref="G98">INDEX(DataAll!$Q$2:$Q$555,MATCH(LOWER(Data!A98),LOWER(DataAll!$P$2:$P$555),0))</f>
        <v>11.14</v>
      </c>
      <c r="H98" cm="1">
        <f t="array" ref="H98">INDEX(DataAll!$T$2:$T$555,MATCH(LOWER(Data!A98),LOWER(DataAll!$S$2:$S$555),0))</f>
        <v>0.27900000000000003</v>
      </c>
      <c r="I98" cm="1">
        <f t="array" ref="I98">INDEX(DataAll!$W$2:$W$555,MATCH(LOWER(Data!A98),LOWER(DataAll!$V$2:$V$555),0))</f>
        <v>35.56</v>
      </c>
      <c r="J98" cm="1">
        <f t="array" ref="J98">INDEX(DataAll!$Z$2:$Z$555,MATCH(LOWER(Data!A98),LOWER(DataAll!$Y$2:$Y$555),0))</f>
        <v>2.19</v>
      </c>
      <c r="K98" cm="1">
        <f t="array" ref="K98">INDEX(DataAll!$AM$2:$AM$555,MATCH(LOWER(Data!A98),LOWER(DataAll!$AL$2:$AL$555),0))</f>
        <v>4.43</v>
      </c>
      <c r="L98" cm="1">
        <f t="array" ref="L98">INDEX(DataAll!$AJ$2:$AJ$555,MATCH(LOWER(Data!A98),LOWER(DataAll!$AI$2:$AI$555),0))</f>
        <v>16.34</v>
      </c>
      <c r="M98" cm="1">
        <f t="array" ref="M98">INDEX(DataAll!$AP$2:$AP$555,MATCH(LOWER(Data!A98),LOWER(DataAll!$AO$2:$AO$555),0))</f>
        <v>69.89</v>
      </c>
      <c r="N98" cm="1">
        <f t="array" ref="N98">INDEX(DataAll!$AQ$2:$AQ$555,MATCH(LOWER(Data!A98),LOWER(DataAll!$AO$2:$AO$555),0))</f>
        <v>73.88</v>
      </c>
      <c r="O98" cm="1">
        <f t="array" ref="O98">INDEX(DataAll!$AT$2:$AT$555,MATCH(LOWER(Data!A98),LOWER(DataAll!$AS$2:$AS$555),0))</f>
        <v>8.9</v>
      </c>
      <c r="P98" cm="1">
        <f t="array" ref="P98">INDEX(DataAll!$AU$2:$AU$555,MATCH(LOWER(Data!A98),LOWER(DataAll!$AS$2:$AS$555),0))</f>
        <v>8.5</v>
      </c>
      <c r="Q98" cm="1">
        <f t="array" ref="Q98">INDEX(DataAll!$AX$2:$AX$556,MATCH(LOWER(Data!A98),LOWER(DataAll!$AW$2:$AW$556),0))</f>
        <v>32.83</v>
      </c>
      <c r="R98" cm="1">
        <f t="array" ref="R98">INDEX('Longitude and Latitude'!$B$2:$B$579,MATCH(LOWER(Data!A98),LOWER('Longitude and Latitude'!$A$2:$A$579),0))</f>
        <v>-1.5966720000000001</v>
      </c>
      <c r="S98" cm="1">
        <f t="array" ref="S98">INDEX('Longitude and Latitude'!$C$2:$C$579,MATCH(LOWER(Data!A98),LOWER('Longitude and Latitude'!$A$2:$A$579),0))</f>
        <v>103.615799</v>
      </c>
      <c r="T98" t="b">
        <f>IF(EXACT(A98, UPPER(A98)), TRUE, FALSE)</f>
        <v>0</v>
      </c>
    </row>
    <row r="99" spans="1:20" x14ac:dyDescent="0.35">
      <c r="A99" t="s">
        <v>99</v>
      </c>
      <c r="B99">
        <v>87.9</v>
      </c>
      <c r="C99" cm="1">
        <f t="array" ref="C99">INDEX(DataAll!$E$2:$E$555,MATCH(LOWER(Data!A99),LOWER(DataAll!$D$2:$D$555),0))</f>
        <v>69.16</v>
      </c>
      <c r="D99" cm="1">
        <f t="array" ref="D99">INDEX(DataAll!$H$2:$H$579,MATCH(LOWER(Data!A99),LOWER(DataAll!$G$2:$G$555),0))</f>
        <v>0.54700000000000004</v>
      </c>
      <c r="E99" cm="1">
        <f t="array" ref="E99">INDEX(DataAll!$K$2:$K$579,MATCH(LOWER(Data!A99),LOWER(DataAll!$J$2:$J$555),0))</f>
        <v>26.67</v>
      </c>
      <c r="F99" cm="1">
        <f t="array" ref="F99">INDEX(DataAll!$N$2:$N$555,MATCH(LOWER(Data!A99),LOWER(DataAll!$M$2:$M$555),0))</f>
        <v>53.23</v>
      </c>
      <c r="G99" cm="1">
        <f t="array" ref="G99">INDEX(DataAll!$Q$2:$Q$555,MATCH(LOWER(Data!A99),LOWER(DataAll!$P$2:$P$555),0))</f>
        <v>12.32</v>
      </c>
      <c r="H99" cm="1">
        <f t="array" ref="H99">INDEX(DataAll!$T$2:$T$555,MATCH(LOWER(Data!A99),LOWER(DataAll!$S$2:$S$555),0))</f>
        <v>0.307</v>
      </c>
      <c r="I99" cm="1">
        <f t="array" ref="I99">INDEX(DataAll!$W$2:$W$555,MATCH(LOWER(Data!A99),LOWER(DataAll!$V$2:$V$555),0))</f>
        <v>22.71</v>
      </c>
      <c r="J99" cm="1">
        <f t="array" ref="J99">INDEX(DataAll!$Z$2:$Z$555,MATCH(LOWER(Data!A99),LOWER(DataAll!$Y$2:$Y$555),0))</f>
        <v>2.36</v>
      </c>
      <c r="K99" cm="1">
        <f t="array" ref="K99">INDEX(DataAll!$AM$2:$AM$555,MATCH(LOWER(Data!A99),LOWER(DataAll!$AL$2:$AL$555),0))</f>
        <v>10.85</v>
      </c>
      <c r="L99" cm="1">
        <f t="array" ref="L99">INDEX(DataAll!$AJ$2:$AJ$555,MATCH(LOWER(Data!A99),LOWER(DataAll!$AI$2:$AI$555),0))</f>
        <v>19.59</v>
      </c>
      <c r="M99" cm="1">
        <f t="array" ref="M99">INDEX(DataAll!$AP$2:$AP$555,MATCH(LOWER(Data!A99),LOWER(DataAll!$AO$2:$AO$555),0))</f>
        <v>65.05</v>
      </c>
      <c r="N99" cm="1">
        <f t="array" ref="N99">INDEX(DataAll!$AQ$2:$AQ$555,MATCH(LOWER(Data!A99),LOWER(DataAll!$AO$2:$AO$555),0))</f>
        <v>68.989999999999995</v>
      </c>
      <c r="O99" cm="1">
        <f t="array" ref="O99">INDEX(DataAll!$AT$2:$AT$555,MATCH(LOWER(Data!A99),LOWER(DataAll!$AS$2:$AS$555),0))</f>
        <v>7.72</v>
      </c>
      <c r="P99" cm="1">
        <f t="array" ref="P99">INDEX(DataAll!$AU$2:$AU$555,MATCH(LOWER(Data!A99),LOWER(DataAll!$AS$2:$AS$555),0))</f>
        <v>7.12</v>
      </c>
      <c r="Q99" cm="1">
        <f t="array" ref="Q99">INDEX(DataAll!$AX$2:$AX$556,MATCH(LOWER(Data!A99),LOWER(DataAll!$AW$2:$AW$556),0))</f>
        <v>26.6</v>
      </c>
      <c r="R99" cm="1">
        <f t="array" ref="R99">INDEX('Longitude and Latitude'!$B$2:$B$579,MATCH(LOWER(Data!A99),LOWER('Longitude and Latitude'!$A$2:$A$579),0))</f>
        <v>-1.3291599000000001</v>
      </c>
      <c r="S99" cm="1">
        <f t="array" ref="S99">INDEX('Longitude and Latitude'!$C$2:$C$579,MATCH(LOWER(Data!A99),LOWER('Longitude and Latitude'!$A$2:$A$579),0))</f>
        <v>103.89973000000001</v>
      </c>
      <c r="T99" t="b">
        <f>IF(EXACT(A99, UPPER(A99)), TRUE, FALSE)</f>
        <v>0</v>
      </c>
    </row>
    <row r="100" spans="1:20" x14ac:dyDescent="0.35">
      <c r="A100" t="s">
        <v>100</v>
      </c>
      <c r="B100">
        <v>86.51</v>
      </c>
      <c r="C100" cm="1">
        <f t="array" ref="C100">INDEX(DataAll!$E$2:$E$555,MATCH(LOWER(Data!A100),LOWER(DataAll!$D$2:$D$555),0))</f>
        <v>73.39</v>
      </c>
      <c r="D100" cm="1">
        <f t="array" ref="D100">INDEX(DataAll!$H$2:$H$579,MATCH(LOWER(Data!A100),LOWER(DataAll!$G$2:$G$555),0))</f>
        <v>0.54700000000000004</v>
      </c>
      <c r="E100" cm="1">
        <f t="array" ref="E100">INDEX(DataAll!$K$2:$K$579,MATCH(LOWER(Data!A100),LOWER(DataAll!$J$2:$J$555),0))</f>
        <v>25.71</v>
      </c>
      <c r="F100" cm="1">
        <f t="array" ref="F100">INDEX(DataAll!$N$2:$N$555,MATCH(LOWER(Data!A100),LOWER(DataAll!$M$2:$M$555),0))</f>
        <v>44.46</v>
      </c>
      <c r="G100" cm="1">
        <f t="array" ref="G100">INDEX(DataAll!$Q$2:$Q$555,MATCH(LOWER(Data!A100),LOWER(DataAll!$P$2:$P$555),0))</f>
        <v>14.32</v>
      </c>
      <c r="H100" cm="1">
        <f t="array" ref="H100">INDEX(DataAll!$T$2:$T$555,MATCH(LOWER(Data!A100),LOWER(DataAll!$S$2:$S$555),0))</f>
        <v>0.35699999999999998</v>
      </c>
      <c r="I100" cm="1">
        <f t="array" ref="I100">INDEX(DataAll!$W$2:$W$555,MATCH(LOWER(Data!A100),LOWER(DataAll!$V$2:$V$555),0))</f>
        <v>27.33</v>
      </c>
      <c r="J100" cm="1">
        <f t="array" ref="J100">INDEX(DataAll!$Z$2:$Z$555,MATCH(LOWER(Data!A100),LOWER(DataAll!$Y$2:$Y$555),0))</f>
        <v>2.39</v>
      </c>
      <c r="K100" cm="1">
        <f t="array" ref="K100">INDEX(DataAll!$AM$2:$AM$555,MATCH(LOWER(Data!A100),LOWER(DataAll!$AL$2:$AL$555),0))</f>
        <v>9.7899999999999991</v>
      </c>
      <c r="L100" cm="1">
        <f t="array" ref="L100">INDEX(DataAll!$AJ$2:$AJ$555,MATCH(LOWER(Data!A100),LOWER(DataAll!$AI$2:$AI$555),0))</f>
        <v>22.87</v>
      </c>
      <c r="M100" cm="1">
        <f t="array" ref="M100">INDEX(DataAll!$AP$2:$AP$555,MATCH(LOWER(Data!A100),LOWER(DataAll!$AO$2:$AO$555),0))</f>
        <v>66.739999999999995</v>
      </c>
      <c r="N100" cm="1">
        <f t="array" ref="N100">INDEX(DataAll!$AQ$2:$AQ$555,MATCH(LOWER(Data!A100),LOWER(DataAll!$AO$2:$AO$555),0))</f>
        <v>70.709999999999994</v>
      </c>
      <c r="O100" cm="1">
        <f t="array" ref="O100">INDEX(DataAll!$AT$2:$AT$555,MATCH(LOWER(Data!A100),LOWER(DataAll!$AS$2:$AS$555),0))</f>
        <v>8.52</v>
      </c>
      <c r="P100" cm="1">
        <f t="array" ref="P100">INDEX(DataAll!$AU$2:$AU$555,MATCH(LOWER(Data!A100),LOWER(DataAll!$AS$2:$AS$555),0))</f>
        <v>8.01</v>
      </c>
      <c r="Q100" cm="1">
        <f t="array" ref="Q100">INDEX(DataAll!$AX$2:$AX$556,MATCH(LOWER(Data!A100),LOWER(DataAll!$AW$2:$AW$556),0))</f>
        <v>30.03</v>
      </c>
      <c r="R100" cm="1">
        <f t="array" ref="R100">INDEX('Longitude and Latitude'!$B$2:$B$579,MATCH(LOWER(Data!A100),LOWER('Longitude and Latitude'!$A$2:$A$579),0))</f>
        <v>-1.2332122000000001</v>
      </c>
      <c r="S100" cm="1">
        <f t="array" ref="S100">INDEX('Longitude and Latitude'!$C$2:$C$579,MATCH(LOWER(Data!A100),LOWER('Longitude and Latitude'!$A$2:$A$579),0))</f>
        <v>103.7984428</v>
      </c>
      <c r="T100" t="b">
        <f>IF(EXACT(A100, UPPER(A100)), TRUE, FALSE)</f>
        <v>0</v>
      </c>
    </row>
    <row r="101" spans="1:20" x14ac:dyDescent="0.35">
      <c r="A101" t="s">
        <v>101</v>
      </c>
      <c r="B101">
        <v>91.63</v>
      </c>
      <c r="C101" cm="1">
        <f t="array" ref="C101">INDEX(DataAll!$E$2:$E$555,MATCH(LOWER(Data!A101),LOWER(DataAll!$D$2:$D$555),0))</f>
        <v>51.23</v>
      </c>
      <c r="D101" cm="1">
        <f t="array" ref="D101">INDEX(DataAll!$H$2:$H$579,MATCH(LOWER(Data!A101),LOWER(DataAll!$G$2:$G$555),0))</f>
        <v>0.63700000000000001</v>
      </c>
      <c r="E101" cm="1">
        <f t="array" ref="E101">INDEX(DataAll!$K$2:$K$579,MATCH(LOWER(Data!A101),LOWER(DataAll!$J$2:$J$555),0))</f>
        <v>2.86</v>
      </c>
      <c r="F101" cm="1">
        <f t="array" ref="F101">INDEX(DataAll!$N$2:$N$555,MATCH(LOWER(Data!A101),LOWER(DataAll!$M$2:$M$555),0))</f>
        <v>56.88</v>
      </c>
      <c r="G101" cm="1">
        <f t="array" ref="G101">INDEX(DataAll!$Q$2:$Q$555,MATCH(LOWER(Data!A101),LOWER(DataAll!$P$2:$P$555),0))</f>
        <v>13.98</v>
      </c>
      <c r="H101" cm="1">
        <f t="array" ref="H101">INDEX(DataAll!$T$2:$T$555,MATCH(LOWER(Data!A101),LOWER(DataAll!$S$2:$S$555),0))</f>
        <v>0.35499999999999998</v>
      </c>
      <c r="I101" cm="1">
        <f t="array" ref="I101">INDEX(DataAll!$W$2:$W$555,MATCH(LOWER(Data!A101),LOWER(DataAll!$V$2:$V$555),0))</f>
        <v>29.38</v>
      </c>
      <c r="J101" cm="1">
        <f t="array" ref="J101">INDEX(DataAll!$Z$2:$Z$555,MATCH(LOWER(Data!A101),LOWER(DataAll!$Y$2:$Y$555),0))</f>
        <v>2.4500000000000002</v>
      </c>
      <c r="K101" cm="1">
        <f t="array" ref="K101">INDEX(DataAll!$AM$2:$AM$555,MATCH(LOWER(Data!A101),LOWER(DataAll!$AL$2:$AL$555),0))</f>
        <v>6.46</v>
      </c>
      <c r="L101" cm="1">
        <f t="array" ref="L101">INDEX(DataAll!$AJ$2:$AJ$555,MATCH(LOWER(Data!A101),LOWER(DataAll!$AI$2:$AI$555),0))</f>
        <v>21.31</v>
      </c>
      <c r="M101" cm="1">
        <f t="array" ref="M101">INDEX(DataAll!$AP$2:$AP$555,MATCH(LOWER(Data!A101),LOWER(DataAll!$AO$2:$AO$555),0))</f>
        <v>68.569999999999993</v>
      </c>
      <c r="N101" cm="1">
        <f t="array" ref="N101">INDEX(DataAll!$AQ$2:$AQ$555,MATCH(LOWER(Data!A101),LOWER(DataAll!$AO$2:$AO$555),0))</f>
        <v>72.5</v>
      </c>
      <c r="O101" cm="1">
        <f t="array" ref="O101">INDEX(DataAll!$AT$2:$AT$555,MATCH(LOWER(Data!A101),LOWER(DataAll!$AS$2:$AS$555),0))</f>
        <v>8.25</v>
      </c>
      <c r="P101" cm="1">
        <f t="array" ref="P101">INDEX(DataAll!$AU$2:$AU$555,MATCH(LOWER(Data!A101),LOWER(DataAll!$AS$2:$AS$555),0))</f>
        <v>7.83</v>
      </c>
      <c r="Q101" cm="1">
        <f t="array" ref="Q101">INDEX(DataAll!$AX$2:$AX$556,MATCH(LOWER(Data!A101),LOWER(DataAll!$AW$2:$AW$556),0))</f>
        <v>28.48</v>
      </c>
      <c r="R101" cm="1">
        <f t="array" ref="R101">INDEX('Longitude and Latitude'!$B$2:$B$579,MATCH(LOWER(Data!A101),LOWER('Longitude and Latitude'!$A$2:$A$579),0))</f>
        <v>-1.2592999</v>
      </c>
      <c r="S101" cm="1">
        <f t="array" ref="S101">INDEX('Longitude and Latitude'!$C$2:$C$579,MATCH(LOWER(Data!A101),LOWER('Longitude and Latitude'!$A$2:$A$579),0))</f>
        <v>102.34638750000001</v>
      </c>
      <c r="T101" t="b">
        <f>IF(EXACT(A101, UPPER(A101)), TRUE, FALSE)</f>
        <v>0</v>
      </c>
    </row>
    <row r="102" spans="1:20" x14ac:dyDescent="0.35">
      <c r="A102" t="s">
        <v>102</v>
      </c>
      <c r="B102">
        <v>88.83</v>
      </c>
      <c r="C102" cm="1">
        <f t="array" ref="C102">INDEX(DataAll!$E$2:$E$555,MATCH(LOWER(Data!A102),LOWER(DataAll!$D$2:$D$555),0))</f>
        <v>56.05</v>
      </c>
      <c r="D102" cm="1">
        <f t="array" ref="D102">INDEX(DataAll!$H$2:$H$579,MATCH(LOWER(Data!A102),LOWER(DataAll!$G$2:$G$555),0))</f>
        <v>0.53200000000000003</v>
      </c>
      <c r="E102" cm="1">
        <f t="array" ref="E102">INDEX(DataAll!$K$2:$K$579,MATCH(LOWER(Data!A102),LOWER(DataAll!$J$2:$J$555),0))</f>
        <v>14.29</v>
      </c>
      <c r="F102" cm="1">
        <f t="array" ref="F102">INDEX(DataAll!$N$2:$N$555,MATCH(LOWER(Data!A102),LOWER(DataAll!$M$2:$M$555),0))</f>
        <v>65.319999999999993</v>
      </c>
      <c r="G102" cm="1">
        <f t="array" ref="G102">INDEX(DataAll!$Q$2:$Q$555,MATCH(LOWER(Data!A102),LOWER(DataAll!$P$2:$P$555),0))</f>
        <v>9.5399999999999991</v>
      </c>
      <c r="H102" cm="1">
        <f t="array" ref="H102">INDEX(DataAll!$T$2:$T$555,MATCH(LOWER(Data!A102),LOWER(DataAll!$S$2:$S$555),0))</f>
        <v>0.46100000000000002</v>
      </c>
      <c r="I102" cm="1">
        <f t="array" ref="I102">INDEX(DataAll!$W$2:$W$555,MATCH(LOWER(Data!A102),LOWER(DataAll!$V$2:$V$555),0))</f>
        <v>23.11</v>
      </c>
      <c r="J102" cm="1">
        <f t="array" ref="J102">INDEX(DataAll!$Z$2:$Z$555,MATCH(LOWER(Data!A102),LOWER(DataAll!$Y$2:$Y$555),0))</f>
        <v>2.23</v>
      </c>
      <c r="K102" cm="1">
        <f t="array" ref="K102">INDEX(DataAll!$AM$2:$AM$555,MATCH(LOWER(Data!A102),LOWER(DataAll!$AL$2:$AL$555),0))</f>
        <v>5.29</v>
      </c>
      <c r="L102" cm="1">
        <f t="array" ref="L102">INDEX(DataAll!$AJ$2:$AJ$555,MATCH(LOWER(Data!A102),LOWER(DataAll!$AI$2:$AI$555),0))</f>
        <v>20.76</v>
      </c>
      <c r="M102" cm="1">
        <f t="array" ref="M102">INDEX(DataAll!$AP$2:$AP$555,MATCH(LOWER(Data!A102),LOWER(DataAll!$AO$2:$AO$555),0))</f>
        <v>66.48</v>
      </c>
      <c r="N102" cm="1">
        <f t="array" ref="N102">INDEX(DataAll!$AQ$2:$AQ$555,MATCH(LOWER(Data!A102),LOWER(DataAll!$AO$2:$AO$555),0))</f>
        <v>70.459999999999994</v>
      </c>
      <c r="O102" cm="1">
        <f t="array" ref="O102">INDEX(DataAll!$AT$2:$AT$555,MATCH(LOWER(Data!A102),LOWER(DataAll!$AS$2:$AS$555),0))</f>
        <v>8.8800000000000008</v>
      </c>
      <c r="P102" cm="1">
        <f t="array" ref="P102">INDEX(DataAll!$AU$2:$AU$555,MATCH(LOWER(Data!A102),LOWER(DataAll!$AS$2:$AS$555),0))</f>
        <v>7.94</v>
      </c>
      <c r="Q102" cm="1">
        <f t="array" ref="Q102">INDEX(DataAll!$AX$2:$AX$556,MATCH(LOWER(Data!A102),LOWER(DataAll!$AW$2:$AW$556),0))</f>
        <v>29.86</v>
      </c>
      <c r="R102" cm="1">
        <f t="array" ref="R102">INDEX('Longitude and Latitude'!$B$2:$B$579,MATCH(LOWER(Data!A102),LOWER('Longitude and Latitude'!$A$2:$A$579),0))</f>
        <v>-1.6401338000000001</v>
      </c>
      <c r="S102" cm="1">
        <f t="array" ref="S102">INDEX('Longitude and Latitude'!$C$2:$C$579,MATCH(LOWER(Data!A102),LOWER('Longitude and Latitude'!$A$2:$A$579),0))</f>
        <v>101.8891721</v>
      </c>
      <c r="T102" t="b">
        <f>IF(EXACT(A102, UPPER(A102)), TRUE, FALSE)</f>
        <v>0</v>
      </c>
    </row>
    <row r="103" spans="1:20" x14ac:dyDescent="0.35">
      <c r="A103" t="s">
        <v>103</v>
      </c>
      <c r="B103">
        <v>95.01</v>
      </c>
      <c r="C103" cm="1">
        <f t="array" ref="C103">INDEX(DataAll!$E$2:$E$555,MATCH(LOWER(Data!A103),LOWER(DataAll!$D$2:$D$555),0))</f>
        <v>68.709999999999994</v>
      </c>
      <c r="D103" cm="1">
        <f t="array" ref="D103">INDEX(DataAll!$H$2:$H$579,MATCH(LOWER(Data!A103),LOWER(DataAll!$G$2:$G$555),0))</f>
        <v>0.32600000000000001</v>
      </c>
      <c r="E103" cm="1">
        <f t="array" ref="E103">INDEX(DataAll!$K$2:$K$579,MATCH(LOWER(Data!A103),LOWER(DataAll!$J$2:$J$555),0))</f>
        <v>17.78</v>
      </c>
      <c r="F103" cm="1">
        <f t="array" ref="F103">INDEX(DataAll!$N$2:$N$555,MATCH(LOWER(Data!A103),LOWER(DataAll!$M$2:$M$555),0))</f>
        <v>46.95</v>
      </c>
      <c r="G103" cm="1">
        <f t="array" ref="G103">INDEX(DataAll!$Q$2:$Q$555,MATCH(LOWER(Data!A103),LOWER(DataAll!$P$2:$P$555),0))</f>
        <v>10.66</v>
      </c>
      <c r="H103" cm="1">
        <f t="array" ref="H103">INDEX(DataAll!$T$2:$T$555,MATCH(LOWER(Data!A103),LOWER(DataAll!$S$2:$S$555),0))</f>
        <v>0.08</v>
      </c>
      <c r="I103" cm="1">
        <f t="array" ref="I103">INDEX(DataAll!$W$2:$W$555,MATCH(LOWER(Data!A103),LOWER(DataAll!$V$2:$V$555),0))</f>
        <v>29.82</v>
      </c>
      <c r="J103" cm="1">
        <f t="array" ref="J103">INDEX(DataAll!$Z$2:$Z$555,MATCH(LOWER(Data!A103),LOWER(DataAll!$Y$2:$Y$555),0))</f>
        <v>2.08</v>
      </c>
      <c r="K103" cm="1">
        <f t="array" ref="K103">INDEX(DataAll!$AM$2:$AM$555,MATCH(LOWER(Data!A103),LOWER(DataAll!$AL$2:$AL$555),0))</f>
        <v>8.24</v>
      </c>
      <c r="L103" cm="1">
        <f t="array" ref="L103">INDEX(DataAll!$AJ$2:$AJ$555,MATCH(LOWER(Data!A103),LOWER(DataAll!$AI$2:$AI$555),0))</f>
        <v>15.09</v>
      </c>
      <c r="M103" cm="1">
        <f t="array" ref="M103">INDEX(DataAll!$AP$2:$AP$555,MATCH(LOWER(Data!A103),LOWER(DataAll!$AO$2:$AO$555),0))</f>
        <v>71.19</v>
      </c>
      <c r="N103" cm="1">
        <f t="array" ref="N103">INDEX(DataAll!$AQ$2:$AQ$555,MATCH(LOWER(Data!A103),LOWER(DataAll!$AO$2:$AO$555),0))</f>
        <v>75.489999999999995</v>
      </c>
      <c r="O103" cm="1">
        <f t="array" ref="O103">INDEX(DataAll!$AT$2:$AT$555,MATCH(LOWER(Data!A103),LOWER(DataAll!$AS$2:$AS$555),0))</f>
        <v>11.53</v>
      </c>
      <c r="P103" cm="1">
        <f t="array" ref="P103">INDEX(DataAll!$AU$2:$AU$555,MATCH(LOWER(Data!A103),LOWER(DataAll!$AS$2:$AS$555),0))</f>
        <v>11.12</v>
      </c>
      <c r="Q103" cm="1">
        <f t="array" ref="Q103">INDEX(DataAll!$AX$2:$AX$556,MATCH(LOWER(Data!A103),LOWER(DataAll!$AW$2:$AW$556),0))</f>
        <v>61.85</v>
      </c>
      <c r="R103" cm="1">
        <f t="array" ref="R103">INDEX('Longitude and Latitude'!$B$2:$B$579,MATCH(LOWER(Data!A103),LOWER('Longitude and Latitude'!$A$2:$A$579),0))</f>
        <v>-1.5966720000000001</v>
      </c>
      <c r="S103" cm="1">
        <f t="array" ref="S103">INDEX('Longitude and Latitude'!$C$2:$C$579,MATCH(LOWER(Data!A103),LOWER('Longitude and Latitude'!$A$2:$A$579),0))</f>
        <v>103.615799</v>
      </c>
      <c r="T103" t="b">
        <f>IF(EXACT(A103, UPPER(A103)), TRUE, FALSE)</f>
        <v>0</v>
      </c>
    </row>
    <row r="104" spans="1:20" x14ac:dyDescent="0.35">
      <c r="A104" t="s">
        <v>104</v>
      </c>
      <c r="B104">
        <v>94.54</v>
      </c>
      <c r="C104" cm="1">
        <f t="array" ref="C104">INDEX(DataAll!$E$2:$E$555,MATCH(LOWER(Data!A104),LOWER(DataAll!$D$2:$D$555),0))</f>
        <v>52.51</v>
      </c>
      <c r="D104" cm="1">
        <f t="array" ref="D104">INDEX(DataAll!$H$2:$H$579,MATCH(LOWER(Data!A104),LOWER(DataAll!$G$2:$G$555),0))</f>
        <v>0.75800000000000001</v>
      </c>
      <c r="E104" t="str" cm="1">
        <f t="array" ref="E104">INDEX(DataAll!$K$2:$K$579,MATCH(LOWER(Data!A104),LOWER(DataAll!$J$2:$J$555),0))</f>
        <v>-</v>
      </c>
      <c r="F104" cm="1">
        <f t="array" ref="F104">INDEX(DataAll!$N$2:$N$555,MATCH(LOWER(Data!A104),LOWER(DataAll!$M$2:$M$555),0))</f>
        <v>58.17</v>
      </c>
      <c r="G104" cm="1">
        <f t="array" ref="G104">INDEX(DataAll!$Q$2:$Q$555,MATCH(LOWER(Data!A104),LOWER(DataAll!$P$2:$P$555),0))</f>
        <v>15.75</v>
      </c>
      <c r="H104" cm="1">
        <f t="array" ref="H104">INDEX(DataAll!$T$2:$T$555,MATCH(LOWER(Data!A104),LOWER(DataAll!$S$2:$S$555),0))</f>
        <v>0.20699999999999999</v>
      </c>
      <c r="I104" cm="1">
        <f t="array" ref="I104">INDEX(DataAll!$W$2:$W$555,MATCH(LOWER(Data!A104),LOWER(DataAll!$V$2:$V$555),0))</f>
        <v>35.03</v>
      </c>
      <c r="J104" cm="1">
        <f t="array" ref="J104">INDEX(DataAll!$Z$2:$Z$555,MATCH(LOWER(Data!A104),LOWER(DataAll!$Y$2:$Y$555),0))</f>
        <v>2.19</v>
      </c>
      <c r="K104" cm="1">
        <f t="array" ref="K104">INDEX(DataAll!$AM$2:$AM$555,MATCH(LOWER(Data!A104),LOWER(DataAll!$AL$2:$AL$555),0))</f>
        <v>3</v>
      </c>
      <c r="L104" cm="1">
        <f t="array" ref="L104">INDEX(DataAll!$AJ$2:$AJ$555,MATCH(LOWER(Data!A104),LOWER(DataAll!$AI$2:$AI$555),0))</f>
        <v>19.82</v>
      </c>
      <c r="M104" cm="1">
        <f t="array" ref="M104">INDEX(DataAll!$AP$2:$AP$555,MATCH(LOWER(Data!A104),LOWER(DataAll!$AO$2:$AO$555),0))</f>
        <v>70.89</v>
      </c>
      <c r="N104" cm="1">
        <f t="array" ref="N104">INDEX(DataAll!$AQ$2:$AQ$555,MATCH(LOWER(Data!A104),LOWER(DataAll!$AO$2:$AO$555),0))</f>
        <v>74.92</v>
      </c>
      <c r="O104" cm="1">
        <f t="array" ref="O104">INDEX(DataAll!$AT$2:$AT$555,MATCH(LOWER(Data!A104),LOWER(DataAll!$AS$2:$AS$555),0))</f>
        <v>11.15</v>
      </c>
      <c r="P104" cm="1">
        <f t="array" ref="P104">INDEX(DataAll!$AU$2:$AU$555,MATCH(LOWER(Data!A104),LOWER(DataAll!$AS$2:$AS$555),0))</f>
        <v>10.210000000000001</v>
      </c>
      <c r="Q104" cm="1">
        <f t="array" ref="Q104">INDEX(DataAll!$AX$2:$AX$556,MATCH(LOWER(Data!A104),LOWER(DataAll!$AW$2:$AW$556),0))</f>
        <v>52.15</v>
      </c>
      <c r="R104" cm="1">
        <f t="array" ref="R104">INDEX('Longitude and Latitude'!$B$2:$B$579,MATCH(LOWER(Data!A104),LOWER('Longitude and Latitude'!$A$2:$A$579),0))</f>
        <v>-2.0631400000000002</v>
      </c>
      <c r="S104" cm="1">
        <f t="array" ref="S104">INDEX('Longitude and Latitude'!$C$2:$C$579,MATCH(LOWER(Data!A104),LOWER('Longitude and Latitude'!$A$2:$A$579),0))</f>
        <v>101.387199</v>
      </c>
      <c r="T104" t="b">
        <f>IF(EXACT(A104, UPPER(A104)), TRUE, FALSE)</f>
        <v>0</v>
      </c>
    </row>
    <row r="105" spans="1:20" x14ac:dyDescent="0.35">
      <c r="A105" t="s">
        <v>105</v>
      </c>
      <c r="B105">
        <v>93.25</v>
      </c>
      <c r="C105" cm="1">
        <f t="array" ref="C105">INDEX(DataAll!$E$2:$E$555,MATCH(LOWER(Data!A105),LOWER(DataAll!$D$2:$D$555),0))</f>
        <v>76.58</v>
      </c>
      <c r="D105" cm="1">
        <f t="array" ref="D105">INDEX(DataAll!$H$2:$H$579,MATCH(LOWER(Data!A105),LOWER(DataAll!$G$2:$G$555),0))</f>
        <v>0.496</v>
      </c>
      <c r="E105" cm="1">
        <f t="array" ref="E105">INDEX(DataAll!$K$2:$K$579,MATCH(LOWER(Data!A105),LOWER(DataAll!$J$2:$J$555),0))</f>
        <v>24</v>
      </c>
      <c r="F105" cm="1">
        <f t="array" ref="F105">INDEX(DataAll!$N$2:$N$555,MATCH(LOWER(Data!A105),LOWER(DataAll!$M$2:$M$555),0))</f>
        <v>54.24</v>
      </c>
      <c r="G105" t="e" cm="1">
        <f t="array" ref="G105">INDEX(DataAll!$Q$2:$Q$555,MATCH(LOWER(Data!A105),LOWER(DataAll!$P$2:$P$555),0))</f>
        <v>#N/A</v>
      </c>
      <c r="H105" cm="1">
        <f t="array" ref="H105">INDEX(DataAll!$T$2:$T$555,MATCH(LOWER(Data!A105),LOWER(DataAll!$S$2:$S$555),0))</f>
        <v>0.30399999999999999</v>
      </c>
      <c r="I105" cm="1">
        <f t="array" ref="I105">INDEX(DataAll!$W$2:$W$555,MATCH(LOWER(Data!A105),LOWER(DataAll!$V$2:$V$555),0))</f>
        <v>34.4</v>
      </c>
      <c r="J105" cm="1">
        <f t="array" ref="J105">INDEX(DataAll!$Z$2:$Z$555,MATCH(LOWER(Data!A105),LOWER(DataAll!$Y$2:$Y$555),0))</f>
        <v>2.23</v>
      </c>
      <c r="K105" cm="1">
        <f t="array" ref="K105">INDEX(DataAll!$AM$2:$AM$555,MATCH(LOWER(Data!A105),LOWER(DataAll!$AL$2:$AL$555),0))</f>
        <v>11.78</v>
      </c>
      <c r="L105" cm="1">
        <f t="array" ref="L105">INDEX(DataAll!$AJ$2:$AJ$555,MATCH(LOWER(Data!A105),LOWER(DataAll!$AI$2:$AI$555),0))</f>
        <v>19.62</v>
      </c>
      <c r="M105" cm="1">
        <f t="array" ref="M105">INDEX(DataAll!$AP$2:$AP$555,MATCH(LOWER(Data!A105),LOWER(DataAll!$AO$2:$AO$555),0))</f>
        <v>68.739999999999995</v>
      </c>
      <c r="N105" cm="1">
        <f t="array" ref="N105">INDEX(DataAll!$AQ$2:$AQ$555,MATCH(LOWER(Data!A105),LOWER(DataAll!$AO$2:$AO$555),0))</f>
        <v>72.680000000000007</v>
      </c>
      <c r="O105" cm="1">
        <f t="array" ref="O105">INDEX(DataAll!$AT$2:$AT$555,MATCH(LOWER(Data!A105),LOWER(DataAll!$AS$2:$AS$555),0))</f>
        <v>8.67</v>
      </c>
      <c r="P105" cm="1">
        <f t="array" ref="P105">INDEX(DataAll!$AU$2:$AU$555,MATCH(LOWER(Data!A105),LOWER(DataAll!$AS$2:$AS$555),0))</f>
        <v>8.33</v>
      </c>
      <c r="Q105" cm="1">
        <f t="array" ref="Q105">INDEX(DataAll!$AX$2:$AX$556,MATCH(LOWER(Data!A105),LOWER(DataAll!$AW$2:$AW$556),0))</f>
        <v>36.909999999999997</v>
      </c>
      <c r="R105" cm="1">
        <f t="array" ref="R105">INDEX('Longitude and Latitude'!$B$2:$B$579,MATCH(LOWER(Data!A105),LOWER('Longitude and Latitude'!$A$2:$A$579),0))</f>
        <v>-3.3194374</v>
      </c>
      <c r="S105" cm="1">
        <f t="array" ref="S105">INDEX('Longitude and Latitude'!$C$2:$C$579,MATCH(LOWER(Data!A105),LOWER('Longitude and Latitude'!$A$2:$A$579),0))</f>
        <v>103.914399</v>
      </c>
      <c r="T105" t="b">
        <f>IF(EXACT(A105, UPPER(A105)), TRUE, FALSE)</f>
        <v>1</v>
      </c>
    </row>
    <row r="106" spans="1:20" x14ac:dyDescent="0.35">
      <c r="A106" t="s">
        <v>106</v>
      </c>
      <c r="B106">
        <v>94.34</v>
      </c>
      <c r="C106" cm="1">
        <f t="array" ref="C106">INDEX(DataAll!$E$2:$E$555,MATCH(LOWER(Data!A106),LOWER(DataAll!$D$2:$D$555),0))</f>
        <v>52.45</v>
      </c>
      <c r="D106" cm="1">
        <f t="array" ref="D106">INDEX(DataAll!$H$2:$H$579,MATCH(LOWER(Data!A106),LOWER(DataAll!$G$2:$G$555),0))</f>
        <v>0.53300000000000003</v>
      </c>
      <c r="E106" cm="1">
        <f t="array" ref="E106">INDEX(DataAll!$K$2:$K$579,MATCH(LOWER(Data!A106),LOWER(DataAll!$J$2:$J$555),0))</f>
        <v>8.57</v>
      </c>
      <c r="F106" cm="1">
        <f t="array" ref="F106">INDEX(DataAll!$N$2:$N$555,MATCH(LOWER(Data!A106),LOWER(DataAll!$M$2:$M$555),0))</f>
        <v>61.7</v>
      </c>
      <c r="G106" cm="1">
        <f t="array" ref="G106">INDEX(DataAll!$Q$2:$Q$555,MATCH(LOWER(Data!A106),LOWER(DataAll!$P$2:$P$555),0))</f>
        <v>6.22</v>
      </c>
      <c r="H106" cm="1">
        <f t="array" ref="H106">INDEX(DataAll!$T$2:$T$555,MATCH(LOWER(Data!A106),LOWER(DataAll!$S$2:$S$555),0))</f>
        <v>0.34399999999999997</v>
      </c>
      <c r="I106" cm="1">
        <f t="array" ref="I106">INDEX(DataAll!$W$2:$W$555,MATCH(LOWER(Data!A106),LOWER(DataAll!$V$2:$V$555),0))</f>
        <v>24.41</v>
      </c>
      <c r="J106" cm="1">
        <f t="array" ref="J106">INDEX(DataAll!$Z$2:$Z$555,MATCH(LOWER(Data!A106),LOWER(DataAll!$Y$2:$Y$555),0))</f>
        <v>2.31</v>
      </c>
      <c r="K106" cm="1">
        <f t="array" ref="K106">INDEX(DataAll!$AM$2:$AM$555,MATCH(LOWER(Data!A106),LOWER(DataAll!$AL$2:$AL$555),0))</f>
        <v>11.46</v>
      </c>
      <c r="L106" cm="1">
        <f t="array" ref="L106">INDEX(DataAll!$AJ$2:$AJ$555,MATCH(LOWER(Data!A106),LOWER(DataAll!$AI$2:$AI$555),0))</f>
        <v>22</v>
      </c>
      <c r="M106" cm="1">
        <f t="array" ref="M106">INDEX(DataAll!$AP$2:$AP$555,MATCH(LOWER(Data!A106),LOWER(DataAll!$AO$2:$AO$555),0))</f>
        <v>66.91</v>
      </c>
      <c r="N106" cm="1">
        <f t="array" ref="N106">INDEX(DataAll!$AQ$2:$AQ$555,MATCH(LOWER(Data!A106),LOWER(DataAll!$AO$2:$AO$555),0))</f>
        <v>70.88</v>
      </c>
      <c r="O106" cm="1">
        <f t="array" ref="O106">INDEX(DataAll!$AT$2:$AT$555,MATCH(LOWER(Data!A106),LOWER(DataAll!$AS$2:$AS$555),0))</f>
        <v>8.9600000000000009</v>
      </c>
      <c r="P106" cm="1">
        <f t="array" ref="P106">INDEX(DataAll!$AU$2:$AU$555,MATCH(LOWER(Data!A106),LOWER(DataAll!$AS$2:$AS$555),0))</f>
        <v>8.73</v>
      </c>
      <c r="Q106" cm="1">
        <f t="array" ref="Q106">INDEX(DataAll!$AX$2:$AX$556,MATCH(LOWER(Data!A106),LOWER(DataAll!$AW$2:$AW$556),0))</f>
        <v>42.52</v>
      </c>
      <c r="R106" cm="1">
        <f t="array" ref="R106">INDEX('Longitude and Latitude'!$B$2:$B$579,MATCH(LOWER(Data!A106),LOWER('Longitude and Latitude'!$A$2:$A$579),0))</f>
        <v>-4.0283486000000002</v>
      </c>
      <c r="S106" cm="1">
        <f t="array" ref="S106">INDEX('Longitude and Latitude'!$C$2:$C$579,MATCH(LOWER(Data!A106),LOWER('Longitude and Latitude'!$A$2:$A$579),0))</f>
        <v>104.00723480000001</v>
      </c>
      <c r="T106" t="b">
        <f>IF(EXACT(A106, UPPER(A106)), TRUE, FALSE)</f>
        <v>0</v>
      </c>
    </row>
    <row r="107" spans="1:20" x14ac:dyDescent="0.35">
      <c r="A107" t="s">
        <v>107</v>
      </c>
      <c r="B107">
        <v>92.35</v>
      </c>
      <c r="C107" cm="1">
        <f t="array" ref="C107">INDEX(DataAll!$E$2:$E$555,MATCH(LOWER(Data!A107),LOWER(DataAll!$D$2:$D$555),0))</f>
        <v>61.87</v>
      </c>
      <c r="D107" cm="1">
        <f t="array" ref="D107">INDEX(DataAll!$H$2:$H$579,MATCH(LOWER(Data!A107),LOWER(DataAll!$G$2:$G$555),0))</f>
        <v>0.52700000000000002</v>
      </c>
      <c r="E107" cm="1">
        <f t="array" ref="E107">INDEX(DataAll!$K$2:$K$579,MATCH(LOWER(Data!A107),LOWER(DataAll!$J$2:$J$555),0))</f>
        <v>15.56</v>
      </c>
      <c r="F107" cm="1">
        <f t="array" ref="F107">INDEX(DataAll!$N$2:$N$555,MATCH(LOWER(Data!A107),LOWER(DataAll!$M$2:$M$555),0))</f>
        <v>51.65</v>
      </c>
      <c r="G107" cm="1">
        <f t="array" ref="G107">INDEX(DataAll!$Q$2:$Q$555,MATCH(LOWER(Data!A107),LOWER(DataAll!$P$2:$P$555),0))</f>
        <v>6.3</v>
      </c>
      <c r="H107" cm="1">
        <f t="array" ref="H107">INDEX(DataAll!$T$2:$T$555,MATCH(LOWER(Data!A107),LOWER(DataAll!$S$2:$S$555),0))</f>
        <v>0.34799999999999998</v>
      </c>
      <c r="I107" cm="1">
        <f t="array" ref="I107">INDEX(DataAll!$W$2:$W$555,MATCH(LOWER(Data!A107),LOWER(DataAll!$V$2:$V$555),0))</f>
        <v>25.37</v>
      </c>
      <c r="J107" cm="1">
        <f t="array" ref="J107">INDEX(DataAll!$Z$2:$Z$555,MATCH(LOWER(Data!A107),LOWER(DataAll!$Y$2:$Y$555),0))</f>
        <v>2.2799999999999998</v>
      </c>
      <c r="K107" cm="1">
        <f t="array" ref="K107">INDEX(DataAll!$AM$2:$AM$555,MATCH(LOWER(Data!A107),LOWER(DataAll!$AL$2:$AL$555),0))</f>
        <v>13.15</v>
      </c>
      <c r="L107" cm="1">
        <f t="array" ref="L107">INDEX(DataAll!$AJ$2:$AJ$555,MATCH(LOWER(Data!A107),LOWER(DataAll!$AI$2:$AI$555),0))</f>
        <v>19.239999999999998</v>
      </c>
      <c r="M107" cm="1">
        <f t="array" ref="M107">INDEX(DataAll!$AP$2:$AP$555,MATCH(LOWER(Data!A107),LOWER(DataAll!$AO$2:$AO$555),0))</f>
        <v>67.38</v>
      </c>
      <c r="N107" cm="1">
        <f t="array" ref="N107">INDEX(DataAll!$AQ$2:$AQ$555,MATCH(LOWER(Data!A107),LOWER(DataAll!$AO$2:$AO$555),0))</f>
        <v>71.34</v>
      </c>
      <c r="O107" cm="1">
        <f t="array" ref="O107">INDEX(DataAll!$AT$2:$AT$555,MATCH(LOWER(Data!A107),LOWER(DataAll!$AS$2:$AS$555),0))</f>
        <v>7.5</v>
      </c>
      <c r="P107" cm="1">
        <f t="array" ref="P107">INDEX(DataAll!$AU$2:$AU$555,MATCH(LOWER(Data!A107),LOWER(DataAll!$AS$2:$AS$555),0))</f>
        <v>6.79</v>
      </c>
      <c r="Q107" cm="1">
        <f t="array" ref="Q107">INDEX(DataAll!$AX$2:$AX$556,MATCH(LOWER(Data!A107),LOWER(DataAll!$AW$2:$AW$556),0))</f>
        <v>20.61</v>
      </c>
      <c r="R107" cm="1">
        <f t="array" ref="R107">INDEX('Longitude and Latitude'!$B$2:$B$579,MATCH(LOWER(Data!A107),LOWER('Longitude and Latitude'!$A$2:$A$579),0))</f>
        <v>-3.4559744000000001</v>
      </c>
      <c r="S107" cm="1">
        <f t="array" ref="S107">INDEX('Longitude and Latitude'!$C$2:$C$579,MATCH(LOWER(Data!A107),LOWER('Longitude and Latitude'!$A$2:$A$579),0))</f>
        <v>105.2194808</v>
      </c>
      <c r="T107" t="b">
        <f>IF(EXACT(A107, UPPER(A107)), TRUE, FALSE)</f>
        <v>0</v>
      </c>
    </row>
    <row r="108" spans="1:20" x14ac:dyDescent="0.35">
      <c r="A108" t="s">
        <v>108</v>
      </c>
      <c r="B108">
        <v>89.82</v>
      </c>
      <c r="C108" cm="1">
        <f t="array" ref="C108">INDEX(DataAll!$E$2:$E$555,MATCH(LOWER(Data!A108),LOWER(DataAll!$D$2:$D$555),0))</f>
        <v>69.66</v>
      </c>
      <c r="D108" cm="1">
        <f t="array" ref="D108">INDEX(DataAll!$H$2:$H$579,MATCH(LOWER(Data!A108),LOWER(DataAll!$G$2:$G$555),0))</f>
        <v>0.56899999999999995</v>
      </c>
      <c r="E108" cm="1">
        <f t="array" ref="E108">INDEX(DataAll!$K$2:$K$579,MATCH(LOWER(Data!A108),LOWER(DataAll!$J$2:$J$555),0))</f>
        <v>15.56</v>
      </c>
      <c r="F108" cm="1">
        <f t="array" ref="F108">INDEX(DataAll!$N$2:$N$555,MATCH(LOWER(Data!A108),LOWER(DataAll!$M$2:$M$555),0))</f>
        <v>55.58</v>
      </c>
      <c r="G108" cm="1">
        <f t="array" ref="G108">INDEX(DataAll!$Q$2:$Q$555,MATCH(LOWER(Data!A108),LOWER(DataAll!$P$2:$P$555),0))</f>
        <v>6.13</v>
      </c>
      <c r="H108" cm="1">
        <f t="array" ref="H108">INDEX(DataAll!$T$2:$T$555,MATCH(LOWER(Data!A108),LOWER(DataAll!$S$2:$S$555),0))</f>
        <v>0.36299999999999999</v>
      </c>
      <c r="I108" cm="1">
        <f t="array" ref="I108">INDEX(DataAll!$W$2:$W$555,MATCH(LOWER(Data!A108),LOWER(DataAll!$V$2:$V$555),0))</f>
        <v>36.520000000000003</v>
      </c>
      <c r="J108" cm="1">
        <f t="array" ref="J108">INDEX(DataAll!$Z$2:$Z$555,MATCH(LOWER(Data!A108),LOWER(DataAll!$Y$2:$Y$555),0))</f>
        <v>2.2400000000000002</v>
      </c>
      <c r="K108" cm="1">
        <f t="array" ref="K108">INDEX(DataAll!$AM$2:$AM$555,MATCH(LOWER(Data!A108),LOWER(DataAll!$AL$2:$AL$555),0))</f>
        <v>10.93</v>
      </c>
      <c r="L108" cm="1">
        <f t="array" ref="L108">INDEX(DataAll!$AJ$2:$AJ$555,MATCH(LOWER(Data!A108),LOWER(DataAll!$AI$2:$AI$555),0))</f>
        <v>18.95</v>
      </c>
      <c r="M108" cm="1">
        <f t="array" ref="M108">INDEX(DataAll!$AP$2:$AP$555,MATCH(LOWER(Data!A108),LOWER(DataAll!$AO$2:$AO$555),0))</f>
        <v>67.790000000000006</v>
      </c>
      <c r="N108" cm="1">
        <f t="array" ref="N108">INDEX(DataAll!$AQ$2:$AQ$555,MATCH(LOWER(Data!A108),LOWER(DataAll!$AO$2:$AO$555),0))</f>
        <v>71.739999999999995</v>
      </c>
      <c r="O108" cm="1">
        <f t="array" ref="O108">INDEX(DataAll!$AT$2:$AT$555,MATCH(LOWER(Data!A108),LOWER(DataAll!$AS$2:$AS$555),0))</f>
        <v>8.65</v>
      </c>
      <c r="P108" cm="1">
        <f t="array" ref="P108">INDEX(DataAll!$AU$2:$AU$555,MATCH(LOWER(Data!A108),LOWER(DataAll!$AS$2:$AS$555),0))</f>
        <v>7.57</v>
      </c>
      <c r="Q108" cm="1">
        <f t="array" ref="Q108">INDEX(DataAll!$AX$2:$AX$556,MATCH(LOWER(Data!A108),LOWER(DataAll!$AW$2:$AW$556),0))</f>
        <v>31.64</v>
      </c>
      <c r="R108" cm="1">
        <f t="array" ref="R108">INDEX('Longitude and Latitude'!$B$2:$B$579,MATCH(LOWER(Data!A108),LOWER('Longitude and Latitude'!$A$2:$A$579),0))</f>
        <v>-3.6515810000000002</v>
      </c>
      <c r="S108" cm="1">
        <f t="array" ref="S108">INDEX('Longitude and Latitude'!$C$2:$C$579,MATCH(LOWER(Data!A108),LOWER('Longitude and Latitude'!$A$2:$A$579),0))</f>
        <v>103.770798</v>
      </c>
      <c r="T108" t="b">
        <f>IF(EXACT(A108, UPPER(A108)), TRUE, FALSE)</f>
        <v>0</v>
      </c>
    </row>
    <row r="109" spans="1:20" x14ac:dyDescent="0.35">
      <c r="A109" t="s">
        <v>109</v>
      </c>
      <c r="B109">
        <v>94.76</v>
      </c>
      <c r="C109" cm="1">
        <f t="array" ref="C109">INDEX(DataAll!$E$2:$E$555,MATCH(LOWER(Data!A109),LOWER(DataAll!$D$2:$D$555),0))</f>
        <v>69.3</v>
      </c>
      <c r="D109" cm="1">
        <f t="array" ref="D109">INDEX(DataAll!$H$2:$H$579,MATCH(LOWER(Data!A109),LOWER(DataAll!$G$2:$G$555),0))</f>
        <v>0.48899999999999999</v>
      </c>
      <c r="E109" cm="1">
        <f t="array" ref="E109">INDEX(DataAll!$K$2:$K$579,MATCH(LOWER(Data!A109),LOWER(DataAll!$J$2:$J$555),0))</f>
        <v>15</v>
      </c>
      <c r="F109" cm="1">
        <f t="array" ref="F109">INDEX(DataAll!$N$2:$N$555,MATCH(LOWER(Data!A109),LOWER(DataAll!$M$2:$M$555),0))</f>
        <v>56.69</v>
      </c>
      <c r="G109" cm="1">
        <f t="array" ref="G109">INDEX(DataAll!$Q$2:$Q$555,MATCH(LOWER(Data!A109),LOWER(DataAll!$P$2:$P$555),0))</f>
        <v>5.41</v>
      </c>
      <c r="H109" cm="1">
        <f t="array" ref="H109">INDEX(DataAll!$T$2:$T$555,MATCH(LOWER(Data!A109),LOWER(DataAll!$S$2:$S$555),0))</f>
        <v>0.26500000000000001</v>
      </c>
      <c r="I109" cm="1">
        <f t="array" ref="I109">INDEX(DataAll!$W$2:$W$555,MATCH(LOWER(Data!A109),LOWER(DataAll!$V$2:$V$555),0))</f>
        <v>36.9</v>
      </c>
      <c r="J109" cm="1">
        <f t="array" ref="J109">INDEX(DataAll!$Z$2:$Z$555,MATCH(LOWER(Data!A109),LOWER(DataAll!$Y$2:$Y$555),0))</f>
        <v>2.2799999999999998</v>
      </c>
      <c r="K109" cm="1">
        <f t="array" ref="K109">INDEX(DataAll!$AM$2:$AM$555,MATCH(LOWER(Data!A109),LOWER(DataAll!$AL$2:$AL$555),0))</f>
        <v>15</v>
      </c>
      <c r="L109" cm="1">
        <f t="array" ref="L109">INDEX(DataAll!$AJ$2:$AJ$555,MATCH(LOWER(Data!A109),LOWER(DataAll!$AI$2:$AI$555),0))</f>
        <v>23.41</v>
      </c>
      <c r="M109" cm="1">
        <f t="array" ref="M109">INDEX(DataAll!$AP$2:$AP$555,MATCH(LOWER(Data!A109),LOWER(DataAll!$AO$2:$AO$555),0))</f>
        <v>64.959999999999994</v>
      </c>
      <c r="N109" cm="1">
        <f t="array" ref="N109">INDEX(DataAll!$AQ$2:$AQ$555,MATCH(LOWER(Data!A109),LOWER(DataAll!$AO$2:$AO$555),0))</f>
        <v>68.89</v>
      </c>
      <c r="O109" cm="1">
        <f t="array" ref="O109">INDEX(DataAll!$AT$2:$AT$555,MATCH(LOWER(Data!A109),LOWER(DataAll!$AS$2:$AS$555),0))</f>
        <v>8.93</v>
      </c>
      <c r="P109" cm="1">
        <f t="array" ref="P109">INDEX(DataAll!$AU$2:$AU$555,MATCH(LOWER(Data!A109),LOWER(DataAll!$AS$2:$AS$555),0))</f>
        <v>8.31</v>
      </c>
      <c r="Q109" cm="1">
        <f t="array" ref="Q109">INDEX(DataAll!$AX$2:$AX$556,MATCH(LOWER(Data!A109),LOWER(DataAll!$AW$2:$AW$556),0))</f>
        <v>38.19</v>
      </c>
      <c r="R109" cm="1">
        <f t="array" ref="R109">INDEX('Longitude and Latitude'!$B$2:$B$579,MATCH(LOWER(Data!A109),LOWER('Longitude and Latitude'!$A$2:$A$579),0))</f>
        <v>-3.7863888999999999</v>
      </c>
      <c r="S109" cm="1">
        <f t="array" ref="S109">INDEX('Longitude and Latitude'!$C$2:$C$579,MATCH(LOWER(Data!A109),LOWER('Longitude and Latitude'!$A$2:$A$579),0))</f>
        <v>103.5427778</v>
      </c>
      <c r="T109" t="b">
        <f>IF(EXACT(A109, UPPER(A109)), TRUE, FALSE)</f>
        <v>0</v>
      </c>
    </row>
    <row r="110" spans="1:20" x14ac:dyDescent="0.35">
      <c r="A110" t="s">
        <v>110</v>
      </c>
      <c r="B110">
        <v>86.55</v>
      </c>
      <c r="C110" cm="1">
        <f t="array" ref="C110">INDEX(DataAll!$E$2:$E$555,MATCH(LOWER(Data!A110),LOWER(DataAll!$D$2:$D$555),0))</f>
        <v>65.44</v>
      </c>
      <c r="D110" cm="1">
        <f t="array" ref="D110">INDEX(DataAll!$H$2:$H$579,MATCH(LOWER(Data!A110),LOWER(DataAll!$G$2:$G$555),0))</f>
        <v>0.54300000000000004</v>
      </c>
      <c r="E110" cm="1">
        <f t="array" ref="E110">INDEX(DataAll!$K$2:$K$579,MATCH(LOWER(Data!A110),LOWER(DataAll!$J$2:$J$555),0))</f>
        <v>20</v>
      </c>
      <c r="F110" cm="1">
        <f t="array" ref="F110">INDEX(DataAll!$N$2:$N$555,MATCH(LOWER(Data!A110),LOWER(DataAll!$M$2:$M$555),0))</f>
        <v>56.8</v>
      </c>
      <c r="G110" cm="1">
        <f t="array" ref="G110">INDEX(DataAll!$Q$2:$Q$555,MATCH(LOWER(Data!A110),LOWER(DataAll!$P$2:$P$555),0))</f>
        <v>8.1199999999999992</v>
      </c>
      <c r="H110" cm="1">
        <f t="array" ref="H110">INDEX(DataAll!$T$2:$T$555,MATCH(LOWER(Data!A110),LOWER(DataAll!$S$2:$S$555),0))</f>
        <v>0.39100000000000001</v>
      </c>
      <c r="I110" cm="1">
        <f t="array" ref="I110">INDEX(DataAll!$W$2:$W$555,MATCH(LOWER(Data!A110),LOWER(DataAll!$V$2:$V$555),0))</f>
        <v>25.68</v>
      </c>
      <c r="J110" cm="1">
        <f t="array" ref="J110">INDEX(DataAll!$Z$2:$Z$555,MATCH(LOWER(Data!A110),LOWER(DataAll!$Y$2:$Y$555),0))</f>
        <v>2.2599999999999998</v>
      </c>
      <c r="K110" cm="1">
        <f t="array" ref="K110">INDEX(DataAll!$AM$2:$AM$555,MATCH(LOWER(Data!A110),LOWER(DataAll!$AL$2:$AL$555),0))</f>
        <v>14.13</v>
      </c>
      <c r="L110" cm="1">
        <f t="array" ref="L110">INDEX(DataAll!$AJ$2:$AJ$555,MATCH(LOWER(Data!A110),LOWER(DataAll!$AI$2:$AI$555),0))</f>
        <v>21.22</v>
      </c>
      <c r="M110" cm="1">
        <f t="array" ref="M110">INDEX(DataAll!$AP$2:$AP$555,MATCH(LOWER(Data!A110),LOWER(DataAll!$AO$2:$AO$555),0))</f>
        <v>67.010000000000005</v>
      </c>
      <c r="N110" cm="1">
        <f t="array" ref="N110">INDEX(DataAll!$AQ$2:$AQ$555,MATCH(LOWER(Data!A110),LOWER(DataAll!$AO$2:$AO$555),0))</f>
        <v>70.98</v>
      </c>
      <c r="O110" cm="1">
        <f t="array" ref="O110">INDEX(DataAll!$AT$2:$AT$555,MATCH(LOWER(Data!A110),LOWER(DataAll!$AS$2:$AS$555),0))</f>
        <v>7.87</v>
      </c>
      <c r="P110" cm="1">
        <f t="array" ref="P110">INDEX(DataAll!$AU$2:$AU$555,MATCH(LOWER(Data!A110),LOWER(DataAll!$AS$2:$AS$555),0))</f>
        <v>7.41</v>
      </c>
      <c r="Q110" cm="1">
        <f t="array" ref="Q110">INDEX(DataAll!$AX$2:$AX$556,MATCH(LOWER(Data!A110),LOWER(DataAll!$AW$2:$AW$556),0))</f>
        <v>28.04</v>
      </c>
      <c r="R110" cm="1">
        <f t="array" ref="R110">INDEX('Longitude and Latitude'!$B$2:$B$579,MATCH(LOWER(Data!A110),LOWER('Longitude and Latitude'!$A$2:$A$579),0))</f>
        <v>-2.8625305000000001</v>
      </c>
      <c r="S110" cm="1">
        <f t="array" ref="S110">INDEX('Longitude and Latitude'!$C$2:$C$579,MATCH(LOWER(Data!A110),LOWER('Longitude and Latitude'!$A$2:$A$579),0))</f>
        <v>102.989615</v>
      </c>
      <c r="T110" t="b">
        <f>IF(EXACT(A110, UPPER(A110)), TRUE, FALSE)</f>
        <v>0</v>
      </c>
    </row>
    <row r="111" spans="1:20" x14ac:dyDescent="0.35">
      <c r="A111" t="s">
        <v>111</v>
      </c>
      <c r="B111">
        <v>83.48</v>
      </c>
      <c r="C111" cm="1">
        <f t="array" ref="C111">INDEX(DataAll!$E$2:$E$555,MATCH(LOWER(Data!A111),LOWER(DataAll!$D$2:$D$555),0))</f>
        <v>61.78</v>
      </c>
      <c r="D111" cm="1">
        <f t="array" ref="D111">INDEX(DataAll!$H$2:$H$579,MATCH(LOWER(Data!A111),LOWER(DataAll!$G$2:$G$555),0))</f>
        <v>0.58199999999999996</v>
      </c>
      <c r="E111" cm="1">
        <f t="array" ref="E111">INDEX(DataAll!$K$2:$K$579,MATCH(LOWER(Data!A111),LOWER(DataAll!$J$2:$J$555),0))</f>
        <v>8.89</v>
      </c>
      <c r="F111" cm="1">
        <f t="array" ref="F111">INDEX(DataAll!$N$2:$N$555,MATCH(LOWER(Data!A111),LOWER(DataAll!$M$2:$M$555),0))</f>
        <v>60.33</v>
      </c>
      <c r="G111" cm="1">
        <f t="array" ref="G111">INDEX(DataAll!$Q$2:$Q$555,MATCH(LOWER(Data!A111),LOWER(DataAll!$P$2:$P$555),0))</f>
        <v>4.58</v>
      </c>
      <c r="H111" cm="1">
        <f t="array" ref="H111">INDEX(DataAll!$T$2:$T$555,MATCH(LOWER(Data!A111),LOWER(DataAll!$S$2:$S$555),0))</f>
        <v>0.371</v>
      </c>
      <c r="I111" cm="1">
        <f t="array" ref="I111">INDEX(DataAll!$W$2:$W$555,MATCH(LOWER(Data!A111),LOWER(DataAll!$V$2:$V$555),0))</f>
        <v>35.74</v>
      </c>
      <c r="J111" cm="1">
        <f t="array" ref="J111">INDEX(DataAll!$Z$2:$Z$555,MATCH(LOWER(Data!A111),LOWER(DataAll!$Y$2:$Y$555),0))</f>
        <v>2.31</v>
      </c>
      <c r="K111" cm="1">
        <f t="array" ref="K111">INDEX(DataAll!$AM$2:$AM$555,MATCH(LOWER(Data!A111),LOWER(DataAll!$AL$2:$AL$555),0))</f>
        <v>14.9</v>
      </c>
      <c r="L111" cm="1">
        <f t="array" ref="L111">INDEX(DataAll!$AJ$2:$AJ$555,MATCH(LOWER(Data!A111),LOWER(DataAll!$AI$2:$AI$555),0))</f>
        <v>19.55</v>
      </c>
      <c r="M111" cm="1">
        <f t="array" ref="M111">INDEX(DataAll!$AP$2:$AP$555,MATCH(LOWER(Data!A111),LOWER(DataAll!$AO$2:$AO$555),0))</f>
        <v>67.58</v>
      </c>
      <c r="N111" cm="1">
        <f t="array" ref="N111">INDEX(DataAll!$AQ$2:$AQ$555,MATCH(LOWER(Data!A111),LOWER(DataAll!$AO$2:$AO$555),0))</f>
        <v>71.540000000000006</v>
      </c>
      <c r="O111" cm="1">
        <f t="array" ref="O111">INDEX(DataAll!$AT$2:$AT$555,MATCH(LOWER(Data!A111),LOWER(DataAll!$AS$2:$AS$555),0))</f>
        <v>7.93</v>
      </c>
      <c r="P111" cm="1">
        <f t="array" ref="P111">INDEX(DataAll!$AU$2:$AU$555,MATCH(LOWER(Data!A111),LOWER(DataAll!$AS$2:$AS$555),0))</f>
        <v>7.43</v>
      </c>
      <c r="Q111" cm="1">
        <f t="array" ref="Q111">INDEX(DataAll!$AX$2:$AX$556,MATCH(LOWER(Data!A111),LOWER(DataAll!$AW$2:$AW$556),0))</f>
        <v>27.23</v>
      </c>
      <c r="R111" cm="1">
        <f t="array" ref="R111">INDEX('Longitude and Latitude'!$B$2:$B$579,MATCH(LOWER(Data!A111),LOWER('Longitude and Latitude'!$A$2:$A$579),0))</f>
        <v>-2.5442029000000002</v>
      </c>
      <c r="S111" cm="1">
        <f t="array" ref="S111">INDEX('Longitude and Latitude'!$C$2:$C$579,MATCH(LOWER(Data!A111),LOWER('Longitude and Latitude'!$A$2:$A$579),0))</f>
        <v>103.7289167</v>
      </c>
      <c r="T111" t="b">
        <f>IF(EXACT(A111, UPPER(A111)), TRUE, FALSE)</f>
        <v>0</v>
      </c>
    </row>
    <row r="112" spans="1:20" x14ac:dyDescent="0.35">
      <c r="A112" t="s">
        <v>112</v>
      </c>
      <c r="B112">
        <v>89.54</v>
      </c>
      <c r="C112" cm="1">
        <f t="array" ref="C112">INDEX(DataAll!$E$2:$E$555,MATCH(LOWER(Data!A112),LOWER(DataAll!$D$2:$D$555),0))</f>
        <v>57.73</v>
      </c>
      <c r="D112" cm="1">
        <f t="array" ref="D112">INDEX(DataAll!$H$2:$H$579,MATCH(LOWER(Data!A112),LOWER(DataAll!$G$2:$G$555),0))</f>
        <v>0.59099999999999997</v>
      </c>
      <c r="E112" cm="1">
        <f t="array" ref="E112">INDEX(DataAll!$K$2:$K$579,MATCH(LOWER(Data!A112),LOWER(DataAll!$J$2:$J$555),0))</f>
        <v>8.89</v>
      </c>
      <c r="F112" cm="1">
        <f t="array" ref="F112">INDEX(DataAll!$N$2:$N$555,MATCH(LOWER(Data!A112),LOWER(DataAll!$M$2:$M$555),0))</f>
        <v>58.41</v>
      </c>
      <c r="G112" cm="1">
        <f t="array" ref="G112">INDEX(DataAll!$Q$2:$Q$555,MATCH(LOWER(Data!A112),LOWER(DataAll!$P$2:$P$555),0))</f>
        <v>4.4800000000000004</v>
      </c>
      <c r="H112" cm="1">
        <f t="array" ref="H112">INDEX(DataAll!$T$2:$T$555,MATCH(LOWER(Data!A112),LOWER(DataAll!$S$2:$S$555),0))</f>
        <v>0.29499999999999998</v>
      </c>
      <c r="I112" cm="1">
        <f t="array" ref="I112">INDEX(DataAll!$W$2:$W$555,MATCH(LOWER(Data!A112),LOWER(DataAll!$V$2:$V$555),0))</f>
        <v>29.4</v>
      </c>
      <c r="J112" cm="1">
        <f t="array" ref="J112">INDEX(DataAll!$Z$2:$Z$555,MATCH(LOWER(Data!A112),LOWER(DataAll!$Y$2:$Y$555),0))</f>
        <v>2.23</v>
      </c>
      <c r="K112" cm="1">
        <f t="array" ref="K112">INDEX(DataAll!$AM$2:$AM$555,MATCH(LOWER(Data!A112),LOWER(DataAll!$AL$2:$AL$555),0))</f>
        <v>9.58</v>
      </c>
      <c r="L112" cm="1">
        <f t="array" ref="L112">INDEX(DataAll!$AJ$2:$AJ$555,MATCH(LOWER(Data!A112),LOWER(DataAll!$AI$2:$AI$555),0))</f>
        <v>18.739999999999998</v>
      </c>
      <c r="M112" cm="1">
        <f t="array" ref="M112">INDEX(DataAll!$AP$2:$AP$555,MATCH(LOWER(Data!A112),LOWER(DataAll!$AO$2:$AO$555),0))</f>
        <v>67.83</v>
      </c>
      <c r="N112" cm="1">
        <f t="array" ref="N112">INDEX(DataAll!$AQ$2:$AQ$555,MATCH(LOWER(Data!A112),LOWER(DataAll!$AO$2:$AO$555),0))</f>
        <v>71.78</v>
      </c>
      <c r="O112" cm="1">
        <f t="array" ref="O112">INDEX(DataAll!$AT$2:$AT$555,MATCH(LOWER(Data!A112),LOWER(DataAll!$AS$2:$AS$555),0))</f>
        <v>7.91</v>
      </c>
      <c r="P112" cm="1">
        <f t="array" ref="P112">INDEX(DataAll!$AU$2:$AU$555,MATCH(LOWER(Data!A112),LOWER(DataAll!$AS$2:$AS$555),0))</f>
        <v>7.11</v>
      </c>
      <c r="Q112" cm="1">
        <f t="array" ref="Q112">INDEX(DataAll!$AX$2:$AX$556,MATCH(LOWER(Data!A112),LOWER(DataAll!$AW$2:$AW$556),0))</f>
        <v>25.77</v>
      </c>
      <c r="R112" cm="1">
        <f t="array" ref="R112">INDEX('Longitude and Latitude'!$B$2:$B$579,MATCH(LOWER(Data!A112),LOWER('Longitude and Latitude'!$A$2:$A$579),0))</f>
        <v>-2.6095638999999999</v>
      </c>
      <c r="S112" cm="1">
        <f t="array" ref="S112">INDEX('Longitude and Latitude'!$C$2:$C$579,MATCH(LOWER(Data!A112),LOWER('Longitude and Latitude'!$A$2:$A$579),0))</f>
        <v>104.75209390000001</v>
      </c>
      <c r="T112" t="b">
        <f>IF(EXACT(A112, UPPER(A112)), TRUE, FALSE)</f>
        <v>0</v>
      </c>
    </row>
    <row r="113" spans="1:20" x14ac:dyDescent="0.35">
      <c r="A113" t="s">
        <v>113</v>
      </c>
      <c r="B113">
        <v>92.46</v>
      </c>
      <c r="C113" cm="1">
        <f t="array" ref="C113">INDEX(DataAll!$E$2:$E$555,MATCH(LOWER(Data!A113),LOWER(DataAll!$D$2:$D$555),0))</f>
        <v>57.8</v>
      </c>
      <c r="D113" cm="1">
        <f t="array" ref="D113">INDEX(DataAll!$H$2:$H$579,MATCH(LOWER(Data!A113),LOWER(DataAll!$G$2:$G$555),0))</f>
        <v>0.59</v>
      </c>
      <c r="E113" cm="1">
        <f t="array" ref="E113">INDEX(DataAll!$K$2:$K$579,MATCH(LOWER(Data!A113),LOWER(DataAll!$J$2:$J$555),0))</f>
        <v>12.5</v>
      </c>
      <c r="F113" cm="1">
        <f t="array" ref="F113">INDEX(DataAll!$N$2:$N$555,MATCH(LOWER(Data!A113),LOWER(DataAll!$M$2:$M$555),0))</f>
        <v>51.93</v>
      </c>
      <c r="G113" cm="1">
        <f t="array" ref="G113">INDEX(DataAll!$Q$2:$Q$555,MATCH(LOWER(Data!A113),LOWER(DataAll!$P$2:$P$555),0))</f>
        <v>10.47</v>
      </c>
      <c r="H113" cm="1">
        <f t="array" ref="H113">INDEX(DataAll!$T$2:$T$555,MATCH(LOWER(Data!A113),LOWER(DataAll!$S$2:$S$555),0))</f>
        <v>0.35699999999999998</v>
      </c>
      <c r="I113" cm="1">
        <f t="array" ref="I113">INDEX(DataAll!$W$2:$W$555,MATCH(LOWER(Data!A113),LOWER(DataAll!$V$2:$V$555),0))</f>
        <v>22.97</v>
      </c>
      <c r="J113" cm="1">
        <f t="array" ref="J113">INDEX(DataAll!$Z$2:$Z$555,MATCH(LOWER(Data!A113),LOWER(DataAll!$Y$2:$Y$555),0))</f>
        <v>2.27</v>
      </c>
      <c r="K113" cm="1">
        <f t="array" ref="K113">INDEX(DataAll!$AM$2:$AM$555,MATCH(LOWER(Data!A113),LOWER(DataAll!$AL$2:$AL$555),0))</f>
        <v>10.36</v>
      </c>
      <c r="L113" cm="1">
        <f t="array" ref="L113">INDEX(DataAll!$AJ$2:$AJ$555,MATCH(LOWER(Data!A113),LOWER(DataAll!$AI$2:$AI$555),0))</f>
        <v>22.85</v>
      </c>
      <c r="M113" cm="1">
        <f t="array" ref="M113">INDEX(DataAll!$AP$2:$AP$555,MATCH(LOWER(Data!A113),LOWER(DataAll!$AO$2:$AO$555),0))</f>
        <v>65.94</v>
      </c>
      <c r="N113" cm="1">
        <f t="array" ref="N113">INDEX(DataAll!$AQ$2:$AQ$555,MATCH(LOWER(Data!A113),LOWER(DataAll!$AO$2:$AO$555),0))</f>
        <v>69.92</v>
      </c>
      <c r="O113" cm="1">
        <f t="array" ref="O113">INDEX(DataAll!$AT$2:$AT$555,MATCH(LOWER(Data!A113),LOWER(DataAll!$AS$2:$AS$555),0))</f>
        <v>8.2200000000000006</v>
      </c>
      <c r="P113" cm="1">
        <f t="array" ref="P113">INDEX(DataAll!$AU$2:$AU$555,MATCH(LOWER(Data!A113),LOWER(DataAll!$AS$2:$AS$555),0))</f>
        <v>7.93</v>
      </c>
      <c r="Q113" cm="1">
        <f t="array" ref="Q113">INDEX(DataAll!$AX$2:$AX$556,MATCH(LOWER(Data!A113),LOWER(DataAll!$AW$2:$AW$556),0))</f>
        <v>26.81</v>
      </c>
      <c r="R113" cm="1">
        <f t="array" ref="R113">INDEX('Longitude and Latitude'!$B$2:$B$579,MATCH(LOWER(Data!A113),LOWER('Longitude and Latitude'!$A$2:$A$579),0))</f>
        <v>-4.6681951000000002</v>
      </c>
      <c r="S113" cm="1">
        <f t="array" ref="S113">INDEX('Longitude and Latitude'!$C$2:$C$579,MATCH(LOWER(Data!A113),LOWER('Longitude and Latitude'!$A$2:$A$579),0))</f>
        <v>104.00723480000001</v>
      </c>
      <c r="T113" t="b">
        <f>IF(EXACT(A113, UPPER(A113)), TRUE, FALSE)</f>
        <v>0</v>
      </c>
    </row>
    <row r="114" spans="1:20" x14ac:dyDescent="0.35">
      <c r="A114" t="s">
        <v>114</v>
      </c>
      <c r="B114">
        <v>94.59</v>
      </c>
      <c r="C114" cm="1">
        <f t="array" ref="C114">INDEX(DataAll!$E$2:$E$555,MATCH(LOWER(Data!A114),LOWER(DataAll!$D$2:$D$555),0))</f>
        <v>56.77</v>
      </c>
      <c r="D114" cm="1">
        <f t="array" ref="D114">INDEX(DataAll!$H$2:$H$579,MATCH(LOWER(Data!A114),LOWER(DataAll!$G$2:$G$555),0))</f>
        <v>0.53500000000000003</v>
      </c>
      <c r="E114" cm="1">
        <f t="array" ref="E114">INDEX(DataAll!$K$2:$K$579,MATCH(LOWER(Data!A114),LOWER(DataAll!$J$2:$J$555),0))</f>
        <v>6.67</v>
      </c>
      <c r="F114" cm="1">
        <f t="array" ref="F114">INDEX(DataAll!$N$2:$N$555,MATCH(LOWER(Data!A114),LOWER(DataAll!$M$2:$M$555),0))</f>
        <v>52.48</v>
      </c>
      <c r="G114" cm="1">
        <f t="array" ref="G114">INDEX(DataAll!$Q$2:$Q$555,MATCH(LOWER(Data!A114),LOWER(DataAll!$P$2:$P$555),0))</f>
        <v>8.4</v>
      </c>
      <c r="H114" cm="1">
        <f t="array" ref="H114">INDEX(DataAll!$T$2:$T$555,MATCH(LOWER(Data!A114),LOWER(DataAll!$S$2:$S$555),0))</f>
        <v>0.32400000000000001</v>
      </c>
      <c r="I114" cm="1">
        <f t="array" ref="I114">INDEX(DataAll!$W$2:$W$555,MATCH(LOWER(Data!A114),LOWER(DataAll!$V$2:$V$555),0))</f>
        <v>29.5</v>
      </c>
      <c r="J114" cm="1">
        <f t="array" ref="J114">INDEX(DataAll!$Z$2:$Z$555,MATCH(LOWER(Data!A114),LOWER(DataAll!$Y$2:$Y$555),0))</f>
        <v>2.2000000000000002</v>
      </c>
      <c r="K114" cm="1">
        <f t="array" ref="K114">INDEX(DataAll!$AM$2:$AM$555,MATCH(LOWER(Data!A114),LOWER(DataAll!$AL$2:$AL$555),0))</f>
        <v>9.99</v>
      </c>
      <c r="L114" cm="1">
        <f t="array" ref="L114">INDEX(DataAll!$AJ$2:$AJ$555,MATCH(LOWER(Data!A114),LOWER(DataAll!$AI$2:$AI$555),0))</f>
        <v>18.16</v>
      </c>
      <c r="M114" cm="1">
        <f t="array" ref="M114">INDEX(DataAll!$AP$2:$AP$555,MATCH(LOWER(Data!A114),LOWER(DataAll!$AO$2:$AO$555),0))</f>
        <v>67.849999999999994</v>
      </c>
      <c r="N114" cm="1">
        <f t="array" ref="N114">INDEX(DataAll!$AQ$2:$AQ$555,MATCH(LOWER(Data!A114),LOWER(DataAll!$AO$2:$AO$555),0))</f>
        <v>71.8</v>
      </c>
      <c r="O114" cm="1">
        <f t="array" ref="O114">INDEX(DataAll!$AT$2:$AT$555,MATCH(LOWER(Data!A114),LOWER(DataAll!$AS$2:$AS$555),0))</f>
        <v>8.2100000000000009</v>
      </c>
      <c r="P114" cm="1">
        <f t="array" ref="P114">INDEX(DataAll!$AU$2:$AU$555,MATCH(LOWER(Data!A114),LOWER(DataAll!$AS$2:$AS$555),0))</f>
        <v>7.71</v>
      </c>
      <c r="Q114" cm="1">
        <f t="array" ref="Q114">INDEX(DataAll!$AX$2:$AX$556,MATCH(LOWER(Data!A114),LOWER(DataAll!$AW$2:$AW$556),0))</f>
        <v>31.77</v>
      </c>
      <c r="R114" cm="1">
        <f t="array" ref="R114">INDEX('Longitude and Latitude'!$B$2:$B$579,MATCH(LOWER(Data!A114),LOWER('Longitude and Latitude'!$A$2:$A$579),0))</f>
        <v>-3.8567933999999999</v>
      </c>
      <c r="S114" cm="1">
        <f t="array" ref="S114">INDEX('Longitude and Latitude'!$C$2:$C$579,MATCH(LOWER(Data!A114),LOWER('Longitude and Latitude'!$A$2:$A$579),0))</f>
        <v>104.75209390000001</v>
      </c>
      <c r="T114" t="b">
        <f>IF(EXACT(A114, UPPER(A114)), TRUE, FALSE)</f>
        <v>0</v>
      </c>
    </row>
    <row r="115" spans="1:20" x14ac:dyDescent="0.35">
      <c r="A115" t="s">
        <v>115</v>
      </c>
      <c r="B115">
        <v>98.93</v>
      </c>
      <c r="C115" cm="1">
        <f t="array" ref="C115">INDEX(DataAll!$E$2:$E$555,MATCH(LOWER(Data!A115),LOWER(DataAll!$D$2:$D$555),0))</f>
        <v>61.8</v>
      </c>
      <c r="D115" cm="1">
        <f t="array" ref="D115">INDEX(DataAll!$H$2:$H$579,MATCH(LOWER(Data!A115),LOWER(DataAll!$G$2:$G$555),0))</f>
        <v>0.53600000000000003</v>
      </c>
      <c r="E115" cm="1">
        <f t="array" ref="E115">INDEX(DataAll!$K$2:$K$579,MATCH(LOWER(Data!A115),LOWER(DataAll!$J$2:$J$555),0))</f>
        <v>15</v>
      </c>
      <c r="F115" cm="1">
        <f t="array" ref="F115">INDEX(DataAll!$N$2:$N$555,MATCH(LOWER(Data!A115),LOWER(DataAll!$M$2:$M$555),0))</f>
        <v>56.49</v>
      </c>
      <c r="G115" cm="1">
        <f t="array" ref="G115">INDEX(DataAll!$Q$2:$Q$555,MATCH(LOWER(Data!A115),LOWER(DataAll!$P$2:$P$555),0))</f>
        <v>8.5500000000000007</v>
      </c>
      <c r="H115" cm="1">
        <f t="array" ref="H115">INDEX(DataAll!$T$2:$T$555,MATCH(LOWER(Data!A115),LOWER(DataAll!$S$2:$S$555),0))</f>
        <v>0.312</v>
      </c>
      <c r="I115" cm="1">
        <f t="array" ref="I115">INDEX(DataAll!$W$2:$W$555,MATCH(LOWER(Data!A115),LOWER(DataAll!$V$2:$V$555),0))</f>
        <v>27.45</v>
      </c>
      <c r="J115" cm="1">
        <f t="array" ref="J115">INDEX(DataAll!$Z$2:$Z$555,MATCH(LOWER(Data!A115),LOWER(DataAll!$Y$2:$Y$555),0))</f>
        <v>2.23</v>
      </c>
      <c r="K115" cm="1">
        <f t="array" ref="K115">INDEX(DataAll!$AM$2:$AM$555,MATCH(LOWER(Data!A115),LOWER(DataAll!$AL$2:$AL$555),0))</f>
        <v>13.28</v>
      </c>
      <c r="L115" cm="1">
        <f t="array" ref="L115">INDEX(DataAll!$AJ$2:$AJ$555,MATCH(LOWER(Data!A115),LOWER(DataAll!$AI$2:$AI$555),0))</f>
        <v>24.39</v>
      </c>
      <c r="M115" cm="1">
        <f t="array" ref="M115">INDEX(DataAll!$AP$2:$AP$555,MATCH(LOWER(Data!A115),LOWER(DataAll!$AO$2:$AO$555),0))</f>
        <v>64.430000000000007</v>
      </c>
      <c r="N115" cm="1">
        <f t="array" ref="N115">INDEX(DataAll!$AQ$2:$AQ$555,MATCH(LOWER(Data!A115),LOWER(DataAll!$AO$2:$AO$555),0))</f>
        <v>68.33</v>
      </c>
      <c r="O115" cm="1">
        <f t="array" ref="O115">INDEX(DataAll!$AT$2:$AT$555,MATCH(LOWER(Data!A115),LOWER(DataAll!$AS$2:$AS$555),0))</f>
        <v>8.39</v>
      </c>
      <c r="P115" cm="1">
        <f t="array" ref="P115">INDEX(DataAll!$AU$2:$AU$555,MATCH(LOWER(Data!A115),LOWER(DataAll!$AS$2:$AS$555),0))</f>
        <v>7.87</v>
      </c>
      <c r="Q115" cm="1">
        <f t="array" ref="Q115">INDEX(DataAll!$AX$2:$AX$556,MATCH(LOWER(Data!A115),LOWER(DataAll!$AW$2:$AW$556),0))</f>
        <v>28.55</v>
      </c>
      <c r="R115" cm="1">
        <f t="array" ref="R115">INDEX('Longitude and Latitude'!$B$2:$B$579,MATCH(LOWER(Data!A115),LOWER('Longitude and Latitude'!$A$2:$A$579),0))</f>
        <v>-3.4265439999999998</v>
      </c>
      <c r="S115" cm="1">
        <f t="array" ref="S115">INDEX('Longitude and Latitude'!$C$2:$C$579,MATCH(LOWER(Data!A115),LOWER('Longitude and Latitude'!$A$2:$A$579),0))</f>
        <v>104.61214750000001</v>
      </c>
      <c r="T115" t="b">
        <f>IF(EXACT(A115, UPPER(A115)), TRUE, FALSE)</f>
        <v>0</v>
      </c>
    </row>
    <row r="116" spans="1:20" x14ac:dyDescent="0.35">
      <c r="A116" t="s">
        <v>116</v>
      </c>
      <c r="B116">
        <v>93.69</v>
      </c>
      <c r="C116" cm="1">
        <f t="array" ref="C116">INDEX(DataAll!$E$2:$E$555,MATCH(LOWER(Data!A116),LOWER(DataAll!$D$2:$D$555),0))</f>
        <v>58.39</v>
      </c>
      <c r="D116" cm="1">
        <f t="array" ref="D116">INDEX(DataAll!$H$2:$H$579,MATCH(LOWER(Data!A116),LOWER(DataAll!$G$2:$G$555),0))</f>
        <v>0.59899999999999998</v>
      </c>
      <c r="E116" cm="1">
        <f t="array" ref="E116">INDEX(DataAll!$K$2:$K$579,MATCH(LOWER(Data!A116),LOWER(DataAll!$J$2:$J$555),0))</f>
        <v>5.71</v>
      </c>
      <c r="F116" cm="1">
        <f t="array" ref="F116">INDEX(DataAll!$N$2:$N$555,MATCH(LOWER(Data!A116),LOWER(DataAll!$M$2:$M$555),0))</f>
        <v>51.94</v>
      </c>
      <c r="G116" cm="1">
        <f t="array" ref="G116">INDEX(DataAll!$Q$2:$Q$555,MATCH(LOWER(Data!A116),LOWER(DataAll!$P$2:$P$555),0))</f>
        <v>12.35</v>
      </c>
      <c r="H116" cm="1">
        <f t="array" ref="H116">INDEX(DataAll!$T$2:$T$555,MATCH(LOWER(Data!A116),LOWER(DataAll!$S$2:$S$555),0))</f>
        <v>0.36499999999999999</v>
      </c>
      <c r="I116" cm="1">
        <f t="array" ref="I116">INDEX(DataAll!$W$2:$W$555,MATCH(LOWER(Data!A116),LOWER(DataAll!$V$2:$V$555),0))</f>
        <v>35.19</v>
      </c>
      <c r="J116" cm="1">
        <f t="array" ref="J116">INDEX(DataAll!$Z$2:$Z$555,MATCH(LOWER(Data!A116),LOWER(DataAll!$Y$2:$Y$555),0))</f>
        <v>2.34</v>
      </c>
      <c r="K116" cm="1">
        <f t="array" ref="K116">INDEX(DataAll!$AM$2:$AM$555,MATCH(LOWER(Data!A116),LOWER(DataAll!$AL$2:$AL$555),0))</f>
        <v>11.8</v>
      </c>
      <c r="L116" cm="1">
        <f t="array" ref="L116">INDEX(DataAll!$AJ$2:$AJ$555,MATCH(LOWER(Data!A116),LOWER(DataAll!$AI$2:$AI$555),0))</f>
        <v>34.049999999999997</v>
      </c>
      <c r="M116" cm="1">
        <f t="array" ref="M116">INDEX(DataAll!$AP$2:$AP$555,MATCH(LOWER(Data!A116),LOWER(DataAll!$AO$2:$AO$555),0))</f>
        <v>63.84</v>
      </c>
      <c r="N116" cm="1">
        <f t="array" ref="N116">INDEX(DataAll!$AQ$2:$AQ$555,MATCH(LOWER(Data!A116),LOWER(DataAll!$AO$2:$AO$555),0))</f>
        <v>67.72</v>
      </c>
      <c r="O116" cm="1">
        <f t="array" ref="O116">INDEX(DataAll!$AT$2:$AT$555,MATCH(LOWER(Data!A116),LOWER(DataAll!$AS$2:$AS$555),0))</f>
        <v>8.17</v>
      </c>
      <c r="P116" cm="1">
        <f t="array" ref="P116">INDEX(DataAll!$AU$2:$AU$555,MATCH(LOWER(Data!A116),LOWER(DataAll!$AS$2:$AS$555),0))</f>
        <v>7.51</v>
      </c>
      <c r="Q116" cm="1">
        <f t="array" ref="Q116">INDEX(DataAll!$AX$2:$AX$556,MATCH(LOWER(Data!A116),LOWER(DataAll!$AW$2:$AW$556),0))</f>
        <v>28.34</v>
      </c>
      <c r="R116" cm="1">
        <f t="array" ref="R116">INDEX('Longitude and Latitude'!$B$2:$B$579,MATCH(LOWER(Data!A116),LOWER('Longitude and Latitude'!$A$2:$A$579),0))</f>
        <v>-3.7286028999999998</v>
      </c>
      <c r="S116" cm="1">
        <f t="array" ref="S116">INDEX('Longitude and Latitude'!$C$2:$C$579,MATCH(LOWER(Data!A116),LOWER('Longitude and Latitude'!$A$2:$A$579),0))</f>
        <v>102.89750979999999</v>
      </c>
      <c r="T116" t="b">
        <f>IF(EXACT(A116, UPPER(A116)), TRUE, FALSE)</f>
        <v>0</v>
      </c>
    </row>
    <row r="117" spans="1:20" x14ac:dyDescent="0.35">
      <c r="A117" t="s">
        <v>117</v>
      </c>
      <c r="B117">
        <v>93.71</v>
      </c>
      <c r="C117" cm="1">
        <f t="array" ref="C117">INDEX(DataAll!$E$2:$E$555,MATCH(LOWER(Data!A117),LOWER(DataAll!$D$2:$D$555),0))</f>
        <v>51.22</v>
      </c>
      <c r="D117" cm="1">
        <f t="array" ref="D117">INDEX(DataAll!$H$2:$H$579,MATCH(LOWER(Data!A117),LOWER(DataAll!$G$2:$G$555),0))</f>
        <v>0.84199999999999997</v>
      </c>
      <c r="E117" t="str" cm="1">
        <f t="array" ref="E117">INDEX(DataAll!$K$2:$K$579,MATCH(LOWER(Data!A117),LOWER(DataAll!$J$2:$J$555),0))</f>
        <v>-</v>
      </c>
      <c r="F117" cm="1">
        <f t="array" ref="F117">INDEX(DataAll!$N$2:$N$555,MATCH(LOWER(Data!A117),LOWER(DataAll!$M$2:$M$555),0))</f>
        <v>59.94</v>
      </c>
      <c r="G117" cm="1">
        <f t="array" ref="G117">INDEX(DataAll!$Q$2:$Q$555,MATCH(LOWER(Data!A117),LOWER(DataAll!$P$2:$P$555),0))</f>
        <v>8.2799999999999994</v>
      </c>
      <c r="H117" cm="1">
        <f t="array" ref="H117">INDEX(DataAll!$T$2:$T$555,MATCH(LOWER(Data!A117),LOWER(DataAll!$S$2:$S$555),0))</f>
        <v>0.436</v>
      </c>
      <c r="I117" cm="1">
        <f t="array" ref="I117">INDEX(DataAll!$W$2:$W$555,MATCH(LOWER(Data!A117),LOWER(DataAll!$V$2:$V$555),0))</f>
        <v>38.020000000000003</v>
      </c>
      <c r="J117" cm="1">
        <f t="array" ref="J117">INDEX(DataAll!$Z$2:$Z$555,MATCH(LOWER(Data!A117),LOWER(DataAll!$Y$2:$Y$555),0))</f>
        <v>2.29</v>
      </c>
      <c r="K117" cm="1">
        <f t="array" ref="K117">INDEX(DataAll!$AM$2:$AM$555,MATCH(LOWER(Data!A117),LOWER(DataAll!$AL$2:$AL$555),0))</f>
        <v>10.91</v>
      </c>
      <c r="L117" cm="1">
        <f t="array" ref="L117">INDEX(DataAll!$AJ$2:$AJ$555,MATCH(LOWER(Data!A117),LOWER(DataAll!$AI$2:$AI$555),0))</f>
        <v>20.329999999999998</v>
      </c>
      <c r="M117" cm="1">
        <f t="array" ref="M117">INDEX(DataAll!$AP$2:$AP$555,MATCH(LOWER(Data!A117),LOWER(DataAll!$AO$2:$AO$555),0))</f>
        <v>67.03</v>
      </c>
      <c r="N117" cm="1">
        <f t="array" ref="N117">INDEX(DataAll!$AQ$2:$AQ$555,MATCH(LOWER(Data!A117),LOWER(DataAll!$AO$2:$AO$555),0))</f>
        <v>71</v>
      </c>
      <c r="O117" cm="1">
        <f t="array" ref="O117">INDEX(DataAll!$AT$2:$AT$555,MATCH(LOWER(Data!A117),LOWER(DataAll!$AS$2:$AS$555),0))</f>
        <v>7.6</v>
      </c>
      <c r="P117" cm="1">
        <f t="array" ref="P117">INDEX(DataAll!$AU$2:$AU$555,MATCH(LOWER(Data!A117),LOWER(DataAll!$AS$2:$AS$555),0))</f>
        <v>6.71</v>
      </c>
      <c r="Q117" cm="1">
        <f t="array" ref="Q117">INDEX(DataAll!$AX$2:$AX$556,MATCH(LOWER(Data!A117),LOWER(DataAll!$AW$2:$AW$556),0))</f>
        <v>29.12</v>
      </c>
      <c r="R117" cm="1">
        <f t="array" ref="R117">INDEX('Longitude and Latitude'!$B$2:$B$579,MATCH(LOWER(Data!A117),LOWER('Longitude and Latitude'!$A$2:$A$579),0))</f>
        <v>-3.2134200000000002</v>
      </c>
      <c r="S117" cm="1">
        <f t="array" ref="S117">INDEX('Longitude and Latitude'!$C$2:$C$579,MATCH(LOWER(Data!A117),LOWER('Longitude and Latitude'!$A$2:$A$579),0))</f>
        <v>104.08722</v>
      </c>
      <c r="T117" t="b">
        <f>IF(EXACT(A117, UPPER(A117)), TRUE, FALSE)</f>
        <v>0</v>
      </c>
    </row>
    <row r="118" spans="1:20" x14ac:dyDescent="0.35">
      <c r="A118" t="s">
        <v>118</v>
      </c>
      <c r="B118">
        <v>92.96</v>
      </c>
      <c r="C118" cm="1">
        <f t="array" ref="C118">INDEX(DataAll!$E$2:$E$555,MATCH(LOWER(Data!A118),LOWER(DataAll!$D$2:$D$555),0))</f>
        <v>49.21</v>
      </c>
      <c r="D118" cm="1">
        <f t="array" ref="D118">INDEX(DataAll!$H$2:$H$579,MATCH(LOWER(Data!A118),LOWER(DataAll!$G$2:$G$555),0))</f>
        <v>0.66200000000000003</v>
      </c>
      <c r="E118" cm="1">
        <f t="array" ref="E118">INDEX(DataAll!$K$2:$K$579,MATCH(LOWER(Data!A118),LOWER(DataAll!$J$2:$J$555),0))</f>
        <v>4</v>
      </c>
      <c r="F118" cm="1">
        <f t="array" ref="F118">INDEX(DataAll!$N$2:$N$555,MATCH(LOWER(Data!A118),LOWER(DataAll!$M$2:$M$555),0))</f>
        <v>53.24</v>
      </c>
      <c r="G118" cm="1">
        <f t="array" ref="G118">INDEX(DataAll!$Q$2:$Q$555,MATCH(LOWER(Data!A118),LOWER(DataAll!$P$2:$P$555),0))</f>
        <v>7.49</v>
      </c>
      <c r="H118" cm="1">
        <f t="array" ref="H118">INDEX(DataAll!$T$2:$T$555,MATCH(LOWER(Data!A118),LOWER(DataAll!$S$2:$S$555),0))</f>
        <v>0.42099999999999999</v>
      </c>
      <c r="I118" cm="1">
        <f t="array" ref="I118">INDEX(DataAll!$W$2:$W$555,MATCH(LOWER(Data!A118),LOWER(DataAll!$V$2:$V$555),0))</f>
        <v>26.08</v>
      </c>
      <c r="J118" cm="1">
        <f t="array" ref="J118">INDEX(DataAll!$Z$2:$Z$555,MATCH(LOWER(Data!A118),LOWER(DataAll!$Y$2:$Y$555),0))</f>
        <v>2.2799999999999998</v>
      </c>
      <c r="K118" cm="1">
        <f t="array" ref="K118">INDEX(DataAll!$AM$2:$AM$555,MATCH(LOWER(Data!A118),LOWER(DataAll!$AL$2:$AL$555),0))</f>
        <v>18.260000000000002</v>
      </c>
      <c r="L118" cm="1">
        <f t="array" ref="L118">INDEX(DataAll!$AJ$2:$AJ$555,MATCH(LOWER(Data!A118),LOWER(DataAll!$AI$2:$AI$555),0))</f>
        <v>24.33</v>
      </c>
      <c r="M118" cm="1">
        <f t="array" ref="M118">INDEX(DataAll!$AP$2:$AP$555,MATCH(LOWER(Data!A118),LOWER(DataAll!$AO$2:$AO$555),0))</f>
        <v>64.459999999999994</v>
      </c>
      <c r="N118" cm="1">
        <f t="array" ref="N118">INDEX(DataAll!$AQ$2:$AQ$555,MATCH(LOWER(Data!A118),LOWER(DataAll!$AO$2:$AO$555),0))</f>
        <v>68.37</v>
      </c>
      <c r="O118" cm="1">
        <f t="array" ref="O118">INDEX(DataAll!$AT$2:$AT$555,MATCH(LOWER(Data!A118),LOWER(DataAll!$AS$2:$AS$555),0))</f>
        <v>8.0299999999999994</v>
      </c>
      <c r="P118" cm="1">
        <f t="array" ref="P118">INDEX(DataAll!$AU$2:$AU$555,MATCH(LOWER(Data!A118),LOWER(DataAll!$AS$2:$AS$555),0))</f>
        <v>7.04</v>
      </c>
      <c r="Q118" cm="1">
        <f t="array" ref="Q118">INDEX(DataAll!$AX$2:$AX$556,MATCH(LOWER(Data!A118),LOWER(DataAll!$AW$2:$AW$556),0))</f>
        <v>22.46</v>
      </c>
      <c r="R118" cm="1">
        <f t="array" ref="R118">INDEX('Longitude and Latitude'!$B$2:$B$579,MATCH(LOWER(Data!A118),LOWER('Longitude and Latitude'!$A$2:$A$579),0))</f>
        <v>-2.7351999999999999</v>
      </c>
      <c r="S118" cm="1">
        <f t="array" ref="S118">INDEX('Longitude and Latitude'!$C$2:$C$579,MATCH(LOWER(Data!A118),LOWER('Longitude and Latitude'!$A$2:$A$579),0))</f>
        <v>102.9015</v>
      </c>
      <c r="T118" t="b">
        <f>IF(EXACT(A118, UPPER(A118)), TRUE, FALSE)</f>
        <v>0</v>
      </c>
    </row>
    <row r="119" spans="1:20" x14ac:dyDescent="0.35">
      <c r="A119" t="s">
        <v>119</v>
      </c>
      <c r="B119">
        <v>96.52</v>
      </c>
      <c r="C119" cm="1">
        <f t="array" ref="C119">INDEX(DataAll!$E$2:$E$555,MATCH(LOWER(Data!A119),LOWER(DataAll!$D$2:$D$555),0))</f>
        <v>62.15</v>
      </c>
      <c r="D119" cm="1">
        <f t="array" ref="D119">INDEX(DataAll!$H$2:$H$579,MATCH(LOWER(Data!A119),LOWER(DataAll!$G$2:$G$555),0))</f>
        <v>0.32400000000000001</v>
      </c>
      <c r="E119" cm="1">
        <f t="array" ref="E119">INDEX(DataAll!$K$2:$K$579,MATCH(LOWER(Data!A119),LOWER(DataAll!$J$2:$J$555),0))</f>
        <v>12</v>
      </c>
      <c r="F119" cm="1">
        <f t="array" ref="F119">INDEX(DataAll!$N$2:$N$555,MATCH(LOWER(Data!A119),LOWER(DataAll!$M$2:$M$555),0))</f>
        <v>49.24</v>
      </c>
      <c r="G119" cm="1">
        <f t="array" ref="G119">INDEX(DataAll!$Q$2:$Q$555,MATCH(LOWER(Data!A119),LOWER(DataAll!$P$2:$P$555),0))</f>
        <v>4.59</v>
      </c>
      <c r="H119" cm="1">
        <f t="array" ref="H119">INDEX(DataAll!$T$2:$T$555,MATCH(LOWER(Data!A119),LOWER(DataAll!$S$2:$S$555),0))</f>
        <v>0.14799999999999999</v>
      </c>
      <c r="I119" cm="1">
        <f t="array" ref="I119">INDEX(DataAll!$W$2:$W$555,MATCH(LOWER(Data!A119),LOWER(DataAll!$V$2:$V$555),0))</f>
        <v>29.29</v>
      </c>
      <c r="J119" cm="1">
        <f t="array" ref="J119">INDEX(DataAll!$Z$2:$Z$555,MATCH(LOWER(Data!A119),LOWER(DataAll!$Y$2:$Y$555),0))</f>
        <v>2.1</v>
      </c>
      <c r="K119" cm="1">
        <f t="array" ref="K119">INDEX(DataAll!$AM$2:$AM$555,MATCH(LOWER(Data!A119),LOWER(DataAll!$AL$2:$AL$555),0))</f>
        <v>10.220000000000001</v>
      </c>
      <c r="L119" cm="1">
        <f t="array" ref="L119">INDEX(DataAll!$AJ$2:$AJ$555,MATCH(LOWER(Data!A119),LOWER(DataAll!$AI$2:$AI$555),0))</f>
        <v>15.4</v>
      </c>
      <c r="M119" cm="1">
        <f t="array" ref="M119">INDEX(DataAll!$AP$2:$AP$555,MATCH(LOWER(Data!A119),LOWER(DataAll!$AO$2:$AO$555),0))</f>
        <v>70.040000000000006</v>
      </c>
      <c r="N119" cm="1">
        <f t="array" ref="N119">INDEX(DataAll!$AQ$2:$AQ$555,MATCH(LOWER(Data!A119),LOWER(DataAll!$AO$2:$AO$555),0))</f>
        <v>74.040000000000006</v>
      </c>
      <c r="O119" cm="1">
        <f t="array" ref="O119">INDEX(DataAll!$AT$2:$AT$555,MATCH(LOWER(Data!A119),LOWER(DataAll!$AS$2:$AS$555),0))</f>
        <v>11.07</v>
      </c>
      <c r="P119" cm="1">
        <f t="array" ref="P119">INDEX(DataAll!$AU$2:$AU$555,MATCH(LOWER(Data!A119),LOWER(DataAll!$AS$2:$AS$555),0))</f>
        <v>10.68</v>
      </c>
      <c r="Q119" cm="1">
        <f t="array" ref="Q119">INDEX(DataAll!$AX$2:$AX$556,MATCH(LOWER(Data!A119),LOWER(DataAll!$AW$2:$AW$556),0))</f>
        <v>61.9</v>
      </c>
      <c r="R119" cm="1">
        <f t="array" ref="R119">INDEX('Longitude and Latitude'!$B$2:$B$579,MATCH(LOWER(Data!A119),LOWER('Longitude and Latitude'!$A$2:$A$579),0))</f>
        <v>-5.1888360000000002</v>
      </c>
      <c r="S119" cm="1">
        <f t="array" ref="S119">INDEX('Longitude and Latitude'!$C$2:$C$579,MATCH(LOWER(Data!A119),LOWER('Longitude and Latitude'!$A$2:$A$579),0))</f>
        <v>103.935852</v>
      </c>
      <c r="T119" t="b">
        <f>IF(EXACT(A119, UPPER(A119)), TRUE, FALSE)</f>
        <v>0</v>
      </c>
    </row>
    <row r="120" spans="1:20" x14ac:dyDescent="0.35">
      <c r="A120" t="s">
        <v>120</v>
      </c>
      <c r="B120">
        <v>93.72</v>
      </c>
      <c r="C120" cm="1">
        <f t="array" ref="C120">INDEX(DataAll!$E$2:$E$555,MATCH(LOWER(Data!A120),LOWER(DataAll!$D$2:$D$555),0))</f>
        <v>58.39</v>
      </c>
      <c r="D120" cm="1">
        <f t="array" ref="D120">INDEX(DataAll!$H$2:$H$579,MATCH(LOWER(Data!A120),LOWER(DataAll!$G$2:$G$555),0))</f>
        <v>0.33700000000000002</v>
      </c>
      <c r="E120" cm="1">
        <f t="array" ref="E120">INDEX(DataAll!$K$2:$K$579,MATCH(LOWER(Data!A120),LOWER(DataAll!$J$2:$J$555),0))</f>
        <v>16</v>
      </c>
      <c r="F120" cm="1">
        <f t="array" ref="F120">INDEX(DataAll!$N$2:$N$555,MATCH(LOWER(Data!A120),LOWER(DataAll!$M$2:$M$555),0))</f>
        <v>63.37</v>
      </c>
      <c r="G120" cm="1">
        <f t="array" ref="G120">INDEX(DataAll!$Q$2:$Q$555,MATCH(LOWER(Data!A120),LOWER(DataAll!$P$2:$P$555),0))</f>
        <v>8.09</v>
      </c>
      <c r="H120" cm="1">
        <f t="array" ref="H120">INDEX(DataAll!$T$2:$T$555,MATCH(LOWER(Data!A120),LOWER(DataAll!$S$2:$S$555),0))</f>
        <v>0.23799999999999999</v>
      </c>
      <c r="I120" cm="1">
        <f t="array" ref="I120">INDEX(DataAll!$W$2:$W$555,MATCH(LOWER(Data!A120),LOWER(DataAll!$V$2:$V$555),0))</f>
        <v>24.97</v>
      </c>
      <c r="J120" cm="1">
        <f t="array" ref="J120">INDEX(DataAll!$Z$2:$Z$555,MATCH(LOWER(Data!A120),LOWER(DataAll!$Y$2:$Y$555),0))</f>
        <v>2.2000000000000002</v>
      </c>
      <c r="K120" cm="1">
        <f t="array" ref="K120">INDEX(DataAll!$AM$2:$AM$555,MATCH(LOWER(Data!A120),LOWER(DataAll!$AL$2:$AL$555),0))</f>
        <v>11.23</v>
      </c>
      <c r="L120" cm="1">
        <f t="array" ref="L120">INDEX(DataAll!$AJ$2:$AJ$555,MATCH(LOWER(Data!A120),LOWER(DataAll!$AI$2:$AI$555),0))</f>
        <v>17.940000000000001</v>
      </c>
      <c r="M120" cm="1">
        <f t="array" ref="M120">INDEX(DataAll!$AP$2:$AP$555,MATCH(LOWER(Data!A120),LOWER(DataAll!$AO$2:$AO$555),0))</f>
        <v>69.33</v>
      </c>
      <c r="N120" cm="1">
        <f t="array" ref="N120">INDEX(DataAll!$AQ$2:$AQ$555,MATCH(LOWER(Data!A120),LOWER(DataAll!$AO$2:$AO$555),0))</f>
        <v>73.3</v>
      </c>
      <c r="O120" cm="1">
        <f t="array" ref="O120">INDEX(DataAll!$AT$2:$AT$555,MATCH(LOWER(Data!A120),LOWER(DataAll!$AS$2:$AS$555),0))</f>
        <v>10.64</v>
      </c>
      <c r="P120" cm="1">
        <f t="array" ref="P120">INDEX(DataAll!$AU$2:$AU$555,MATCH(LOWER(Data!A120),LOWER(DataAll!$AS$2:$AS$555),0))</f>
        <v>10.02</v>
      </c>
      <c r="Q120" cm="1">
        <f t="array" ref="Q120">INDEX(DataAll!$AX$2:$AX$556,MATCH(LOWER(Data!A120),LOWER(DataAll!$AW$2:$AW$556),0))</f>
        <v>56.69</v>
      </c>
      <c r="R120" cm="1">
        <f t="array" ref="R120">INDEX('Longitude and Latitude'!$B$2:$B$579,MATCH(LOWER(Data!A120),LOWER('Longitude and Latitude'!$A$2:$A$579),0))</f>
        <v>3</v>
      </c>
      <c r="S120" cm="1">
        <f t="array" ref="S120">INDEX('Longitude and Latitude'!$C$2:$C$579,MATCH(LOWER(Data!A120),LOWER('Longitude and Latitude'!$A$2:$A$579),0))</f>
        <v>106</v>
      </c>
      <c r="T120" t="b">
        <f>IF(EXACT(A120, UPPER(A120)), TRUE, FALSE)</f>
        <v>0</v>
      </c>
    </row>
    <row r="121" spans="1:20" x14ac:dyDescent="0.35">
      <c r="A121" t="s">
        <v>121</v>
      </c>
      <c r="B121">
        <v>95.01</v>
      </c>
      <c r="C121" cm="1">
        <f t="array" ref="C121">INDEX(DataAll!$E$2:$E$555,MATCH(LOWER(Data!A121),LOWER(DataAll!$D$2:$D$555),0))</f>
        <v>57.43</v>
      </c>
      <c r="D121" cm="1">
        <f t="array" ref="D121">INDEX(DataAll!$H$2:$H$579,MATCH(LOWER(Data!A121),LOWER(DataAll!$G$2:$G$555),0))</f>
        <v>0.47099999999999997</v>
      </c>
      <c r="E121" cm="1">
        <f t="array" ref="E121">INDEX(DataAll!$K$2:$K$579,MATCH(LOWER(Data!A121),LOWER(DataAll!$J$2:$J$555),0))</f>
        <v>16</v>
      </c>
      <c r="F121" cm="1">
        <f t="array" ref="F121">INDEX(DataAll!$N$2:$N$555,MATCH(LOWER(Data!A121),LOWER(DataAll!$M$2:$M$555),0))</f>
        <v>59.14</v>
      </c>
      <c r="G121" cm="1">
        <f t="array" ref="G121">INDEX(DataAll!$Q$2:$Q$555,MATCH(LOWER(Data!A121),LOWER(DataAll!$P$2:$P$555),0))</f>
        <v>10.23</v>
      </c>
      <c r="H121" cm="1">
        <f t="array" ref="H121">INDEX(DataAll!$T$2:$T$555,MATCH(LOWER(Data!A121),LOWER(DataAll!$S$2:$S$555),0))</f>
        <v>0.25700000000000001</v>
      </c>
      <c r="I121" cm="1">
        <f t="array" ref="I121">INDEX(DataAll!$W$2:$W$555,MATCH(LOWER(Data!A121),LOWER(DataAll!$V$2:$V$555),0))</f>
        <v>21.82</v>
      </c>
      <c r="J121" cm="1">
        <f t="array" ref="J121">INDEX(DataAll!$Z$2:$Z$555,MATCH(LOWER(Data!A121),LOWER(DataAll!$Y$2:$Y$555),0))</f>
        <v>2.2999999999999998</v>
      </c>
      <c r="K121" cm="1">
        <f t="array" ref="K121">INDEX(DataAll!$AM$2:$AM$555,MATCH(LOWER(Data!A121),LOWER(DataAll!$AL$2:$AL$555),0))</f>
        <v>8.8800000000000008</v>
      </c>
      <c r="L121" cm="1">
        <f t="array" ref="L121">INDEX(DataAll!$AJ$2:$AJ$555,MATCH(LOWER(Data!A121),LOWER(DataAll!$AI$2:$AI$555),0))</f>
        <v>24.71</v>
      </c>
      <c r="M121" cm="1">
        <f t="array" ref="M121">INDEX(DataAll!$AP$2:$AP$555,MATCH(LOWER(Data!A121),LOWER(DataAll!$AO$2:$AO$555),0))</f>
        <v>65.760000000000005</v>
      </c>
      <c r="N121" cm="1">
        <f t="array" ref="N121">INDEX(DataAll!$AQ$2:$AQ$555,MATCH(LOWER(Data!A121),LOWER(DataAll!$AO$2:$AO$555),0))</f>
        <v>69.739999999999995</v>
      </c>
      <c r="O121" cm="1">
        <f t="array" ref="O121">INDEX(DataAll!$AT$2:$AT$555,MATCH(LOWER(Data!A121),LOWER(DataAll!$AS$2:$AS$555),0))</f>
        <v>9.57</v>
      </c>
      <c r="P121" cm="1">
        <f t="array" ref="P121">INDEX(DataAll!$AU$2:$AU$555,MATCH(LOWER(Data!A121),LOWER(DataAll!$AS$2:$AS$555),0))</f>
        <v>9.3699999999999992</v>
      </c>
      <c r="Q121" cm="1">
        <f t="array" ref="Q121">INDEX(DataAll!$AX$2:$AX$556,MATCH(LOWER(Data!A121),LOWER(DataAll!$AW$2:$AW$556),0))</f>
        <v>45.06</v>
      </c>
      <c r="R121" cm="1">
        <f t="array" ref="R121">INDEX('Longitude and Latitude'!$B$2:$B$579,MATCH(LOWER(Data!A121),LOWER('Longitude and Latitude'!$A$2:$A$579),0))</f>
        <v>-7.7016549999999997</v>
      </c>
      <c r="S121" cm="1">
        <f t="array" ref="S121">INDEX('Longitude and Latitude'!$C$2:$C$579,MATCH(LOWER(Data!A121),LOWER('Longitude and Latitude'!$A$2:$A$579),0))</f>
        <v>108.49422</v>
      </c>
      <c r="T121" t="b">
        <f>IF(EXACT(A121, UPPER(A121)), TRUE, FALSE)</f>
        <v>0</v>
      </c>
    </row>
    <row r="122" spans="1:20" x14ac:dyDescent="0.35">
      <c r="A122" t="s">
        <v>122</v>
      </c>
      <c r="B122">
        <v>95.47</v>
      </c>
      <c r="C122" cm="1">
        <f t="array" ref="C122">INDEX(DataAll!$E$2:$E$555,MATCH(LOWER(Data!A122),LOWER(DataAll!$D$2:$D$555),0))</f>
        <v>65.59</v>
      </c>
      <c r="D122" cm="1">
        <f t="array" ref="D122">INDEX(DataAll!$H$2:$H$579,MATCH(LOWER(Data!A122),LOWER(DataAll!$G$2:$G$555),0))</f>
        <v>0.35199999999999998</v>
      </c>
      <c r="E122" cm="1">
        <f t="array" ref="E122">INDEX(DataAll!$K$2:$K$579,MATCH(LOWER(Data!A122),LOWER(DataAll!$J$2:$J$555),0))</f>
        <v>20</v>
      </c>
      <c r="F122" cm="1">
        <f t="array" ref="F122">INDEX(DataAll!$N$2:$N$555,MATCH(LOWER(Data!A122),LOWER(DataAll!$M$2:$M$555),0))</f>
        <v>56.27</v>
      </c>
      <c r="G122" cm="1">
        <f t="array" ref="G122">INDEX(DataAll!$Q$2:$Q$555,MATCH(LOWER(Data!A122),LOWER(DataAll!$P$2:$P$555),0))</f>
        <v>7.84</v>
      </c>
      <c r="H122" cm="1">
        <f t="array" ref="H122">INDEX(DataAll!$T$2:$T$555,MATCH(LOWER(Data!A122),LOWER(DataAll!$S$2:$S$555),0))</f>
        <v>0.28799999999999998</v>
      </c>
      <c r="I122" cm="1">
        <f t="array" ref="I122">INDEX(DataAll!$W$2:$W$555,MATCH(LOWER(Data!A122),LOWER(DataAll!$V$2:$V$555),0))</f>
        <v>27.05</v>
      </c>
      <c r="J122" cm="1">
        <f t="array" ref="J122">INDEX(DataAll!$Z$2:$Z$555,MATCH(LOWER(Data!A122),LOWER(DataAll!$Y$2:$Y$555),0))</f>
        <v>2.23</v>
      </c>
      <c r="K122" cm="1">
        <f t="array" ref="K122">INDEX(DataAll!$AM$2:$AM$555,MATCH(LOWER(Data!A122),LOWER(DataAll!$AL$2:$AL$555),0))</f>
        <v>12.65</v>
      </c>
      <c r="L122" cm="1">
        <f t="array" ref="L122">INDEX(DataAll!$AJ$2:$AJ$555,MATCH(LOWER(Data!A122),LOWER(DataAll!$AI$2:$AI$555),0))</f>
        <v>17.79</v>
      </c>
      <c r="M122" cm="1">
        <f t="array" ref="M122">INDEX(DataAll!$AP$2:$AP$555,MATCH(LOWER(Data!A122),LOWER(DataAll!$AO$2:$AO$555),0))</f>
        <v>68.33</v>
      </c>
      <c r="N122" cm="1">
        <f t="array" ref="N122">INDEX(DataAll!$AQ$2:$AQ$555,MATCH(LOWER(Data!A122),LOWER(DataAll!$AO$2:$AO$555),0))</f>
        <v>72.27</v>
      </c>
      <c r="O122" cm="1">
        <f t="array" ref="O122">INDEX(DataAll!$AT$2:$AT$555,MATCH(LOWER(Data!A122),LOWER(DataAll!$AS$2:$AS$555),0))</f>
        <v>10.31</v>
      </c>
      <c r="P122" cm="1">
        <f t="array" ref="P122">INDEX(DataAll!$AU$2:$AU$555,MATCH(LOWER(Data!A122),LOWER(DataAll!$AS$2:$AS$555),0))</f>
        <v>9.68</v>
      </c>
      <c r="Q122" cm="1">
        <f t="array" ref="Q122">INDEX(DataAll!$AX$2:$AX$556,MATCH(LOWER(Data!A122),LOWER(DataAll!$AW$2:$AW$556),0))</f>
        <v>44.09</v>
      </c>
      <c r="R122" cm="1">
        <f t="array" ref="R122">INDEX('Longitude and Latitude'!$B$2:$B$579,MATCH(LOWER(Data!A122),LOWER('Longitude and Latitude'!$A$2:$A$579),0))</f>
        <v>-8.3699999999999992</v>
      </c>
      <c r="S122" cm="1">
        <f t="array" ref="S122">INDEX('Longitude and Latitude'!$C$2:$C$579,MATCH(LOWER(Data!A122),LOWER('Longitude and Latitude'!$A$2:$A$579),0))</f>
        <v>115.52</v>
      </c>
      <c r="T122" t="b">
        <f>IF(EXACT(A122, UPPER(A122)), TRUE, FALSE)</f>
        <v>0</v>
      </c>
    </row>
    <row r="123" spans="1:20" x14ac:dyDescent="0.35">
      <c r="A123" t="s">
        <v>123</v>
      </c>
      <c r="B123">
        <v>91.57</v>
      </c>
      <c r="C123" cm="1">
        <f t="array" ref="C123">INDEX(DataAll!$E$2:$E$555,MATCH(LOWER(Data!A123),LOWER(DataAll!$D$2:$D$555),0))</f>
        <v>70.06</v>
      </c>
      <c r="D123" cm="1">
        <f t="array" ref="D123">INDEX(DataAll!$H$2:$H$579,MATCH(LOWER(Data!A123),LOWER(DataAll!$G$2:$G$555),0))</f>
        <v>0.46899999999999997</v>
      </c>
      <c r="E123" cm="1">
        <f t="array" ref="E123">INDEX(DataAll!$K$2:$K$579,MATCH(LOWER(Data!A123),LOWER(DataAll!$J$2:$J$555),0))</f>
        <v>15.56</v>
      </c>
      <c r="F123" cm="1">
        <f t="array" ref="F123">INDEX(DataAll!$N$2:$N$555,MATCH(LOWER(Data!A123),LOWER(DataAll!$M$2:$M$555),0))</f>
        <v>52.4</v>
      </c>
      <c r="G123" t="e" cm="1">
        <f t="array" ref="G123">INDEX(DataAll!$Q$2:$Q$555,MATCH(LOWER(Data!A123),LOWER(DataAll!$P$2:$P$555),0))</f>
        <v>#N/A</v>
      </c>
      <c r="H123" cm="1">
        <f t="array" ref="H123">INDEX(DataAll!$T$2:$T$555,MATCH(LOWER(Data!A123),LOWER(DataAll!$S$2:$S$555),0))</f>
        <v>0.316</v>
      </c>
      <c r="I123" cm="1">
        <f t="array" ref="I123">INDEX(DataAll!$W$2:$W$555,MATCH(LOWER(Data!A123),LOWER(DataAll!$V$2:$V$555),0))</f>
        <v>34.92</v>
      </c>
      <c r="J123" cm="1">
        <f t="array" ref="J123">INDEX(DataAll!$Z$2:$Z$555,MATCH(LOWER(Data!A123),LOWER(DataAll!$Y$2:$Y$555),0))</f>
        <v>2.2999999999999998</v>
      </c>
      <c r="K123" cm="1">
        <f t="array" ref="K123">INDEX(DataAll!$AM$2:$AM$555,MATCH(LOWER(Data!A123),LOWER(DataAll!$AL$2:$AL$555),0))</f>
        <v>14.04</v>
      </c>
      <c r="L123" cm="1">
        <f t="array" ref="L123">INDEX(DataAll!$AJ$2:$AJ$555,MATCH(LOWER(Data!A123),LOWER(DataAll!$AI$2:$AI$555),0))</f>
        <v>23.38</v>
      </c>
      <c r="M123" cm="1">
        <f t="array" ref="M123">INDEX(DataAll!$AP$2:$AP$555,MATCH(LOWER(Data!A123),LOWER(DataAll!$AO$2:$AO$555),0))</f>
        <v>67.989999999999995</v>
      </c>
      <c r="N123" cm="1">
        <f t="array" ref="N123">INDEX(DataAll!$AQ$2:$AQ$555,MATCH(LOWER(Data!A123),LOWER(DataAll!$AO$2:$AO$555),0))</f>
        <v>71.94</v>
      </c>
      <c r="O123" cm="1">
        <f t="array" ref="O123">INDEX(DataAll!$AT$2:$AT$555,MATCH(LOWER(Data!A123),LOWER(DataAll!$AS$2:$AS$555),0))</f>
        <v>9.25</v>
      </c>
      <c r="P123" cm="1">
        <f t="array" ref="P123">INDEX(DataAll!$AU$2:$AU$555,MATCH(LOWER(Data!A123),LOWER(DataAll!$AS$2:$AS$555),0))</f>
        <v>8.8000000000000007</v>
      </c>
      <c r="Q123" cm="1">
        <f t="array" ref="Q123">INDEX(DataAll!$AX$2:$AX$556,MATCH(LOWER(Data!A123),LOWER(DataAll!$AW$2:$AW$556),0))</f>
        <v>40.07</v>
      </c>
      <c r="R123" cm="1">
        <f t="array" ref="R123">INDEX('Longitude and Latitude'!$B$2:$B$579,MATCH(LOWER(Data!A123),LOWER('Longitude and Latitude'!$A$2:$A$579),0))</f>
        <v>-9.5672219999999992</v>
      </c>
      <c r="S123" cm="1">
        <f t="array" ref="S123">INDEX('Longitude and Latitude'!$C$2:$C$579,MATCH(LOWER(Data!A123),LOWER('Longitude and Latitude'!$A$2:$A$579),0))</f>
        <v>124.9075</v>
      </c>
      <c r="T123" t="b">
        <f>IF(EXACT(A123, UPPER(A123)), TRUE, FALSE)</f>
        <v>1</v>
      </c>
    </row>
    <row r="124" spans="1:20" x14ac:dyDescent="0.35">
      <c r="A124" t="s">
        <v>124</v>
      </c>
      <c r="B124">
        <v>94.74</v>
      </c>
      <c r="C124" cm="1">
        <f t="array" ref="C124">INDEX(DataAll!$E$2:$E$555,MATCH(LOWER(Data!A124),LOWER(DataAll!$D$2:$D$555),0))</f>
        <v>55.87</v>
      </c>
      <c r="D124" cm="1">
        <f t="array" ref="D124">INDEX(DataAll!$H$2:$H$579,MATCH(LOWER(Data!A124),LOWER(DataAll!$G$2:$G$555),0))</f>
        <v>0.78400000000000003</v>
      </c>
      <c r="E124" t="str" cm="1">
        <f t="array" ref="E124">INDEX(DataAll!$K$2:$K$579,MATCH(LOWER(Data!A124),LOWER(DataAll!$J$2:$J$555),0))</f>
        <v>-</v>
      </c>
      <c r="F124" cm="1">
        <f t="array" ref="F124">INDEX(DataAll!$N$2:$N$555,MATCH(LOWER(Data!A124),LOWER(DataAll!$M$2:$M$555),0))</f>
        <v>49.38</v>
      </c>
      <c r="G124" cm="1">
        <f t="array" ref="G124">INDEX(DataAll!$Q$2:$Q$555,MATCH(LOWER(Data!A124),LOWER(DataAll!$P$2:$P$555),0))</f>
        <v>9.16</v>
      </c>
      <c r="H124" cm="1">
        <f t="array" ref="H124">INDEX(DataAll!$T$2:$T$555,MATCH(LOWER(Data!A124),LOWER(DataAll!$S$2:$S$555),0))</f>
        <v>0.34399999999999997</v>
      </c>
      <c r="I124" cm="1">
        <f t="array" ref="I124">INDEX(DataAll!$W$2:$W$555,MATCH(LOWER(Data!A124),LOWER(DataAll!$V$2:$V$555),0))</f>
        <v>42.34</v>
      </c>
      <c r="J124" cm="1">
        <f t="array" ref="J124">INDEX(DataAll!$Z$2:$Z$555,MATCH(LOWER(Data!A124),LOWER(DataAll!$Y$2:$Y$555),0))</f>
        <v>2.38</v>
      </c>
      <c r="K124" cm="1">
        <f t="array" ref="K124">INDEX(DataAll!$AM$2:$AM$555,MATCH(LOWER(Data!A124),LOWER(DataAll!$AL$2:$AL$555),0))</f>
        <v>17.510000000000002</v>
      </c>
      <c r="L124" cm="1">
        <f t="array" ref="L124">INDEX(DataAll!$AJ$2:$AJ$555,MATCH(LOWER(Data!A124),LOWER(DataAll!$AI$2:$AI$555),0))</f>
        <v>23.94</v>
      </c>
      <c r="M124" cm="1">
        <f t="array" ref="M124">INDEX(DataAll!$AP$2:$AP$555,MATCH(LOWER(Data!A124),LOWER(DataAll!$AO$2:$AO$555),0))</f>
        <v>66.45</v>
      </c>
      <c r="N124" cm="1">
        <f t="array" ref="N124">INDEX(DataAll!$AQ$2:$AQ$555,MATCH(LOWER(Data!A124),LOWER(DataAll!$AO$2:$AO$555),0))</f>
        <v>70.430000000000007</v>
      </c>
      <c r="O124" cm="1">
        <f t="array" ref="O124">INDEX(DataAll!$AT$2:$AT$555,MATCH(LOWER(Data!A124),LOWER(DataAll!$AS$2:$AS$555),0))</f>
        <v>9.73</v>
      </c>
      <c r="P124" cm="1">
        <f t="array" ref="P124">INDEX(DataAll!$AU$2:$AU$555,MATCH(LOWER(Data!A124),LOWER(DataAll!$AS$2:$AS$555),0))</f>
        <v>9.19</v>
      </c>
      <c r="Q124" cm="1">
        <f t="array" ref="Q124">INDEX(DataAll!$AX$2:$AX$556,MATCH(LOWER(Data!A124),LOWER(DataAll!$AW$2:$AW$556),0))</f>
        <v>44.13</v>
      </c>
      <c r="R124" cm="1">
        <f t="array" ref="R124">INDEX('Longitude and Latitude'!$B$2:$B$579,MATCH(LOWER(Data!A124),LOWER('Longitude and Latitude'!$A$2:$A$579),0))</f>
        <v>0.5</v>
      </c>
      <c r="S124" cm="1">
        <f t="array" ref="S124">INDEX('Longitude and Latitude'!$C$2:$C$579,MATCH(LOWER(Data!A124),LOWER('Longitude and Latitude'!$A$2:$A$579),0))</f>
        <v>115.28</v>
      </c>
      <c r="T124" t="b">
        <f>IF(EXACT(A124, UPPER(A124)), TRUE, FALSE)</f>
        <v>0</v>
      </c>
    </row>
    <row r="125" spans="1:20" x14ac:dyDescent="0.35">
      <c r="A125" t="s">
        <v>125</v>
      </c>
      <c r="B125">
        <v>94.24</v>
      </c>
      <c r="C125" cm="1">
        <f t="array" ref="C125">INDEX(DataAll!$E$2:$E$555,MATCH(LOWER(Data!A125),LOWER(DataAll!$D$2:$D$555),0))</f>
        <v>63.13</v>
      </c>
      <c r="D125" cm="1">
        <f t="array" ref="D125">INDEX(DataAll!$H$2:$H$579,MATCH(LOWER(Data!A125),LOWER(DataAll!$G$2:$G$555),0))</f>
        <v>0.45</v>
      </c>
      <c r="E125" cm="1">
        <f t="array" ref="E125">INDEX(DataAll!$K$2:$K$579,MATCH(LOWER(Data!A125),LOWER(DataAll!$J$2:$J$555),0))</f>
        <v>16.670000000000002</v>
      </c>
      <c r="F125" cm="1">
        <f t="array" ref="F125">INDEX(DataAll!$N$2:$N$555,MATCH(LOWER(Data!A125),LOWER(DataAll!$M$2:$M$555),0))</f>
        <v>52.81</v>
      </c>
      <c r="G125" cm="1">
        <f t="array" ref="G125">INDEX(DataAll!$Q$2:$Q$555,MATCH(LOWER(Data!A125),LOWER(DataAll!$P$2:$P$555),0))</f>
        <v>11.66</v>
      </c>
      <c r="H125" cm="1">
        <f t="array" ref="H125">INDEX(DataAll!$T$2:$T$555,MATCH(LOWER(Data!A125),LOWER(DataAll!$S$2:$S$555),0))</f>
        <v>0.34300000000000003</v>
      </c>
      <c r="I125" cm="1">
        <f t="array" ref="I125">INDEX(DataAll!$W$2:$W$555,MATCH(LOWER(Data!A125),LOWER(DataAll!$V$2:$V$555),0))</f>
        <v>25.6</v>
      </c>
      <c r="J125" cm="1">
        <f t="array" ref="J125">INDEX(DataAll!$Z$2:$Z$555,MATCH(LOWER(Data!A125),LOWER(DataAll!$Y$2:$Y$555),0))</f>
        <v>2.16</v>
      </c>
      <c r="K125" cm="1">
        <f t="array" ref="K125">INDEX(DataAll!$AM$2:$AM$555,MATCH(LOWER(Data!A125),LOWER(DataAll!$AL$2:$AL$555),0))</f>
        <v>14.79</v>
      </c>
      <c r="L125" cm="1">
        <f t="array" ref="L125">INDEX(DataAll!$AJ$2:$AJ$555,MATCH(LOWER(Data!A125),LOWER(DataAll!$AI$2:$AI$555),0))</f>
        <v>21.5</v>
      </c>
      <c r="M125" cm="1">
        <f t="array" ref="M125">INDEX(DataAll!$AP$2:$AP$555,MATCH(LOWER(Data!A125),LOWER(DataAll!$AO$2:$AO$555),0))</f>
        <v>67.290000000000006</v>
      </c>
      <c r="N125" cm="1">
        <f t="array" ref="N125">INDEX(DataAll!$AQ$2:$AQ$555,MATCH(LOWER(Data!A125),LOWER(DataAll!$AO$2:$AO$555),0))</f>
        <v>71.25</v>
      </c>
      <c r="O125" cm="1">
        <f t="array" ref="O125">INDEX(DataAll!$AT$2:$AT$555,MATCH(LOWER(Data!A125),LOWER(DataAll!$AS$2:$AS$555),0))</f>
        <v>8.98</v>
      </c>
      <c r="P125" cm="1">
        <f t="array" ref="P125">INDEX(DataAll!$AU$2:$AU$555,MATCH(LOWER(Data!A125),LOWER(DataAll!$AS$2:$AS$555),0))</f>
        <v>8.68</v>
      </c>
      <c r="Q125" cm="1">
        <f t="array" ref="Q125">INDEX(DataAll!$AX$2:$AX$556,MATCH(LOWER(Data!A125),LOWER(DataAll!$AW$2:$AW$556),0))</f>
        <v>39.24</v>
      </c>
      <c r="R125" cm="1">
        <f t="array" ref="R125">INDEX('Longitude and Latitude'!$B$2:$B$579,MATCH(LOWER(Data!A125),LOWER('Longitude and Latitude'!$A$2:$A$579),0))</f>
        <v>-3.4548154000000002</v>
      </c>
      <c r="S125" cm="1">
        <f t="array" ref="S125">INDEX('Longitude and Latitude'!$C$2:$C$579,MATCH(LOWER(Data!A125),LOWER('Longitude and Latitude'!$A$2:$A$579),0))</f>
        <v>102.6675575</v>
      </c>
      <c r="T125" t="b">
        <f>IF(EXACT(A125, UPPER(A125)), TRUE, FALSE)</f>
        <v>0</v>
      </c>
    </row>
    <row r="126" spans="1:20" x14ac:dyDescent="0.35">
      <c r="A126" t="s">
        <v>126</v>
      </c>
      <c r="B126">
        <v>91.47</v>
      </c>
      <c r="C126" cm="1">
        <f t="array" ref="C126">INDEX(DataAll!$E$2:$E$555,MATCH(LOWER(Data!A126),LOWER(DataAll!$D$2:$D$555),0))</f>
        <v>61.88</v>
      </c>
      <c r="D126" cm="1">
        <f t="array" ref="D126">INDEX(DataAll!$H$2:$H$579,MATCH(LOWER(Data!A126),LOWER(DataAll!$G$2:$G$555),0))</f>
        <v>0.51300000000000001</v>
      </c>
      <c r="E126" cm="1">
        <f t="array" ref="E126">INDEX(DataAll!$K$2:$K$579,MATCH(LOWER(Data!A126),LOWER(DataAll!$J$2:$J$555),0))</f>
        <v>6.67</v>
      </c>
      <c r="F126" cm="1">
        <f t="array" ref="F126">INDEX(DataAll!$N$2:$N$555,MATCH(LOWER(Data!A126),LOWER(DataAll!$M$2:$M$555),0))</f>
        <v>57.38</v>
      </c>
      <c r="G126" cm="1">
        <f t="array" ref="G126">INDEX(DataAll!$Q$2:$Q$555,MATCH(LOWER(Data!A126),LOWER(DataAll!$P$2:$P$555),0))</f>
        <v>7.49</v>
      </c>
      <c r="H126" cm="1">
        <f t="array" ref="H126">INDEX(DataAll!$T$2:$T$555,MATCH(LOWER(Data!A126),LOWER(DataAll!$S$2:$S$555),0))</f>
        <v>0.251</v>
      </c>
      <c r="I126" cm="1">
        <f t="array" ref="I126">INDEX(DataAll!$W$2:$W$555,MATCH(LOWER(Data!A126),LOWER(DataAll!$V$2:$V$555),0))</f>
        <v>38.07</v>
      </c>
      <c r="J126" cm="1">
        <f t="array" ref="J126">INDEX(DataAll!$Z$2:$Z$555,MATCH(LOWER(Data!A126),LOWER(DataAll!$Y$2:$Y$555),0))</f>
        <v>2.35</v>
      </c>
      <c r="K126" cm="1">
        <f t="array" ref="K126">INDEX(DataAll!$AM$2:$AM$555,MATCH(LOWER(Data!A126),LOWER(DataAll!$AL$2:$AL$555),0))</f>
        <v>11.29</v>
      </c>
      <c r="L126" cm="1">
        <f t="array" ref="L126">INDEX(DataAll!$AJ$2:$AJ$555,MATCH(LOWER(Data!A126),LOWER(DataAll!$AI$2:$AI$555),0))</f>
        <v>23.67</v>
      </c>
      <c r="M126" cm="1">
        <f t="array" ref="M126">INDEX(DataAll!$AP$2:$AP$555,MATCH(LOWER(Data!A126),LOWER(DataAll!$AO$2:$AO$555),0))</f>
        <v>66.83</v>
      </c>
      <c r="N126" cm="1">
        <f t="array" ref="N126">INDEX(DataAll!$AQ$2:$AQ$555,MATCH(LOWER(Data!A126),LOWER(DataAll!$AO$2:$AO$555),0))</f>
        <v>70.81</v>
      </c>
      <c r="O126" cm="1">
        <f t="array" ref="O126">INDEX(DataAll!$AT$2:$AT$555,MATCH(LOWER(Data!A126),LOWER(DataAll!$AS$2:$AS$555),0))</f>
        <v>8.56</v>
      </c>
      <c r="P126" cm="1">
        <f t="array" ref="P126">INDEX(DataAll!$AU$2:$AU$555,MATCH(LOWER(Data!A126),LOWER(DataAll!$AS$2:$AS$555),0))</f>
        <v>7.73</v>
      </c>
      <c r="Q126" cm="1">
        <f t="array" ref="Q126">INDEX(DataAll!$AX$2:$AX$556,MATCH(LOWER(Data!A126),LOWER(DataAll!$AW$2:$AW$556),0))</f>
        <v>31.06</v>
      </c>
      <c r="R126" cm="1">
        <f t="array" ref="R126">INDEX('Longitude and Latitude'!$B$2:$B$579,MATCH(LOWER(Data!A126),LOWER('Longitude and Latitude'!$A$2:$A$579),0))</f>
        <v>-3.4219555000000001</v>
      </c>
      <c r="S126" cm="1">
        <f t="array" ref="S126">INDEX('Longitude and Latitude'!$C$2:$C$579,MATCH(LOWER(Data!A126),LOWER('Longitude and Latitude'!$A$2:$A$579),0))</f>
        <v>102.1632718</v>
      </c>
      <c r="T126" t="b">
        <f>IF(EXACT(A126, UPPER(A126)), TRUE, FALSE)</f>
        <v>0</v>
      </c>
    </row>
    <row r="127" spans="1:20" x14ac:dyDescent="0.35">
      <c r="A127" t="s">
        <v>127</v>
      </c>
      <c r="B127">
        <v>87.72</v>
      </c>
      <c r="C127" cm="1">
        <f t="array" ref="C127">INDEX(DataAll!$E$2:$E$555,MATCH(LOWER(Data!A127),LOWER(DataAll!$D$2:$D$555),0))</f>
        <v>62.89</v>
      </c>
      <c r="D127" cm="1">
        <f t="array" ref="D127">INDEX(DataAll!$H$2:$H$579,MATCH(LOWER(Data!A127),LOWER(DataAll!$G$2:$G$555),0))</f>
        <v>0.54700000000000004</v>
      </c>
      <c r="E127" cm="1">
        <f t="array" ref="E127">INDEX(DataAll!$K$2:$K$579,MATCH(LOWER(Data!A127),LOWER(DataAll!$J$2:$J$555),0))</f>
        <v>8</v>
      </c>
      <c r="F127" cm="1">
        <f t="array" ref="F127">INDEX(DataAll!$N$2:$N$555,MATCH(LOWER(Data!A127),LOWER(DataAll!$M$2:$M$555),0))</f>
        <v>50.68</v>
      </c>
      <c r="G127" cm="1">
        <f t="array" ref="G127">INDEX(DataAll!$Q$2:$Q$555,MATCH(LOWER(Data!A127),LOWER(DataAll!$P$2:$P$555),0))</f>
        <v>9.52</v>
      </c>
      <c r="H127" cm="1">
        <f t="array" ref="H127">INDEX(DataAll!$T$2:$T$555,MATCH(LOWER(Data!A127),LOWER(DataAll!$S$2:$S$555),0))</f>
        <v>0.40699999999999997</v>
      </c>
      <c r="I127" cm="1">
        <f t="array" ref="I127">INDEX(DataAll!$W$2:$W$555,MATCH(LOWER(Data!A127),LOWER(DataAll!$V$2:$V$555),0))</f>
        <v>37.619999999999997</v>
      </c>
      <c r="J127" cm="1">
        <f t="array" ref="J127">INDEX(DataAll!$Z$2:$Z$555,MATCH(LOWER(Data!A127),LOWER(DataAll!$Y$2:$Y$555),0))</f>
        <v>2.4700000000000002</v>
      </c>
      <c r="K127" cm="1">
        <f t="array" ref="K127">INDEX(DataAll!$AM$2:$AM$555,MATCH(LOWER(Data!A127),LOWER(DataAll!$AL$2:$AL$555),0))</f>
        <v>17.829999999999998</v>
      </c>
      <c r="L127" cm="1">
        <f t="array" ref="L127">INDEX(DataAll!$AJ$2:$AJ$555,MATCH(LOWER(Data!A127),LOWER(DataAll!$AI$2:$AI$555),0))</f>
        <v>25.25</v>
      </c>
      <c r="M127" cm="1">
        <f t="array" ref="M127">INDEX(DataAll!$AP$2:$AP$555,MATCH(LOWER(Data!A127),LOWER(DataAll!$AO$2:$AO$555),0))</f>
        <v>65.34</v>
      </c>
      <c r="N127" cm="1">
        <f t="array" ref="N127">INDEX(DataAll!$AQ$2:$AQ$555,MATCH(LOWER(Data!A127),LOWER(DataAll!$AO$2:$AO$555),0))</f>
        <v>69.3</v>
      </c>
      <c r="O127" cm="1">
        <f t="array" ref="O127">INDEX(DataAll!$AT$2:$AT$555,MATCH(LOWER(Data!A127),LOWER(DataAll!$AS$2:$AS$555),0))</f>
        <v>8.99</v>
      </c>
      <c r="P127" cm="1">
        <f t="array" ref="P127">INDEX(DataAll!$AU$2:$AU$555,MATCH(LOWER(Data!A127),LOWER(DataAll!$AS$2:$AS$555),0))</f>
        <v>8.19</v>
      </c>
      <c r="Q127" cm="1">
        <f t="array" ref="Q127">INDEX(DataAll!$AX$2:$AX$556,MATCH(LOWER(Data!A127),LOWER(DataAll!$AW$2:$AW$556),0))</f>
        <v>31.6</v>
      </c>
      <c r="R127" cm="1">
        <f t="array" ref="R127">INDEX('Longitude and Latitude'!$B$2:$B$579,MATCH(LOWER(Data!A127),LOWER('Longitude and Latitude'!$A$2:$A$579),0))</f>
        <v>-4.6792277999999996</v>
      </c>
      <c r="S127" cm="1">
        <f t="array" ref="S127">INDEX('Longitude and Latitude'!$C$2:$C$579,MATCH(LOWER(Data!A127),LOWER('Longitude and Latitude'!$A$2:$A$579),0))</f>
        <v>103.4511768</v>
      </c>
      <c r="T127" t="b">
        <f>IF(EXACT(A127, UPPER(A127)), TRUE, FALSE)</f>
        <v>0</v>
      </c>
    </row>
    <row r="128" spans="1:20" x14ac:dyDescent="0.35">
      <c r="A128" t="s">
        <v>128</v>
      </c>
      <c r="B128">
        <v>86.3</v>
      </c>
      <c r="C128" cm="1">
        <f t="array" ref="C128">INDEX(DataAll!$E$2:$E$555,MATCH(LOWER(Data!A128),LOWER(DataAll!$D$2:$D$555),0))</f>
        <v>59.07</v>
      </c>
      <c r="D128" cm="1">
        <f t="array" ref="D128">INDEX(DataAll!$H$2:$H$579,MATCH(LOWER(Data!A128),LOWER(DataAll!$G$2:$G$555),0))</f>
        <v>0.505</v>
      </c>
      <c r="E128" cm="1">
        <f t="array" ref="E128">INDEX(DataAll!$K$2:$K$579,MATCH(LOWER(Data!A128),LOWER(DataAll!$J$2:$J$555),0))</f>
        <v>6.67</v>
      </c>
      <c r="F128" cm="1">
        <f t="array" ref="F128">INDEX(DataAll!$N$2:$N$555,MATCH(LOWER(Data!A128),LOWER(DataAll!$M$2:$M$555),0))</f>
        <v>54.99</v>
      </c>
      <c r="G128" cm="1">
        <f t="array" ref="G128">INDEX(DataAll!$Q$2:$Q$555,MATCH(LOWER(Data!A128),LOWER(DataAll!$P$2:$P$555),0))</f>
        <v>9.06</v>
      </c>
      <c r="H128" cm="1">
        <f t="array" ref="H128">INDEX(DataAll!$T$2:$T$555,MATCH(LOWER(Data!A128),LOWER(DataAll!$S$2:$S$555),0))</f>
        <v>0.34699999999999998</v>
      </c>
      <c r="I128" cm="1">
        <f t="array" ref="I128">INDEX(DataAll!$W$2:$W$555,MATCH(LOWER(Data!A128),LOWER(DataAll!$V$2:$V$555),0))</f>
        <v>35.24</v>
      </c>
      <c r="J128" cm="1">
        <f t="array" ref="J128">INDEX(DataAll!$Z$2:$Z$555,MATCH(LOWER(Data!A128),LOWER(DataAll!$Y$2:$Y$555),0))</f>
        <v>2.44</v>
      </c>
      <c r="K128" cm="1">
        <f t="array" ref="K128">INDEX(DataAll!$AM$2:$AM$555,MATCH(LOWER(Data!A128),LOWER(DataAll!$AL$2:$AL$555),0))</f>
        <v>18</v>
      </c>
      <c r="L128" cm="1">
        <f t="array" ref="L128">INDEX(DataAll!$AJ$2:$AJ$555,MATCH(LOWER(Data!A128),LOWER(DataAll!$AI$2:$AI$555),0))</f>
        <v>25.4</v>
      </c>
      <c r="M128" cm="1">
        <f t="array" ref="M128">INDEX(DataAll!$AP$2:$AP$555,MATCH(LOWER(Data!A128),LOWER(DataAll!$AO$2:$AO$555),0))</f>
        <v>66.400000000000006</v>
      </c>
      <c r="N128" cm="1">
        <f t="array" ref="N128">INDEX(DataAll!$AQ$2:$AQ$555,MATCH(LOWER(Data!A128),LOWER(DataAll!$AO$2:$AO$555),0))</f>
        <v>70.38</v>
      </c>
      <c r="O128" cm="1">
        <f t="array" ref="O128">INDEX(DataAll!$AT$2:$AT$555,MATCH(LOWER(Data!A128),LOWER(DataAll!$AS$2:$AS$555),0))</f>
        <v>8.5500000000000007</v>
      </c>
      <c r="P128" cm="1">
        <f t="array" ref="P128">INDEX(DataAll!$AU$2:$AU$555,MATCH(LOWER(Data!A128),LOWER(DataAll!$AS$2:$AS$555),0))</f>
        <v>7.68</v>
      </c>
      <c r="Q128" cm="1">
        <f t="array" ref="Q128">INDEX(DataAll!$AX$2:$AX$556,MATCH(LOWER(Data!A128),LOWER(DataAll!$AW$2:$AW$556),0))</f>
        <v>29.84</v>
      </c>
      <c r="R128" cm="1">
        <f t="array" ref="R128">INDEX('Longitude and Latitude'!$B$2:$B$579,MATCH(LOWER(Data!A128),LOWER('Longitude and Latitude'!$A$2:$A$579),0))</f>
        <v>-4.0622929000000001</v>
      </c>
      <c r="S128" cm="1">
        <f t="array" ref="S128">INDEX('Longitude and Latitude'!$C$2:$C$579,MATCH(LOWER(Data!A128),LOWER('Longitude and Latitude'!$A$2:$A$579),0))</f>
        <v>102.5642261</v>
      </c>
      <c r="T128" t="b">
        <f>IF(EXACT(A128, UPPER(A128)), TRUE, FALSE)</f>
        <v>0</v>
      </c>
    </row>
    <row r="129" spans="1:20" x14ac:dyDescent="0.35">
      <c r="A129" t="s">
        <v>129</v>
      </c>
      <c r="B129">
        <v>84.87</v>
      </c>
      <c r="C129" cm="1">
        <f t="array" ref="C129">INDEX(DataAll!$E$2:$E$555,MATCH(LOWER(Data!A129),LOWER(DataAll!$D$2:$D$555),0))</f>
        <v>56.32</v>
      </c>
      <c r="D129" cm="1">
        <f t="array" ref="D129">INDEX(DataAll!$H$2:$H$579,MATCH(LOWER(Data!A129),LOWER(DataAll!$G$2:$G$555),0))</f>
        <v>0.60399999999999998</v>
      </c>
      <c r="E129" cm="1">
        <f t="array" ref="E129">INDEX(DataAll!$K$2:$K$579,MATCH(LOWER(Data!A129),LOWER(DataAll!$J$2:$J$555),0))</f>
        <v>4</v>
      </c>
      <c r="F129" cm="1">
        <f t="array" ref="F129">INDEX(DataAll!$N$2:$N$555,MATCH(LOWER(Data!A129),LOWER(DataAll!$M$2:$M$555),0))</f>
        <v>55.82</v>
      </c>
      <c r="G129" cm="1">
        <f t="array" ref="G129">INDEX(DataAll!$Q$2:$Q$555,MATCH(LOWER(Data!A129),LOWER(DataAll!$P$2:$P$555),0))</f>
        <v>4.8600000000000003</v>
      </c>
      <c r="H129" cm="1">
        <f t="array" ref="H129">INDEX(DataAll!$T$2:$T$555,MATCH(LOWER(Data!A129),LOWER(DataAll!$S$2:$S$555),0))</f>
        <v>0.39200000000000002</v>
      </c>
      <c r="I129" cm="1">
        <f t="array" ref="I129">INDEX(DataAll!$W$2:$W$555,MATCH(LOWER(Data!A129),LOWER(DataAll!$V$2:$V$555),0))</f>
        <v>32.770000000000003</v>
      </c>
      <c r="J129" cm="1">
        <f t="array" ref="J129">INDEX(DataAll!$Z$2:$Z$555,MATCH(LOWER(Data!A129),LOWER(DataAll!$Y$2:$Y$555),0))</f>
        <v>2.3199999999999998</v>
      </c>
      <c r="K129" cm="1">
        <f t="array" ref="K129">INDEX(DataAll!$AM$2:$AM$555,MATCH(LOWER(Data!A129),LOWER(DataAll!$AL$2:$AL$555),0))</f>
        <v>10.76</v>
      </c>
      <c r="L129" cm="1">
        <f t="array" ref="L129">INDEX(DataAll!$AJ$2:$AJ$555,MATCH(LOWER(Data!A129),LOWER(DataAll!$AI$2:$AI$555),0))</f>
        <v>21.28</v>
      </c>
      <c r="M129" cm="1">
        <f t="array" ref="M129">INDEX(DataAll!$AP$2:$AP$555,MATCH(LOWER(Data!A129),LOWER(DataAll!$AO$2:$AO$555),0))</f>
        <v>65.37</v>
      </c>
      <c r="N129" cm="1">
        <f t="array" ref="N129">INDEX(DataAll!$AQ$2:$AQ$555,MATCH(LOWER(Data!A129),LOWER(DataAll!$AO$2:$AO$555),0))</f>
        <v>69.33</v>
      </c>
      <c r="O129" cm="1">
        <f t="array" ref="O129">INDEX(DataAll!$AT$2:$AT$555,MATCH(LOWER(Data!A129),LOWER(DataAll!$AS$2:$AS$555),0))</f>
        <v>8.84</v>
      </c>
      <c r="P129" cm="1">
        <f t="array" ref="P129">INDEX(DataAll!$AU$2:$AU$555,MATCH(LOWER(Data!A129),LOWER(DataAll!$AS$2:$AS$555),0))</f>
        <v>8.15</v>
      </c>
      <c r="Q129" cm="1">
        <f t="array" ref="Q129">INDEX(DataAll!$AX$2:$AX$556,MATCH(LOWER(Data!A129),LOWER(DataAll!$AW$2:$AW$556),0))</f>
        <v>32.020000000000003</v>
      </c>
      <c r="R129" cm="1">
        <f t="array" ref="R129">INDEX('Longitude and Latitude'!$B$2:$B$579,MATCH(LOWER(Data!A129),LOWER('Longitude and Latitude'!$A$2:$A$579),0))</f>
        <v>-2.5760003</v>
      </c>
      <c r="S129" cm="1">
        <f t="array" ref="S129">INDEX('Longitude and Latitude'!$C$2:$C$579,MATCH(LOWER(Data!A129),LOWER('Longitude and Latitude'!$A$2:$A$579),0))</f>
        <v>101.1169805</v>
      </c>
      <c r="T129" t="b">
        <f>IF(EXACT(A129, UPPER(A129)), TRUE, FALSE)</f>
        <v>0</v>
      </c>
    </row>
    <row r="130" spans="1:20" x14ac:dyDescent="0.35">
      <c r="A130" t="s">
        <v>130</v>
      </c>
      <c r="B130">
        <v>92.06</v>
      </c>
      <c r="C130" cm="1">
        <f t="array" ref="C130">INDEX(DataAll!$E$2:$E$555,MATCH(LOWER(Data!A130),LOWER(DataAll!$D$2:$D$555),0))</f>
        <v>74.25</v>
      </c>
      <c r="D130" cm="1">
        <f t="array" ref="D130">INDEX(DataAll!$H$2:$H$579,MATCH(LOWER(Data!A130),LOWER(DataAll!$G$2:$G$555),0))</f>
        <v>0.52</v>
      </c>
      <c r="E130" cm="1">
        <f t="array" ref="E130">INDEX(DataAll!$K$2:$K$579,MATCH(LOWER(Data!A130),LOWER(DataAll!$J$2:$J$555),0))</f>
        <v>20</v>
      </c>
      <c r="F130" cm="1">
        <f t="array" ref="F130">INDEX(DataAll!$N$2:$N$555,MATCH(LOWER(Data!A130),LOWER(DataAll!$M$2:$M$555),0))</f>
        <v>57.18</v>
      </c>
      <c r="G130" cm="1">
        <f t="array" ref="G130">INDEX(DataAll!$Q$2:$Q$555,MATCH(LOWER(Data!A130),LOWER(DataAll!$P$2:$P$555),0))</f>
        <v>9.94</v>
      </c>
      <c r="H130" cm="1">
        <f t="array" ref="H130">INDEX(DataAll!$T$2:$T$555,MATCH(LOWER(Data!A130),LOWER(DataAll!$S$2:$S$555),0))</f>
        <v>0.36299999999999999</v>
      </c>
      <c r="I130" cm="1">
        <f t="array" ref="I130">INDEX(DataAll!$W$2:$W$555,MATCH(LOWER(Data!A130),LOWER(DataAll!$V$2:$V$555),0))</f>
        <v>38.1</v>
      </c>
      <c r="J130" cm="1">
        <f t="array" ref="J130">INDEX(DataAll!$Z$2:$Z$555,MATCH(LOWER(Data!A130),LOWER(DataAll!$Y$2:$Y$555),0))</f>
        <v>2.42</v>
      </c>
      <c r="K130" cm="1">
        <f t="array" ref="K130">INDEX(DataAll!$AM$2:$AM$555,MATCH(LOWER(Data!A130),LOWER(DataAll!$AL$2:$AL$555),0))</f>
        <v>11.15</v>
      </c>
      <c r="L130" cm="1">
        <f t="array" ref="L130">INDEX(DataAll!$AJ$2:$AJ$555,MATCH(LOWER(Data!A130),LOWER(DataAll!$AI$2:$AI$555),0))</f>
        <v>26.16</v>
      </c>
      <c r="M130" cm="1">
        <f t="array" ref="M130">INDEX(DataAll!$AP$2:$AP$555,MATCH(LOWER(Data!A130),LOWER(DataAll!$AO$2:$AO$555),0))</f>
        <v>62.07</v>
      </c>
      <c r="N130" cm="1">
        <f t="array" ref="N130">INDEX(DataAll!$AQ$2:$AQ$555,MATCH(LOWER(Data!A130),LOWER(DataAll!$AO$2:$AO$555),0))</f>
        <v>65.88</v>
      </c>
      <c r="O130" cm="1">
        <f t="array" ref="O130">INDEX(DataAll!$AT$2:$AT$555,MATCH(LOWER(Data!A130),LOWER(DataAll!$AS$2:$AS$555),0))</f>
        <v>8.57</v>
      </c>
      <c r="P130" cm="1">
        <f t="array" ref="P130">INDEX(DataAll!$AU$2:$AU$555,MATCH(LOWER(Data!A130),LOWER(DataAll!$AS$2:$AS$555),0))</f>
        <v>8.1199999999999992</v>
      </c>
      <c r="Q130" cm="1">
        <f t="array" ref="Q130">INDEX(DataAll!$AX$2:$AX$556,MATCH(LOWER(Data!A130),LOWER(DataAll!$AW$2:$AW$556),0))</f>
        <v>31.21</v>
      </c>
      <c r="R130" cm="1">
        <f t="array" ref="R130">INDEX('Longitude and Latitude'!$B$2:$B$579,MATCH(LOWER(Data!A130),LOWER('Longitude and Latitude'!$A$2:$A$579),0))</f>
        <v>-2.9926170000000001</v>
      </c>
      <c r="S130" cm="1">
        <f t="array" ref="S130">INDEX('Longitude and Latitude'!$C$2:$C$579,MATCH(LOWER(Data!A130),LOWER('Longitude and Latitude'!$A$2:$A$579),0))</f>
        <v>104.38220200000001</v>
      </c>
      <c r="T130" t="b">
        <f>IF(EXACT(A130, UPPER(A130)), TRUE, FALSE)</f>
        <v>0</v>
      </c>
    </row>
    <row r="131" spans="1:20" x14ac:dyDescent="0.35">
      <c r="A131" t="s">
        <v>131</v>
      </c>
      <c r="B131">
        <v>96.01</v>
      </c>
      <c r="C131" cm="1">
        <f t="array" ref="C131">INDEX(DataAll!$E$2:$E$555,MATCH(LOWER(Data!A131),LOWER(DataAll!$D$2:$D$555),0))</f>
        <v>66.41</v>
      </c>
      <c r="D131" cm="1">
        <f t="array" ref="D131">INDEX(DataAll!$H$2:$H$579,MATCH(LOWER(Data!A131),LOWER(DataAll!$G$2:$G$555),0))</f>
        <v>0.51500000000000001</v>
      </c>
      <c r="E131" cm="1">
        <f t="array" ref="E131">INDEX(DataAll!$K$2:$K$579,MATCH(LOWER(Data!A131),LOWER(DataAll!$J$2:$J$555),0))</f>
        <v>12</v>
      </c>
      <c r="F131" cm="1">
        <f t="array" ref="F131">INDEX(DataAll!$N$2:$N$555,MATCH(LOWER(Data!A131),LOWER(DataAll!$M$2:$M$555),0))</f>
        <v>56.27</v>
      </c>
      <c r="G131" cm="1">
        <f t="array" ref="G131">INDEX(DataAll!$Q$2:$Q$555,MATCH(LOWER(Data!A131),LOWER(DataAll!$P$2:$P$555),0))</f>
        <v>13.17</v>
      </c>
      <c r="H131" cm="1">
        <f t="array" ref="H131">INDEX(DataAll!$T$2:$T$555,MATCH(LOWER(Data!A131),LOWER(DataAll!$S$2:$S$555),0))</f>
        <v>0.35</v>
      </c>
      <c r="I131" cm="1">
        <f t="array" ref="I131">INDEX(DataAll!$W$2:$W$555,MATCH(LOWER(Data!A131),LOWER(DataAll!$V$2:$V$555),0))</f>
        <v>34.96</v>
      </c>
      <c r="J131" cm="1">
        <f t="array" ref="J131">INDEX(DataAll!$Z$2:$Z$555,MATCH(LOWER(Data!A131),LOWER(DataAll!$Y$2:$Y$555),0))</f>
        <v>2.1800000000000002</v>
      </c>
      <c r="K131" cm="1">
        <f t="array" ref="K131">INDEX(DataAll!$AM$2:$AM$555,MATCH(LOWER(Data!A131),LOWER(DataAll!$AL$2:$AL$555),0))</f>
        <v>14.12</v>
      </c>
      <c r="L131" cm="1">
        <f t="array" ref="L131">INDEX(DataAll!$AJ$2:$AJ$555,MATCH(LOWER(Data!A131),LOWER(DataAll!$AI$2:$AI$555),0))</f>
        <v>26.95</v>
      </c>
      <c r="M131" cm="1">
        <f t="array" ref="M131">INDEX(DataAll!$AP$2:$AP$555,MATCH(LOWER(Data!A131),LOWER(DataAll!$AO$2:$AO$555),0))</f>
        <v>66.52</v>
      </c>
      <c r="N131" cm="1">
        <f t="array" ref="N131">INDEX(DataAll!$AQ$2:$AQ$555,MATCH(LOWER(Data!A131),LOWER(DataAll!$AO$2:$AO$555),0))</f>
        <v>70.5</v>
      </c>
      <c r="O131" cm="1">
        <f t="array" ref="O131">INDEX(DataAll!$AT$2:$AT$555,MATCH(LOWER(Data!A131),LOWER(DataAll!$AS$2:$AS$555),0))</f>
        <v>8.7100000000000009</v>
      </c>
      <c r="P131" cm="1">
        <f t="array" ref="P131">INDEX(DataAll!$AU$2:$AU$555,MATCH(LOWER(Data!A131),LOWER(DataAll!$AS$2:$AS$555),0))</f>
        <v>8.1199999999999992</v>
      </c>
      <c r="Q131" cm="1">
        <f t="array" ref="Q131">INDEX(DataAll!$AX$2:$AX$556,MATCH(LOWER(Data!A131),LOWER(DataAll!$AW$2:$AW$556),0))</f>
        <v>33.119999999999997</v>
      </c>
      <c r="R131" cm="1">
        <f t="array" ref="R131">INDEX('Longitude and Latitude'!$B$2:$B$579,MATCH(LOWER(Data!A131),LOWER('Longitude and Latitude'!$A$2:$A$579),0))</f>
        <v>-3.6514310000000001</v>
      </c>
      <c r="S131" cm="1">
        <f t="array" ref="S131">INDEX('Longitude and Latitude'!$C$2:$C$579,MATCH(LOWER(Data!A131),LOWER('Longitude and Latitude'!$A$2:$A$579),0))</f>
        <v>102.57820100000001</v>
      </c>
      <c r="T131" t="b">
        <f>IF(EXACT(A131, UPPER(A131)), TRUE, FALSE)</f>
        <v>0</v>
      </c>
    </row>
    <row r="132" spans="1:20" x14ac:dyDescent="0.35">
      <c r="A132" t="s">
        <v>132</v>
      </c>
      <c r="B132">
        <v>87.25</v>
      </c>
      <c r="C132" cm="1">
        <f t="array" ref="C132">INDEX(DataAll!$E$2:$E$555,MATCH(LOWER(Data!A132),LOWER(DataAll!$D$2:$D$555),0))</f>
        <v>74.930000000000007</v>
      </c>
      <c r="D132" cm="1">
        <f t="array" ref="D132">INDEX(DataAll!$H$2:$H$579,MATCH(LOWER(Data!A132),LOWER(DataAll!$G$2:$G$555),0))</f>
        <v>0.52400000000000002</v>
      </c>
      <c r="E132" cm="1">
        <f t="array" ref="E132">INDEX(DataAll!$K$2:$K$579,MATCH(LOWER(Data!A132),LOWER(DataAll!$J$2:$J$555),0))</f>
        <v>20</v>
      </c>
      <c r="F132" cm="1">
        <f t="array" ref="F132">INDEX(DataAll!$N$2:$N$555,MATCH(LOWER(Data!A132),LOWER(DataAll!$M$2:$M$555),0))</f>
        <v>50.96</v>
      </c>
      <c r="G132" cm="1">
        <f t="array" ref="G132">INDEX(DataAll!$Q$2:$Q$555,MATCH(LOWER(Data!A132),LOWER(DataAll!$P$2:$P$555),0))</f>
        <v>7.89</v>
      </c>
      <c r="H132" cm="1">
        <f t="array" ref="H132">INDEX(DataAll!$T$2:$T$555,MATCH(LOWER(Data!A132),LOWER(DataAll!$S$2:$S$555),0))</f>
        <v>0.39</v>
      </c>
      <c r="I132" cm="1">
        <f t="array" ref="I132">INDEX(DataAll!$W$2:$W$555,MATCH(LOWER(Data!A132),LOWER(DataAll!$V$2:$V$555),0))</f>
        <v>43.16</v>
      </c>
      <c r="J132" cm="1">
        <f t="array" ref="J132">INDEX(DataAll!$Z$2:$Z$555,MATCH(LOWER(Data!A132),LOWER(DataAll!$Y$2:$Y$555),0))</f>
        <v>2.35</v>
      </c>
      <c r="K132" cm="1">
        <f t="array" ref="K132">INDEX(DataAll!$AM$2:$AM$555,MATCH(LOWER(Data!A132),LOWER(DataAll!$AL$2:$AL$555),0))</f>
        <v>9.4</v>
      </c>
      <c r="L132" cm="1">
        <f t="array" ref="L132">INDEX(DataAll!$AJ$2:$AJ$555,MATCH(LOWER(Data!A132),LOWER(DataAll!$AI$2:$AI$555),0))</f>
        <v>25.22</v>
      </c>
      <c r="M132" cm="1">
        <f t="array" ref="M132">INDEX(DataAll!$AP$2:$AP$555,MATCH(LOWER(Data!A132),LOWER(DataAll!$AO$2:$AO$555),0))</f>
        <v>66.58</v>
      </c>
      <c r="N132" cm="1">
        <f t="array" ref="N132">INDEX(DataAll!$AQ$2:$AQ$555,MATCH(LOWER(Data!A132),LOWER(DataAll!$AO$2:$AO$555),0))</f>
        <v>70.56</v>
      </c>
      <c r="O132" cm="1">
        <f t="array" ref="O132">INDEX(DataAll!$AT$2:$AT$555,MATCH(LOWER(Data!A132),LOWER(DataAll!$AS$2:$AS$555),0))</f>
        <v>8.07</v>
      </c>
      <c r="P132" cm="1">
        <f t="array" ref="P132">INDEX(DataAll!$AU$2:$AU$555,MATCH(LOWER(Data!A132),LOWER(DataAll!$AS$2:$AS$555),0))</f>
        <v>6.93</v>
      </c>
      <c r="Q132" cm="1">
        <f t="array" ref="Q132">INDEX(DataAll!$AX$2:$AX$556,MATCH(LOWER(Data!A132),LOWER(DataAll!$AW$2:$AW$556),0))</f>
        <v>30.29</v>
      </c>
      <c r="R132" cm="1">
        <f t="array" ref="R132">INDEX('Longitude and Latitude'!$B$2:$B$579,MATCH(LOWER(Data!A132),LOWER('Longitude and Latitude'!$A$2:$A$579),0))</f>
        <v>-3.7955556000000001</v>
      </c>
      <c r="S132" cm="1">
        <f t="array" ref="S132">INDEX('Longitude and Latitude'!$C$2:$C$579,MATCH(LOWER(Data!A132),LOWER('Longitude and Latitude'!$A$2:$A$579),0))</f>
        <v>102.25916669999999</v>
      </c>
      <c r="T132" t="b">
        <f>IF(EXACT(A132, UPPER(A132)), TRUE, FALSE)</f>
        <v>0</v>
      </c>
    </row>
    <row r="133" spans="1:20" x14ac:dyDescent="0.35">
      <c r="A133" t="s">
        <v>133</v>
      </c>
      <c r="B133">
        <v>96.12</v>
      </c>
      <c r="C133" cm="1">
        <f t="array" ref="C133">INDEX(DataAll!$E$2:$E$555,MATCH(LOWER(Data!A133),LOWER(DataAll!$D$2:$D$555),0))</f>
        <v>75.94</v>
      </c>
      <c r="D133" cm="1">
        <f t="array" ref="D133">INDEX(DataAll!$H$2:$H$579,MATCH(LOWER(Data!A133),LOWER(DataAll!$G$2:$G$555),0))</f>
        <v>0.31900000000000001</v>
      </c>
      <c r="E133" cm="1">
        <f t="array" ref="E133">INDEX(DataAll!$K$2:$K$579,MATCH(LOWER(Data!A133),LOWER(DataAll!$J$2:$J$555),0))</f>
        <v>22.86</v>
      </c>
      <c r="F133" cm="1">
        <f t="array" ref="F133">INDEX(DataAll!$N$2:$N$555,MATCH(LOWER(Data!A133),LOWER(DataAll!$M$2:$M$555),0))</f>
        <v>48.83</v>
      </c>
      <c r="G133" cm="1">
        <f t="array" ref="G133">INDEX(DataAll!$Q$2:$Q$555,MATCH(LOWER(Data!A133),LOWER(DataAll!$P$2:$P$555),0))</f>
        <v>9.81</v>
      </c>
      <c r="H133" cm="1">
        <f t="array" ref="H133">INDEX(DataAll!$T$2:$T$555,MATCH(LOWER(Data!A133),LOWER(DataAll!$S$2:$S$555),0))</f>
        <v>0.19400000000000001</v>
      </c>
      <c r="I133" cm="1">
        <f t="array" ref="I133">INDEX(DataAll!$W$2:$W$555,MATCH(LOWER(Data!A133),LOWER(DataAll!$V$2:$V$555),0))</f>
        <v>33.99</v>
      </c>
      <c r="J133" cm="1">
        <f t="array" ref="J133">INDEX(DataAll!$Z$2:$Z$555,MATCH(LOWER(Data!A133),LOWER(DataAll!$Y$2:$Y$555),0))</f>
        <v>2.15</v>
      </c>
      <c r="K133" cm="1">
        <f t="array" ref="K133">INDEX(DataAll!$AM$2:$AM$555,MATCH(LOWER(Data!A133),LOWER(DataAll!$AL$2:$AL$555),0))</f>
        <v>14.71</v>
      </c>
      <c r="L133" cm="1">
        <f t="array" ref="L133">INDEX(DataAll!$AJ$2:$AJ$555,MATCH(LOWER(Data!A133),LOWER(DataAll!$AI$2:$AI$555),0))</f>
        <v>18.079999999999998</v>
      </c>
      <c r="M133" cm="1">
        <f t="array" ref="M133">INDEX(DataAll!$AP$2:$AP$555,MATCH(LOWER(Data!A133),LOWER(DataAll!$AO$2:$AO$555),0))</f>
        <v>68.81</v>
      </c>
      <c r="N133" cm="1">
        <f t="array" ref="N133">INDEX(DataAll!$AQ$2:$AQ$555,MATCH(LOWER(Data!A133),LOWER(DataAll!$AO$2:$AO$555),0))</f>
        <v>72.760000000000005</v>
      </c>
      <c r="O133" cm="1">
        <f t="array" ref="O133">INDEX(DataAll!$AT$2:$AT$555,MATCH(LOWER(Data!A133),LOWER(DataAll!$AS$2:$AS$555),0))</f>
        <v>12.12</v>
      </c>
      <c r="P133" cm="1">
        <f t="array" ref="P133">INDEX(DataAll!$AU$2:$AU$555,MATCH(LOWER(Data!A133),LOWER(DataAll!$AS$2:$AS$555),0))</f>
        <v>11.82</v>
      </c>
      <c r="Q133" cm="1">
        <f t="array" ref="Q133">INDEX(DataAll!$AX$2:$AX$556,MATCH(LOWER(Data!A133),LOWER(DataAll!$AW$2:$AW$556),0))</f>
        <v>67.849999999999994</v>
      </c>
      <c r="R133" cm="1">
        <f t="array" ref="R133">INDEX('Longitude and Latitude'!$B$2:$B$579,MATCH(LOWER(Data!A133),LOWER('Longitude and Latitude'!$A$2:$A$579),0))</f>
        <v>-3.7955556000000001</v>
      </c>
      <c r="S133" cm="1">
        <f t="array" ref="S133">INDEX('Longitude and Latitude'!$C$2:$C$579,MATCH(LOWER(Data!A133),LOWER('Longitude and Latitude'!$A$2:$A$579),0))</f>
        <v>102.25916669999999</v>
      </c>
      <c r="T133" t="b">
        <f>IF(EXACT(A133, UPPER(A133)), TRUE, FALSE)</f>
        <v>0</v>
      </c>
    </row>
    <row r="134" spans="1:20" x14ac:dyDescent="0.35">
      <c r="A134" t="s">
        <v>134</v>
      </c>
      <c r="B134">
        <v>90.75</v>
      </c>
      <c r="C134" cm="1">
        <f t="array" ref="C134">INDEX(DataAll!$E$2:$E$555,MATCH(LOWER(Data!A134),LOWER(DataAll!$D$2:$D$555),0))</f>
        <v>68.16</v>
      </c>
      <c r="D134" cm="1">
        <f t="array" ref="D134">INDEX(DataAll!$H$2:$H$579,MATCH(LOWER(Data!A134),LOWER(DataAll!$G$2:$G$555),0))</f>
        <v>0.437</v>
      </c>
      <c r="E134" cm="1">
        <f t="array" ref="E134">INDEX(DataAll!$K$2:$K$579,MATCH(LOWER(Data!A134),LOWER(DataAll!$J$2:$J$555),0))</f>
        <v>18.82</v>
      </c>
      <c r="F134" cm="1">
        <f t="array" ref="F134">INDEX(DataAll!$N$2:$N$555,MATCH(LOWER(Data!A134),LOWER(DataAll!$M$2:$M$555),0))</f>
        <v>53.25</v>
      </c>
      <c r="G134" t="e" cm="1">
        <f t="array" ref="G134">INDEX(DataAll!$Q$2:$Q$555,MATCH(LOWER(Data!A134),LOWER(DataAll!$P$2:$P$555),0))</f>
        <v>#N/A</v>
      </c>
      <c r="H134" cm="1">
        <f t="array" ref="H134">INDEX(DataAll!$T$2:$T$555,MATCH(LOWER(Data!A134),LOWER(DataAll!$S$2:$S$555),0))</f>
        <v>0.26</v>
      </c>
      <c r="I134" cm="1">
        <f t="array" ref="I134">INDEX(DataAll!$W$2:$W$555,MATCH(LOWER(Data!A134),LOWER(DataAll!$V$2:$V$555),0))</f>
        <v>29.03</v>
      </c>
      <c r="J134" cm="1">
        <f t="array" ref="J134">INDEX(DataAll!$Z$2:$Z$555,MATCH(LOWER(Data!A134),LOWER(DataAll!$Y$2:$Y$555),0))</f>
        <v>2.2799999999999998</v>
      </c>
      <c r="K134" cm="1">
        <f t="array" ref="K134">INDEX(DataAll!$AM$2:$AM$555,MATCH(LOWER(Data!A134),LOWER(DataAll!$AL$2:$AL$555),0))</f>
        <v>11.11</v>
      </c>
      <c r="L134" cm="1">
        <f t="array" ref="L134">INDEX(DataAll!$AJ$2:$AJ$555,MATCH(LOWER(Data!A134),LOWER(DataAll!$AI$2:$AI$555),0))</f>
        <v>18.3</v>
      </c>
      <c r="M134" cm="1">
        <f t="array" ref="M134">INDEX(DataAll!$AP$2:$AP$555,MATCH(LOWER(Data!A134),LOWER(DataAll!$AO$2:$AO$555),0))</f>
        <v>69.31</v>
      </c>
      <c r="N134" cm="1">
        <f t="array" ref="N134">INDEX(DataAll!$AQ$2:$AQ$555,MATCH(LOWER(Data!A134),LOWER(DataAll!$AO$2:$AO$555),0))</f>
        <v>73.28</v>
      </c>
      <c r="O134" cm="1">
        <f t="array" ref="O134">INDEX(DataAll!$AT$2:$AT$555,MATCH(LOWER(Data!A134),LOWER(DataAll!$AS$2:$AS$555),0))</f>
        <v>8.57</v>
      </c>
      <c r="P134" cm="1">
        <f t="array" ref="P134">INDEX(DataAll!$AU$2:$AU$555,MATCH(LOWER(Data!A134),LOWER(DataAll!$AS$2:$AS$555),0))</f>
        <v>8</v>
      </c>
      <c r="Q134" cm="1">
        <f t="array" ref="Q134">INDEX(DataAll!$AX$2:$AX$556,MATCH(LOWER(Data!A134),LOWER(DataAll!$AW$2:$AW$556),0))</f>
        <v>32.119999999999997</v>
      </c>
      <c r="R134" cm="1">
        <f t="array" ref="R134">INDEX('Longitude and Latitude'!$B$2:$B$579,MATCH(LOWER(Data!A134),LOWER('Longitude and Latitude'!$A$2:$A$579),0))</f>
        <v>-4.5585848999999996</v>
      </c>
      <c r="S134" cm="1">
        <f t="array" ref="S134">INDEX('Longitude and Latitude'!$C$2:$C$579,MATCH(LOWER(Data!A134),LOWER('Longitude and Latitude'!$A$2:$A$579),0))</f>
        <v>105.4068079</v>
      </c>
      <c r="T134" t="b">
        <f>IF(EXACT(A134, UPPER(A134)), TRUE, FALSE)</f>
        <v>1</v>
      </c>
    </row>
    <row r="135" spans="1:20" x14ac:dyDescent="0.35">
      <c r="A135" t="s">
        <v>135</v>
      </c>
      <c r="B135">
        <v>93.47</v>
      </c>
      <c r="C135" cm="1">
        <f t="array" ref="C135">INDEX(DataAll!$E$2:$E$555,MATCH(LOWER(Data!A135),LOWER(DataAll!$D$2:$D$555),0))</f>
        <v>68.61</v>
      </c>
      <c r="D135" cm="1">
        <f t="array" ref="D135">INDEX(DataAll!$H$2:$H$579,MATCH(LOWER(Data!A135),LOWER(DataAll!$G$2:$G$555),0))</f>
        <v>0.46800000000000003</v>
      </c>
      <c r="E135" cm="1">
        <f t="array" ref="E135">INDEX(DataAll!$K$2:$K$579,MATCH(LOWER(Data!A135),LOWER(DataAll!$J$2:$J$555),0))</f>
        <v>17.14</v>
      </c>
      <c r="F135" cm="1">
        <f t="array" ref="F135">INDEX(DataAll!$N$2:$N$555,MATCH(LOWER(Data!A135),LOWER(DataAll!$M$2:$M$555),0))</f>
        <v>57.47</v>
      </c>
      <c r="G135" cm="1">
        <f t="array" ref="G135">INDEX(DataAll!$Q$2:$Q$555,MATCH(LOWER(Data!A135),LOWER(DataAll!$P$2:$P$555),0))</f>
        <v>8.5</v>
      </c>
      <c r="H135" cm="1">
        <f t="array" ref="H135">INDEX(DataAll!$T$2:$T$555,MATCH(LOWER(Data!A135),LOWER(DataAll!$S$2:$S$555),0))</f>
        <v>0.32500000000000001</v>
      </c>
      <c r="I135" cm="1">
        <f t="array" ref="I135">INDEX(DataAll!$W$2:$W$555,MATCH(LOWER(Data!A135),LOWER(DataAll!$V$2:$V$555),0))</f>
        <v>32.56</v>
      </c>
      <c r="J135" cm="1">
        <f t="array" ref="J135">INDEX(DataAll!$Z$2:$Z$555,MATCH(LOWER(Data!A135),LOWER(DataAll!$Y$2:$Y$555),0))</f>
        <v>2.5099999999999998</v>
      </c>
      <c r="K135" cm="1">
        <f t="array" ref="K135">INDEX(DataAll!$AM$2:$AM$555,MATCH(LOWER(Data!A135),LOWER(DataAll!$AL$2:$AL$555),0))</f>
        <v>11.17</v>
      </c>
      <c r="L135" cm="1">
        <f t="array" ref="L135">INDEX(DataAll!$AJ$2:$AJ$555,MATCH(LOWER(Data!A135),LOWER(DataAll!$AI$2:$AI$555),0))</f>
        <v>19.329999999999998</v>
      </c>
      <c r="M135" cm="1">
        <f t="array" ref="M135">INDEX(DataAll!$AP$2:$AP$555,MATCH(LOWER(Data!A135),LOWER(DataAll!$AO$2:$AO$555),0))</f>
        <v>66.19</v>
      </c>
      <c r="N135" cm="1">
        <f t="array" ref="N135">INDEX(DataAll!$AQ$2:$AQ$555,MATCH(LOWER(Data!A135),LOWER(DataAll!$AO$2:$AO$555),0))</f>
        <v>70.17</v>
      </c>
      <c r="O135" cm="1">
        <f t="array" ref="O135">INDEX(DataAll!$AT$2:$AT$555,MATCH(LOWER(Data!A135),LOWER(DataAll!$AS$2:$AS$555),0))</f>
        <v>8.5299999999999994</v>
      </c>
      <c r="P135" cm="1">
        <f t="array" ref="P135">INDEX(DataAll!$AU$2:$AU$555,MATCH(LOWER(Data!A135),LOWER(DataAll!$AS$2:$AS$555),0))</f>
        <v>8.16</v>
      </c>
      <c r="Q135" cm="1">
        <f t="array" ref="Q135">INDEX(DataAll!$AX$2:$AX$556,MATCH(LOWER(Data!A135),LOWER(DataAll!$AW$2:$AW$556),0))</f>
        <v>32.9</v>
      </c>
      <c r="R135" cm="1">
        <f t="array" ref="R135">INDEX('Longitude and Latitude'!$B$2:$B$579,MATCH(LOWER(Data!A135),LOWER('Longitude and Latitude'!$A$2:$A$579),0))</f>
        <v>-5.1490396</v>
      </c>
      <c r="S135" cm="1">
        <f t="array" ref="S135">INDEX('Longitude and Latitude'!$C$2:$C$579,MATCH(LOWER(Data!A135),LOWER('Longitude and Latitude'!$A$2:$A$579),0))</f>
        <v>104.1930918</v>
      </c>
      <c r="T135" t="b">
        <f>IF(EXACT(A135, UPPER(A135)), TRUE, FALSE)</f>
        <v>0</v>
      </c>
    </row>
    <row r="136" spans="1:20" x14ac:dyDescent="0.35">
      <c r="A136" t="s">
        <v>136</v>
      </c>
      <c r="B136">
        <v>91.27</v>
      </c>
      <c r="C136" cm="1">
        <f t="array" ref="C136">INDEX(DataAll!$E$2:$E$555,MATCH(LOWER(Data!A136),LOWER(DataAll!$D$2:$D$555),0))</f>
        <v>55.97</v>
      </c>
      <c r="D136" cm="1">
        <f t="array" ref="D136">INDEX(DataAll!$H$2:$H$579,MATCH(LOWER(Data!A136),LOWER(DataAll!$G$2:$G$555),0))</f>
        <v>0.53200000000000003</v>
      </c>
      <c r="E136" cm="1">
        <f t="array" ref="E136">INDEX(DataAll!$K$2:$K$579,MATCH(LOWER(Data!A136),LOWER(DataAll!$J$2:$J$555),0))</f>
        <v>6.67</v>
      </c>
      <c r="F136" cm="1">
        <f t="array" ref="F136">INDEX(DataAll!$N$2:$N$555,MATCH(LOWER(Data!A136),LOWER(DataAll!$M$2:$M$555),0))</f>
        <v>58.49</v>
      </c>
      <c r="G136" cm="1">
        <f t="array" ref="G136">INDEX(DataAll!$Q$2:$Q$555,MATCH(LOWER(Data!A136),LOWER(DataAll!$P$2:$P$555),0))</f>
        <v>9.19</v>
      </c>
      <c r="H136" cm="1">
        <f t="array" ref="H136">INDEX(DataAll!$T$2:$T$555,MATCH(LOWER(Data!A136),LOWER(DataAll!$S$2:$S$555),0))</f>
        <v>0.255</v>
      </c>
      <c r="I136" cm="1">
        <f t="array" ref="I136">INDEX(DataAll!$W$2:$W$555,MATCH(LOWER(Data!A136),LOWER(DataAll!$V$2:$V$555),0))</f>
        <v>29.05</v>
      </c>
      <c r="J136" cm="1">
        <f t="array" ref="J136">INDEX(DataAll!$Z$2:$Z$555,MATCH(LOWER(Data!A136),LOWER(DataAll!$Y$2:$Y$555),0))</f>
        <v>2.37</v>
      </c>
      <c r="K136" cm="1">
        <f t="array" ref="K136">INDEX(DataAll!$AM$2:$AM$555,MATCH(LOWER(Data!A136),LOWER(DataAll!$AL$2:$AL$555),0))</f>
        <v>10.52</v>
      </c>
      <c r="L136" cm="1">
        <f t="array" ref="L136">INDEX(DataAll!$AJ$2:$AJ$555,MATCH(LOWER(Data!A136),LOWER(DataAll!$AI$2:$AI$555),0))</f>
        <v>19.399999999999999</v>
      </c>
      <c r="M136" cm="1">
        <f t="array" ref="M136">INDEX(DataAll!$AP$2:$AP$555,MATCH(LOWER(Data!A136),LOWER(DataAll!$AO$2:$AO$555),0))</f>
        <v>67.3</v>
      </c>
      <c r="N136" cm="1">
        <f t="array" ref="N136">INDEX(DataAll!$AQ$2:$AQ$555,MATCH(LOWER(Data!A136),LOWER(DataAll!$AO$2:$AO$555),0))</f>
        <v>71.260000000000005</v>
      </c>
      <c r="O136" cm="1">
        <f t="array" ref="O136">INDEX(DataAll!$AT$2:$AT$555,MATCH(LOWER(Data!A136),LOWER(DataAll!$AS$2:$AS$555),0))</f>
        <v>7.73</v>
      </c>
      <c r="P136" cm="1">
        <f t="array" ref="P136">INDEX(DataAll!$AU$2:$AU$555,MATCH(LOWER(Data!A136),LOWER(DataAll!$AS$2:$AS$555),0))</f>
        <v>6.97</v>
      </c>
      <c r="Q136" cm="1">
        <f t="array" ref="Q136">INDEX(DataAll!$AX$2:$AX$556,MATCH(LOWER(Data!A136),LOWER(DataAll!$AW$2:$AW$556),0))</f>
        <v>21.2</v>
      </c>
      <c r="R136" cm="1">
        <f t="array" ref="R136">INDEX('Longitude and Latitude'!$B$2:$B$579,MATCH(LOWER(Data!A136),LOWER('Longitude and Latitude'!$A$2:$A$579),0))</f>
        <v>-5.3027489000000001</v>
      </c>
      <c r="S136" cm="1">
        <f t="array" ref="S136">INDEX('Longitude and Latitude'!$C$2:$C$579,MATCH(LOWER(Data!A136),LOWER('Longitude and Latitude'!$A$2:$A$579),0))</f>
        <v>104.5655273</v>
      </c>
      <c r="T136" t="b">
        <f>IF(EXACT(A136, UPPER(A136)), TRUE, FALSE)</f>
        <v>0</v>
      </c>
    </row>
    <row r="137" spans="1:20" x14ac:dyDescent="0.35">
      <c r="A137" t="s">
        <v>137</v>
      </c>
      <c r="B137">
        <v>89.96</v>
      </c>
      <c r="C137" cm="1">
        <f t="array" ref="C137">INDEX(DataAll!$E$2:$E$555,MATCH(LOWER(Data!A137),LOWER(DataAll!$D$2:$D$555),0))</f>
        <v>63.28</v>
      </c>
      <c r="D137" cm="1">
        <f t="array" ref="D137">INDEX(DataAll!$H$2:$H$579,MATCH(LOWER(Data!A137),LOWER(DataAll!$G$2:$G$555),0))</f>
        <v>0.46500000000000002</v>
      </c>
      <c r="E137" cm="1">
        <f t="array" ref="E137">INDEX(DataAll!$K$2:$K$579,MATCH(LOWER(Data!A137),LOWER(DataAll!$J$2:$J$555),0))</f>
        <v>14</v>
      </c>
      <c r="F137" cm="1">
        <f t="array" ref="F137">INDEX(DataAll!$N$2:$N$555,MATCH(LOWER(Data!A137),LOWER(DataAll!$M$2:$M$555),0))</f>
        <v>51.04</v>
      </c>
      <c r="G137" cm="1">
        <f t="array" ref="G137">INDEX(DataAll!$Q$2:$Q$555,MATCH(LOWER(Data!A137),LOWER(DataAll!$P$2:$P$555),0))</f>
        <v>7.61</v>
      </c>
      <c r="H137" cm="1">
        <f t="array" ref="H137">INDEX(DataAll!$T$2:$T$555,MATCH(LOWER(Data!A137),LOWER(DataAll!$S$2:$S$555),0))</f>
        <v>0.28799999999999998</v>
      </c>
      <c r="I137" cm="1">
        <f t="array" ref="I137">INDEX(DataAll!$W$2:$W$555,MATCH(LOWER(Data!A137),LOWER(DataAll!$V$2:$V$555),0))</f>
        <v>28.8</v>
      </c>
      <c r="J137" cm="1">
        <f t="array" ref="J137">INDEX(DataAll!$Z$2:$Z$555,MATCH(LOWER(Data!A137),LOWER(DataAll!$Y$2:$Y$555),0))</f>
        <v>2.33</v>
      </c>
      <c r="K137" cm="1">
        <f t="array" ref="K137">INDEX(DataAll!$AM$2:$AM$555,MATCH(LOWER(Data!A137),LOWER(DataAll!$AL$2:$AL$555),0))</f>
        <v>12.79</v>
      </c>
      <c r="L137" cm="1">
        <f t="array" ref="L137">INDEX(DataAll!$AJ$2:$AJ$555,MATCH(LOWER(Data!A137),LOWER(DataAll!$AI$2:$AI$555),0))</f>
        <v>17.670000000000002</v>
      </c>
      <c r="M137" cm="1">
        <f t="array" ref="M137">INDEX(DataAll!$AP$2:$AP$555,MATCH(LOWER(Data!A137),LOWER(DataAll!$AO$2:$AO$555),0))</f>
        <v>68.05</v>
      </c>
      <c r="N137" cm="1">
        <f t="array" ref="N137">INDEX(DataAll!$AQ$2:$AQ$555,MATCH(LOWER(Data!A137),LOWER(DataAll!$AO$2:$AO$555),0))</f>
        <v>71.989999999999995</v>
      </c>
      <c r="O137" cm="1">
        <f t="array" ref="O137">INDEX(DataAll!$AT$2:$AT$555,MATCH(LOWER(Data!A137),LOWER(DataAll!$AS$2:$AS$555),0))</f>
        <v>8.1300000000000008</v>
      </c>
      <c r="P137" cm="1">
        <f t="array" ref="P137">INDEX(DataAll!$AU$2:$AU$555,MATCH(LOWER(Data!A137),LOWER(DataAll!$AS$2:$AS$555),0))</f>
        <v>7.47</v>
      </c>
      <c r="Q137" cm="1">
        <f t="array" ref="Q137">INDEX(DataAll!$AX$2:$AX$556,MATCH(LOWER(Data!A137),LOWER(DataAll!$AW$2:$AW$556),0))</f>
        <v>27.3</v>
      </c>
      <c r="R137" cm="1">
        <f t="array" ref="R137">INDEX('Longitude and Latitude'!$B$2:$B$579,MATCH(LOWER(Data!A137),LOWER('Longitude and Latitude'!$A$2:$A$579),0))</f>
        <v>-5.5622613999999997</v>
      </c>
      <c r="S137" cm="1">
        <f t="array" ref="S137">INDEX('Longitude and Latitude'!$C$2:$C$579,MATCH(LOWER(Data!A137),LOWER('Longitude and Latitude'!$A$2:$A$579),0))</f>
        <v>105.5474373</v>
      </c>
      <c r="T137" t="b">
        <f>IF(EXACT(A137, UPPER(A137)), TRUE, FALSE)</f>
        <v>0</v>
      </c>
    </row>
    <row r="138" spans="1:20" x14ac:dyDescent="0.35">
      <c r="A138" t="s">
        <v>138</v>
      </c>
      <c r="B138">
        <v>89.6</v>
      </c>
      <c r="C138" cm="1">
        <f t="array" ref="C138">INDEX(DataAll!$E$2:$E$555,MATCH(LOWER(Data!A138),LOWER(DataAll!$D$2:$D$555),0))</f>
        <v>61.24</v>
      </c>
      <c r="D138" cm="1">
        <f t="array" ref="D138">INDEX(DataAll!$H$2:$H$579,MATCH(LOWER(Data!A138),LOWER(DataAll!$G$2:$G$555),0))</f>
        <v>0.41099999999999998</v>
      </c>
      <c r="E138" cm="1">
        <f t="array" ref="E138">INDEX(DataAll!$K$2:$K$579,MATCH(LOWER(Data!A138),LOWER(DataAll!$J$2:$J$555),0))</f>
        <v>10</v>
      </c>
      <c r="F138" cm="1">
        <f t="array" ref="F138">INDEX(DataAll!$N$2:$N$555,MATCH(LOWER(Data!A138),LOWER(DataAll!$M$2:$M$555),0))</f>
        <v>55.23</v>
      </c>
      <c r="G138" cm="1">
        <f t="array" ref="G138">INDEX(DataAll!$Q$2:$Q$555,MATCH(LOWER(Data!A138),LOWER(DataAll!$P$2:$P$555),0))</f>
        <v>10.59</v>
      </c>
      <c r="H138" cm="1">
        <f t="array" ref="H138">INDEX(DataAll!$T$2:$T$555,MATCH(LOWER(Data!A138),LOWER(DataAll!$S$2:$S$555),0))</f>
        <v>0.23599999999999999</v>
      </c>
      <c r="I138" cm="1">
        <f t="array" ref="I138">INDEX(DataAll!$W$2:$W$555,MATCH(LOWER(Data!A138),LOWER(DataAll!$V$2:$V$555),0))</f>
        <v>32.090000000000003</v>
      </c>
      <c r="J138" cm="1">
        <f t="array" ref="J138">INDEX(DataAll!$Z$2:$Z$555,MATCH(LOWER(Data!A138),LOWER(DataAll!$Y$2:$Y$555),0))</f>
        <v>2.2799999999999998</v>
      </c>
      <c r="K138" cm="1">
        <f t="array" ref="K138">INDEX(DataAll!$AM$2:$AM$555,MATCH(LOWER(Data!A138),LOWER(DataAll!$AL$2:$AL$555),0))</f>
        <v>13.8</v>
      </c>
      <c r="L138" cm="1">
        <f t="array" ref="L138">INDEX(DataAll!$AJ$2:$AJ$555,MATCH(LOWER(Data!A138),LOWER(DataAll!$AI$2:$AI$555),0))</f>
        <v>18.93</v>
      </c>
      <c r="M138" cm="1">
        <f t="array" ref="M138">INDEX(DataAll!$AP$2:$AP$555,MATCH(LOWER(Data!A138),LOWER(DataAll!$AO$2:$AO$555),0))</f>
        <v>69.31</v>
      </c>
      <c r="N138" cm="1">
        <f t="array" ref="N138">INDEX(DataAll!$AQ$2:$AQ$555,MATCH(LOWER(Data!A138),LOWER(DataAll!$AO$2:$AO$555),0))</f>
        <v>73.28</v>
      </c>
      <c r="O138" cm="1">
        <f t="array" ref="O138">INDEX(DataAll!$AT$2:$AT$555,MATCH(LOWER(Data!A138),LOWER(DataAll!$AS$2:$AS$555),0))</f>
        <v>8.3800000000000008</v>
      </c>
      <c r="P138" cm="1">
        <f t="array" ref="P138">INDEX(DataAll!$AU$2:$AU$555,MATCH(LOWER(Data!A138),LOWER(DataAll!$AS$2:$AS$555),0))</f>
        <v>7.91</v>
      </c>
      <c r="Q138" cm="1">
        <f t="array" ref="Q138">INDEX(DataAll!$AX$2:$AX$556,MATCH(LOWER(Data!A138),LOWER(DataAll!$AW$2:$AW$556),0))</f>
        <v>31.54</v>
      </c>
      <c r="R138" cm="1">
        <f t="array" ref="R138">INDEX('Longitude and Latitude'!$B$2:$B$579,MATCH(LOWER(Data!A138),LOWER('Longitude and Latitude'!$A$2:$A$579),0))</f>
        <v>-5.1134994999999996</v>
      </c>
      <c r="S138" cm="1">
        <f t="array" ref="S138">INDEX('Longitude and Latitude'!$C$2:$C$579,MATCH(LOWER(Data!A138),LOWER('Longitude and Latitude'!$A$2:$A$579),0))</f>
        <v>105.6881788</v>
      </c>
      <c r="T138" t="b">
        <f>IF(EXACT(A138, UPPER(A138)), TRUE, FALSE)</f>
        <v>0</v>
      </c>
    </row>
    <row r="139" spans="1:20" x14ac:dyDescent="0.35">
      <c r="A139" t="s">
        <v>139</v>
      </c>
      <c r="B139">
        <v>90.02</v>
      </c>
      <c r="C139" cm="1">
        <f t="array" ref="C139">INDEX(DataAll!$E$2:$E$555,MATCH(LOWER(Data!A139),LOWER(DataAll!$D$2:$D$555),0))</f>
        <v>63.26</v>
      </c>
      <c r="D139" cm="1">
        <f t="array" ref="D139">INDEX(DataAll!$H$2:$H$579,MATCH(LOWER(Data!A139),LOWER(DataAll!$G$2:$G$555),0))</f>
        <v>0.46300000000000002</v>
      </c>
      <c r="E139" cm="1">
        <f t="array" ref="E139">INDEX(DataAll!$K$2:$K$579,MATCH(LOWER(Data!A139),LOWER(DataAll!$J$2:$J$555),0))</f>
        <v>14</v>
      </c>
      <c r="F139" cm="1">
        <f t="array" ref="F139">INDEX(DataAll!$N$2:$N$555,MATCH(LOWER(Data!A139),LOWER(DataAll!$M$2:$M$555),0))</f>
        <v>63.97</v>
      </c>
      <c r="G139" cm="1">
        <f t="array" ref="G139">INDEX(DataAll!$Q$2:$Q$555,MATCH(LOWER(Data!A139),LOWER(DataAll!$P$2:$P$555),0))</f>
        <v>9.35</v>
      </c>
      <c r="H139" cm="1">
        <f t="array" ref="H139">INDEX(DataAll!$T$2:$T$555,MATCH(LOWER(Data!A139),LOWER(DataAll!$S$2:$S$555),0))</f>
        <v>0.251</v>
      </c>
      <c r="I139" cm="1">
        <f t="array" ref="I139">INDEX(DataAll!$W$2:$W$555,MATCH(LOWER(Data!A139),LOWER(DataAll!$V$2:$V$555),0))</f>
        <v>32.17</v>
      </c>
      <c r="J139" cm="1">
        <f t="array" ref="J139">INDEX(DataAll!$Z$2:$Z$555,MATCH(LOWER(Data!A139),LOWER(DataAll!$Y$2:$Y$555),0))</f>
        <v>2.21</v>
      </c>
      <c r="K139" cm="1">
        <f t="array" ref="K139">INDEX(DataAll!$AM$2:$AM$555,MATCH(LOWER(Data!A139),LOWER(DataAll!$AL$2:$AL$555),0))</f>
        <v>10.65</v>
      </c>
      <c r="L139" cm="1">
        <f t="array" ref="L139">INDEX(DataAll!$AJ$2:$AJ$555,MATCH(LOWER(Data!A139),LOWER(DataAll!$AI$2:$AI$555),0))</f>
        <v>17.63</v>
      </c>
      <c r="M139" cm="1">
        <f t="array" ref="M139">INDEX(DataAll!$AP$2:$AP$555,MATCH(LOWER(Data!A139),LOWER(DataAll!$AO$2:$AO$555),0))</f>
        <v>68.37</v>
      </c>
      <c r="N139" cm="1">
        <f t="array" ref="N139">INDEX(DataAll!$AQ$2:$AQ$555,MATCH(LOWER(Data!A139),LOWER(DataAll!$AO$2:$AO$555),0))</f>
        <v>72.31</v>
      </c>
      <c r="O139" cm="1">
        <f t="array" ref="O139">INDEX(DataAll!$AT$2:$AT$555,MATCH(LOWER(Data!A139),LOWER(DataAll!$AS$2:$AS$555),0))</f>
        <v>8.2799999999999994</v>
      </c>
      <c r="P139" cm="1">
        <f t="array" ref="P139">INDEX(DataAll!$AU$2:$AU$555,MATCH(LOWER(Data!A139),LOWER(DataAll!$AS$2:$AS$555),0))</f>
        <v>7.52</v>
      </c>
      <c r="Q139" cm="1">
        <f t="array" ref="Q139">INDEX(DataAll!$AX$2:$AX$556,MATCH(LOWER(Data!A139),LOWER(DataAll!$AW$2:$AW$556),0))</f>
        <v>26.87</v>
      </c>
      <c r="R139" cm="1">
        <f t="array" ref="R139">INDEX('Longitude and Latitude'!$B$2:$B$579,MATCH(LOWER(Data!A139),LOWER('Longitude and Latitude'!$A$2:$A$579),0))</f>
        <v>-4.8008085999999999</v>
      </c>
      <c r="S139" cm="1">
        <f t="array" ref="S139">INDEX('Longitude and Latitude'!$C$2:$C$579,MATCH(LOWER(Data!A139),LOWER('Longitude and Latitude'!$A$2:$A$579),0))</f>
        <v>105.3131185</v>
      </c>
      <c r="T139" t="b">
        <f>IF(EXACT(A139, UPPER(A139)), TRUE, FALSE)</f>
        <v>0</v>
      </c>
    </row>
    <row r="140" spans="1:20" x14ac:dyDescent="0.35">
      <c r="A140" t="s">
        <v>140</v>
      </c>
      <c r="B140">
        <v>89.79</v>
      </c>
      <c r="C140" cm="1">
        <f t="array" ref="C140">INDEX(DataAll!$E$2:$E$555,MATCH(LOWER(Data!A140),LOWER(DataAll!$D$2:$D$555),0))</f>
        <v>64.28</v>
      </c>
      <c r="D140" cm="1">
        <f t="array" ref="D140">INDEX(DataAll!$H$2:$H$579,MATCH(LOWER(Data!A140),LOWER(DataAll!$G$2:$G$555),0))</f>
        <v>0.44600000000000001</v>
      </c>
      <c r="E140" cm="1">
        <f t="array" ref="E140">INDEX(DataAll!$K$2:$K$579,MATCH(LOWER(Data!A140),LOWER(DataAll!$J$2:$J$555),0))</f>
        <v>11.11</v>
      </c>
      <c r="F140" cm="1">
        <f t="array" ref="F140">INDEX(DataAll!$N$2:$N$555,MATCH(LOWER(Data!A140),LOWER(DataAll!$M$2:$M$555),0))</f>
        <v>55.2</v>
      </c>
      <c r="G140" cm="1">
        <f t="array" ref="G140">INDEX(DataAll!$Q$2:$Q$555,MATCH(LOWER(Data!A140),LOWER(DataAll!$P$2:$P$555),0))</f>
        <v>10.28</v>
      </c>
      <c r="H140" cm="1">
        <f t="array" ref="H140">INDEX(DataAll!$T$2:$T$555,MATCH(LOWER(Data!A140),LOWER(DataAll!$S$2:$S$555),0))</f>
        <v>0.28899999999999998</v>
      </c>
      <c r="I140" cm="1">
        <f t="array" ref="I140">INDEX(DataAll!$W$2:$W$555,MATCH(LOWER(Data!A140),LOWER(DataAll!$V$2:$V$555),0))</f>
        <v>35</v>
      </c>
      <c r="J140" cm="1">
        <f t="array" ref="J140">INDEX(DataAll!$Z$2:$Z$555,MATCH(LOWER(Data!A140),LOWER(DataAll!$Y$2:$Y$555),0))</f>
        <v>2.31</v>
      </c>
      <c r="K140" cm="1">
        <f t="array" ref="K140">INDEX(DataAll!$AM$2:$AM$555,MATCH(LOWER(Data!A140),LOWER(DataAll!$AL$2:$AL$555),0))</f>
        <v>17.170000000000002</v>
      </c>
      <c r="L140" cm="1">
        <f t="array" ref="L140">INDEX(DataAll!$AJ$2:$AJ$555,MATCH(LOWER(Data!A140),LOWER(DataAll!$AI$2:$AI$555),0))</f>
        <v>19.100000000000001</v>
      </c>
      <c r="M140" cm="1">
        <f t="array" ref="M140">INDEX(DataAll!$AP$2:$AP$555,MATCH(LOWER(Data!A140),LOWER(DataAll!$AO$2:$AO$555),0))</f>
        <v>67.91</v>
      </c>
      <c r="N140" cm="1">
        <f t="array" ref="N140">INDEX(DataAll!$AQ$2:$AQ$555,MATCH(LOWER(Data!A140),LOWER(DataAll!$AO$2:$AO$555),0))</f>
        <v>71.849999999999994</v>
      </c>
      <c r="O140" cm="1">
        <f t="array" ref="O140">INDEX(DataAll!$AT$2:$AT$555,MATCH(LOWER(Data!A140),LOWER(DataAll!$AS$2:$AS$555),0))</f>
        <v>8.57</v>
      </c>
      <c r="P140" cm="1">
        <f t="array" ref="P140">INDEX(DataAll!$AU$2:$AU$555,MATCH(LOWER(Data!A140),LOWER(DataAll!$AS$2:$AS$555),0))</f>
        <v>8.1999999999999993</v>
      </c>
      <c r="Q140" cm="1">
        <f t="array" ref="Q140">INDEX(DataAll!$AX$2:$AX$556,MATCH(LOWER(Data!A140),LOWER(DataAll!$AW$2:$AW$556),0))</f>
        <v>27.91</v>
      </c>
      <c r="R140" cm="1">
        <f t="array" ref="R140">INDEX('Longitude and Latitude'!$B$2:$B$579,MATCH(LOWER(Data!A140),LOWER('Longitude and Latitude'!$A$2:$A$579),0))</f>
        <v>-4.8133904999999997</v>
      </c>
      <c r="S140" cm="1">
        <f t="array" ref="S140">INDEX('Longitude and Latitude'!$C$2:$C$579,MATCH(LOWER(Data!A140),LOWER('Longitude and Latitude'!$A$2:$A$579),0))</f>
        <v>104.75209390000001</v>
      </c>
      <c r="T140" t="b">
        <f>IF(EXACT(A140, UPPER(A140)), TRUE, FALSE)</f>
        <v>0</v>
      </c>
    </row>
    <row r="141" spans="1:20" x14ac:dyDescent="0.35">
      <c r="A141" t="s">
        <v>141</v>
      </c>
      <c r="B141">
        <v>88.64</v>
      </c>
      <c r="C141" cm="1">
        <f t="array" ref="C141">INDEX(DataAll!$E$2:$E$555,MATCH(LOWER(Data!A141),LOWER(DataAll!$D$2:$D$555),0))</f>
        <v>61.22</v>
      </c>
      <c r="D141" cm="1">
        <f t="array" ref="D141">INDEX(DataAll!$H$2:$H$579,MATCH(LOWER(Data!A141),LOWER(DataAll!$G$2:$G$555),0))</f>
        <v>0.55400000000000005</v>
      </c>
      <c r="E141" cm="1">
        <f t="array" ref="E141">INDEX(DataAll!$K$2:$K$579,MATCH(LOWER(Data!A141),LOWER(DataAll!$J$2:$J$555),0))</f>
        <v>10</v>
      </c>
      <c r="F141" cm="1">
        <f t="array" ref="F141">INDEX(DataAll!$N$2:$N$555,MATCH(LOWER(Data!A141),LOWER(DataAll!$M$2:$M$555),0))</f>
        <v>56.76</v>
      </c>
      <c r="G141" cm="1">
        <f t="array" ref="G141">INDEX(DataAll!$Q$2:$Q$555,MATCH(LOWER(Data!A141),LOWER(DataAll!$P$2:$P$555),0))</f>
        <v>7.11</v>
      </c>
      <c r="H141" cm="1">
        <f t="array" ref="H141">INDEX(DataAll!$T$2:$T$555,MATCH(LOWER(Data!A141),LOWER(DataAll!$S$2:$S$555),0))</f>
        <v>0.378</v>
      </c>
      <c r="I141" cm="1">
        <f t="array" ref="I141">INDEX(DataAll!$W$2:$W$555,MATCH(LOWER(Data!A141),LOWER(DataAll!$V$2:$V$555),0))</f>
        <v>32.42</v>
      </c>
      <c r="J141" cm="1">
        <f t="array" ref="J141">INDEX(DataAll!$Z$2:$Z$555,MATCH(LOWER(Data!A141),LOWER(DataAll!$Y$2:$Y$555),0))</f>
        <v>2.3199999999999998</v>
      </c>
      <c r="K141" cm="1">
        <f t="array" ref="K141">INDEX(DataAll!$AM$2:$AM$555,MATCH(LOWER(Data!A141),LOWER(DataAll!$AL$2:$AL$555),0))</f>
        <v>11.02</v>
      </c>
      <c r="L141" cm="1">
        <f t="array" ref="L141">INDEX(DataAll!$AJ$2:$AJ$555,MATCH(LOWER(Data!A141),LOWER(DataAll!$AI$2:$AI$555),0))</f>
        <v>18.100000000000001</v>
      </c>
      <c r="M141" cm="1">
        <f t="array" ref="M141">INDEX(DataAll!$AP$2:$AP$555,MATCH(LOWER(Data!A141),LOWER(DataAll!$AO$2:$AO$555),0))</f>
        <v>67.989999999999995</v>
      </c>
      <c r="N141" cm="1">
        <f t="array" ref="N141">INDEX(DataAll!$AQ$2:$AQ$555,MATCH(LOWER(Data!A141),LOWER(DataAll!$AO$2:$AO$555),0))</f>
        <v>71.930000000000007</v>
      </c>
      <c r="O141" cm="1">
        <f t="array" ref="O141">INDEX(DataAll!$AT$2:$AT$555,MATCH(LOWER(Data!A141),LOWER(DataAll!$AS$2:$AS$555),0))</f>
        <v>8.1</v>
      </c>
      <c r="P141" cm="1">
        <f t="array" ref="P141">INDEX(DataAll!$AU$2:$AU$555,MATCH(LOWER(Data!A141),LOWER(DataAll!$AS$2:$AS$555),0))</f>
        <v>7.24</v>
      </c>
      <c r="Q141" cm="1">
        <f t="array" ref="Q141">INDEX(DataAll!$AX$2:$AX$556,MATCH(LOWER(Data!A141),LOWER(DataAll!$AW$2:$AW$556),0))</f>
        <v>23.88</v>
      </c>
      <c r="R141" cm="1">
        <f t="array" ref="R141">INDEX('Longitude and Latitude'!$B$2:$B$579,MATCH(LOWER(Data!A141),LOWER('Longitude and Latitude'!$A$2:$A$579),0))</f>
        <v>-4.4963689000000002</v>
      </c>
      <c r="S141" cm="1">
        <f t="array" ref="S141">INDEX('Longitude and Latitude'!$C$2:$C$579,MATCH(LOWER(Data!A141),LOWER('Longitude and Latitude'!$A$2:$A$579),0))</f>
        <v>104.5655273</v>
      </c>
      <c r="T141" t="b">
        <f>IF(EXACT(A141, UPPER(A141)), TRUE, FALSE)</f>
        <v>0</v>
      </c>
    </row>
    <row r="142" spans="1:20" x14ac:dyDescent="0.35">
      <c r="A142" t="s">
        <v>142</v>
      </c>
      <c r="B142">
        <v>90.26</v>
      </c>
      <c r="C142" cm="1">
        <f t="array" ref="C142">INDEX(DataAll!$E$2:$E$555,MATCH(LOWER(Data!A142),LOWER(DataAll!$D$2:$D$555),0))</f>
        <v>66.97</v>
      </c>
      <c r="D142" cm="1">
        <f t="array" ref="D142">INDEX(DataAll!$H$2:$H$579,MATCH(LOWER(Data!A142),LOWER(DataAll!$G$2:$G$555),0))</f>
        <v>0.48599999999999999</v>
      </c>
      <c r="E142" cm="1">
        <f t="array" ref="E142">INDEX(DataAll!$K$2:$K$579,MATCH(LOWER(Data!A142),LOWER(DataAll!$J$2:$J$555),0))</f>
        <v>20</v>
      </c>
      <c r="F142" cm="1">
        <f t="array" ref="F142">INDEX(DataAll!$N$2:$N$555,MATCH(LOWER(Data!A142),LOWER(DataAll!$M$2:$M$555),0))</f>
        <v>54.29</v>
      </c>
      <c r="G142" cm="1">
        <f t="array" ref="G142">INDEX(DataAll!$Q$2:$Q$555,MATCH(LOWER(Data!A142),LOWER(DataAll!$P$2:$P$555),0))</f>
        <v>8.44</v>
      </c>
      <c r="H142" cm="1">
        <f t="array" ref="H142">INDEX(DataAll!$T$2:$T$555,MATCH(LOWER(Data!A142),LOWER(DataAll!$S$2:$S$555),0))</f>
        <v>0.34100000000000003</v>
      </c>
      <c r="I142" cm="1">
        <f t="array" ref="I142">INDEX(DataAll!$W$2:$W$555,MATCH(LOWER(Data!A142),LOWER(DataAll!$V$2:$V$555),0))</f>
        <v>26.73</v>
      </c>
      <c r="J142" cm="1">
        <f t="array" ref="J142">INDEX(DataAll!$Z$2:$Z$555,MATCH(LOWER(Data!A142),LOWER(DataAll!$Y$2:$Y$555),0))</f>
        <v>2.2599999999999998</v>
      </c>
      <c r="K142" cm="1">
        <f t="array" ref="K142">INDEX(DataAll!$AM$2:$AM$555,MATCH(LOWER(Data!A142),LOWER(DataAll!$AL$2:$AL$555),0))</f>
        <v>8.0399999999999991</v>
      </c>
      <c r="L142" cm="1">
        <f t="array" ref="L142">INDEX(DataAll!$AJ$2:$AJ$555,MATCH(LOWER(Data!A142),LOWER(DataAll!$AI$2:$AI$555),0))</f>
        <v>19.47</v>
      </c>
      <c r="M142" cm="1">
        <f t="array" ref="M142">INDEX(DataAll!$AP$2:$AP$555,MATCH(LOWER(Data!A142),LOWER(DataAll!$AO$2:$AO$555),0))</f>
        <v>68.5</v>
      </c>
      <c r="N142" cm="1">
        <f t="array" ref="N142">INDEX(DataAll!$AQ$2:$AQ$555,MATCH(LOWER(Data!A142),LOWER(DataAll!$AO$2:$AO$555),0))</f>
        <v>72.44</v>
      </c>
      <c r="O142" cm="1">
        <f t="array" ref="O142">INDEX(DataAll!$AT$2:$AT$555,MATCH(LOWER(Data!A142),LOWER(DataAll!$AS$2:$AS$555),0))</f>
        <v>8.27</v>
      </c>
      <c r="P142" cm="1">
        <f t="array" ref="P142">INDEX(DataAll!$AU$2:$AU$555,MATCH(LOWER(Data!A142),LOWER(DataAll!$AS$2:$AS$555),0))</f>
        <v>7.56</v>
      </c>
      <c r="Q142" cm="1">
        <f t="array" ref="Q142">INDEX(DataAll!$AX$2:$AX$556,MATCH(LOWER(Data!A142),LOWER(DataAll!$AW$2:$AW$556),0))</f>
        <v>26.08</v>
      </c>
      <c r="R142" cm="1">
        <f t="array" ref="R142">INDEX('Longitude and Latitude'!$B$2:$B$579,MATCH(LOWER(Data!A142),LOWER('Longitude and Latitude'!$A$2:$A$579),0))</f>
        <v>-4.3176576000000004</v>
      </c>
      <c r="S142" cm="1">
        <f t="array" ref="S142">INDEX('Longitude and Latitude'!$C$2:$C$579,MATCH(LOWER(Data!A142),LOWER('Longitude and Latitude'!$A$2:$A$579),0))</f>
        <v>105.50054830000001</v>
      </c>
      <c r="T142" t="b">
        <f>IF(EXACT(A142, UPPER(A142)), TRUE, FALSE)</f>
        <v>0</v>
      </c>
    </row>
    <row r="143" spans="1:20" x14ac:dyDescent="0.35">
      <c r="A143" t="s">
        <v>143</v>
      </c>
      <c r="B143">
        <v>88.04</v>
      </c>
      <c r="C143" cm="1">
        <f t="array" ref="C143">INDEX(DataAll!$E$2:$E$555,MATCH(LOWER(Data!A143),LOWER(DataAll!$D$2:$D$555),0))</f>
        <v>75.3</v>
      </c>
      <c r="D143" cm="1">
        <f t="array" ref="D143">INDEX(DataAll!$H$2:$H$579,MATCH(LOWER(Data!A143),LOWER(DataAll!$G$2:$G$555),0))</f>
        <v>0.45100000000000001</v>
      </c>
      <c r="E143" cm="1">
        <f t="array" ref="E143">INDEX(DataAll!$K$2:$K$579,MATCH(LOWER(Data!A143),LOWER(DataAll!$J$2:$J$555),0))</f>
        <v>28.89</v>
      </c>
      <c r="F143" cm="1">
        <f t="array" ref="F143">INDEX(DataAll!$N$2:$N$555,MATCH(LOWER(Data!A143),LOWER(DataAll!$M$2:$M$555),0))</f>
        <v>45.68</v>
      </c>
      <c r="G143" cm="1">
        <f t="array" ref="G143">INDEX(DataAll!$Q$2:$Q$555,MATCH(LOWER(Data!A143),LOWER(DataAll!$P$2:$P$555),0))</f>
        <v>8.43</v>
      </c>
      <c r="H143" cm="1">
        <f t="array" ref="H143">INDEX(DataAll!$T$2:$T$555,MATCH(LOWER(Data!A143),LOWER(DataAll!$S$2:$S$555),0))</f>
        <v>0.28000000000000003</v>
      </c>
      <c r="I143" cm="1">
        <f t="array" ref="I143">INDEX(DataAll!$W$2:$W$555,MATCH(LOWER(Data!A143),LOWER(DataAll!$V$2:$V$555),0))</f>
        <v>29.68</v>
      </c>
      <c r="J143" cm="1">
        <f t="array" ref="J143">INDEX(DataAll!$Z$2:$Z$555,MATCH(LOWER(Data!A143),LOWER(DataAll!$Y$2:$Y$555),0))</f>
        <v>2.29</v>
      </c>
      <c r="K143" cm="1">
        <f t="array" ref="K143">INDEX(DataAll!$AM$2:$AM$555,MATCH(LOWER(Data!A143),LOWER(DataAll!$AL$2:$AL$555),0))</f>
        <v>12.89</v>
      </c>
      <c r="L143" cm="1">
        <f t="array" ref="L143">INDEX(DataAll!$AJ$2:$AJ$555,MATCH(LOWER(Data!A143),LOWER(DataAll!$AI$2:$AI$555),0))</f>
        <v>19.36</v>
      </c>
      <c r="M143" cm="1">
        <f t="array" ref="M143">INDEX(DataAll!$AP$2:$AP$555,MATCH(LOWER(Data!A143),LOWER(DataAll!$AO$2:$AO$555),0))</f>
        <v>67.81</v>
      </c>
      <c r="N143" cm="1">
        <f t="array" ref="N143">INDEX(DataAll!$AQ$2:$AQ$555,MATCH(LOWER(Data!A143),LOWER(DataAll!$AO$2:$AO$555),0))</f>
        <v>71.760000000000005</v>
      </c>
      <c r="O143" cm="1">
        <f t="array" ref="O143">INDEX(DataAll!$AT$2:$AT$555,MATCH(LOWER(Data!A143),LOWER(DataAll!$AS$2:$AS$555),0))</f>
        <v>8.3699999999999992</v>
      </c>
      <c r="P143" cm="1">
        <f t="array" ref="P143">INDEX(DataAll!$AU$2:$AU$555,MATCH(LOWER(Data!A143),LOWER(DataAll!$AS$2:$AS$555),0))</f>
        <v>7.67</v>
      </c>
      <c r="Q143" cm="1">
        <f t="array" ref="Q143">INDEX(DataAll!$AX$2:$AX$556,MATCH(LOWER(Data!A143),LOWER(DataAll!$AW$2:$AW$556),0))</f>
        <v>27.32</v>
      </c>
      <c r="R143" cm="1">
        <f t="array" ref="R143">INDEX('Longitude and Latitude'!$B$2:$B$579,MATCH(LOWER(Data!A143),LOWER('Longitude and Latitude'!$A$2:$A$579),0))</f>
        <v>-5.4932449999999999</v>
      </c>
      <c r="S143" cm="1">
        <f t="array" ref="S143">INDEX('Longitude and Latitude'!$C$2:$C$579,MATCH(LOWER(Data!A143),LOWER('Longitude and Latitude'!$A$2:$A$579),0))</f>
        <v>105.07912279999999</v>
      </c>
      <c r="T143" t="b">
        <f>IF(EXACT(A143, UPPER(A143)), TRUE, FALSE)</f>
        <v>0</v>
      </c>
    </row>
    <row r="144" spans="1:20" x14ac:dyDescent="0.35">
      <c r="A144" t="s">
        <v>144</v>
      </c>
      <c r="B144">
        <v>92.68</v>
      </c>
      <c r="C144" cm="1">
        <f t="array" ref="C144">INDEX(DataAll!$E$2:$E$555,MATCH(LOWER(Data!A144),LOWER(DataAll!$D$2:$D$555),0))</f>
        <v>65.98</v>
      </c>
      <c r="D144" cm="1">
        <f t="array" ref="D144">INDEX(DataAll!$H$2:$H$579,MATCH(LOWER(Data!A144),LOWER(DataAll!$G$2:$G$555),0))</f>
        <v>0.18099999999999999</v>
      </c>
      <c r="E144" cm="1">
        <f t="array" ref="E144">INDEX(DataAll!$K$2:$K$579,MATCH(LOWER(Data!A144),LOWER(DataAll!$J$2:$J$555),0))</f>
        <v>27.5</v>
      </c>
      <c r="F144" cm="1">
        <f t="array" ref="F144">INDEX(DataAll!$N$2:$N$555,MATCH(LOWER(Data!A144),LOWER(DataAll!$M$2:$M$555),0))</f>
        <v>54.55</v>
      </c>
      <c r="G144" cm="1">
        <f t="array" ref="G144">INDEX(DataAll!$Q$2:$Q$555,MATCH(LOWER(Data!A144),LOWER(DataAll!$P$2:$P$555),0))</f>
        <v>10.82</v>
      </c>
      <c r="H144" cm="1">
        <f t="array" ref="H144">INDEX(DataAll!$T$2:$T$555,MATCH(LOWER(Data!A144),LOWER(DataAll!$S$2:$S$555),0))</f>
        <v>0.14000000000000001</v>
      </c>
      <c r="I144" cm="1">
        <f t="array" ref="I144">INDEX(DataAll!$W$2:$W$555,MATCH(LOWER(Data!A144),LOWER(DataAll!$V$2:$V$555),0))</f>
        <v>20.43</v>
      </c>
      <c r="J144" cm="1">
        <f t="array" ref="J144">INDEX(DataAll!$Z$2:$Z$555,MATCH(LOWER(Data!A144),LOWER(DataAll!$Y$2:$Y$555),0))</f>
        <v>2.29</v>
      </c>
      <c r="K144" cm="1">
        <f t="array" ref="K144">INDEX(DataAll!$AM$2:$AM$555,MATCH(LOWER(Data!A144),LOWER(DataAll!$AL$2:$AL$555),0))</f>
        <v>9.14</v>
      </c>
      <c r="L144" cm="1">
        <f t="array" ref="L144">INDEX(DataAll!$AJ$2:$AJ$555,MATCH(LOWER(Data!A144),LOWER(DataAll!$AI$2:$AI$555),0))</f>
        <v>17.22</v>
      </c>
      <c r="M144" cm="1">
        <f t="array" ref="M144">INDEX(DataAll!$AP$2:$AP$555,MATCH(LOWER(Data!A144),LOWER(DataAll!$AO$2:$AO$555),0))</f>
        <v>69.12</v>
      </c>
      <c r="N144" cm="1">
        <f t="array" ref="N144">INDEX(DataAll!$AQ$2:$AQ$555,MATCH(LOWER(Data!A144),LOWER(DataAll!$AO$2:$AO$555),0))</f>
        <v>73.069999999999993</v>
      </c>
      <c r="O144" cm="1">
        <f t="array" ref="O144">INDEX(DataAll!$AT$2:$AT$555,MATCH(LOWER(Data!A144),LOWER(DataAll!$AS$2:$AS$555),0))</f>
        <v>8.74</v>
      </c>
      <c r="P144" cm="1">
        <f t="array" ref="P144">INDEX(DataAll!$AU$2:$AU$555,MATCH(LOWER(Data!A144),LOWER(DataAll!$AS$2:$AS$555),0))</f>
        <v>8.08</v>
      </c>
      <c r="Q144" cm="1">
        <f t="array" ref="Q144">INDEX(DataAll!$AX$2:$AX$556,MATCH(LOWER(Data!A144),LOWER(DataAll!$AW$2:$AW$556),0))</f>
        <v>31.42</v>
      </c>
      <c r="R144" cm="1">
        <f t="array" ref="R144">INDEX('Longitude and Latitude'!$B$2:$B$579,MATCH(LOWER(Data!A144),LOWER('Longitude and Latitude'!$A$2:$A$579),0))</f>
        <v>-5.3539884000000004</v>
      </c>
      <c r="S144" cm="1">
        <f t="array" ref="S144">INDEX('Longitude and Latitude'!$C$2:$C$579,MATCH(LOWER(Data!A144),LOWER('Longitude and Latitude'!$A$2:$A$579),0))</f>
        <v>104.9622498</v>
      </c>
      <c r="T144" t="b">
        <f>IF(EXACT(A144, UPPER(A144)), TRUE, FALSE)</f>
        <v>0</v>
      </c>
    </row>
    <row r="145" spans="1:20" x14ac:dyDescent="0.35">
      <c r="A145" t="s">
        <v>145</v>
      </c>
      <c r="B145">
        <v>84.63</v>
      </c>
      <c r="C145" cm="1">
        <f t="array" ref="C145">INDEX(DataAll!$E$2:$E$555,MATCH(LOWER(Data!A145),LOWER(DataAll!$D$2:$D$555),0))</f>
        <v>68.430000000000007</v>
      </c>
      <c r="D145" cm="1">
        <f t="array" ref="D145">INDEX(DataAll!$H$2:$H$579,MATCH(LOWER(Data!A145),LOWER(DataAll!$G$2:$G$555),0))</f>
        <v>0.48199999999999998</v>
      </c>
      <c r="E145" cm="1">
        <f t="array" ref="E145">INDEX(DataAll!$K$2:$K$579,MATCH(LOWER(Data!A145),LOWER(DataAll!$J$2:$J$555),0))</f>
        <v>22.86</v>
      </c>
      <c r="F145" cm="1">
        <f t="array" ref="F145">INDEX(DataAll!$N$2:$N$555,MATCH(LOWER(Data!A145),LOWER(DataAll!$M$2:$M$555),0))</f>
        <v>54.09</v>
      </c>
      <c r="G145" cm="1">
        <f t="array" ref="G145">INDEX(DataAll!$Q$2:$Q$555,MATCH(LOWER(Data!A145),LOWER(DataAll!$P$2:$P$555),0))</f>
        <v>8.75</v>
      </c>
      <c r="H145" cm="1">
        <f t="array" ref="H145">INDEX(DataAll!$T$2:$T$555,MATCH(LOWER(Data!A145),LOWER(DataAll!$S$2:$S$555),0))</f>
        <v>0.34599999999999997</v>
      </c>
      <c r="I145" cm="1">
        <f t="array" ref="I145">INDEX(DataAll!$W$2:$W$555,MATCH(LOWER(Data!A145),LOWER(DataAll!$V$2:$V$555),0))</f>
        <v>25.9</v>
      </c>
      <c r="J145" cm="1">
        <f t="array" ref="J145">INDEX(DataAll!$Z$2:$Z$555,MATCH(LOWER(Data!A145),LOWER(DataAll!$Y$2:$Y$555),0))</f>
        <v>2.31</v>
      </c>
      <c r="K145" cm="1">
        <f t="array" ref="K145">INDEX(DataAll!$AM$2:$AM$555,MATCH(LOWER(Data!A145),LOWER(DataAll!$AL$2:$AL$555),0))</f>
        <v>6.73</v>
      </c>
      <c r="L145" cm="1">
        <f t="array" ref="L145">INDEX(DataAll!$AJ$2:$AJ$555,MATCH(LOWER(Data!A145),LOWER(DataAll!$AI$2:$AI$555),0))</f>
        <v>19.760000000000002</v>
      </c>
      <c r="M145" cm="1">
        <f t="array" ref="M145">INDEX(DataAll!$AP$2:$AP$555,MATCH(LOWER(Data!A145),LOWER(DataAll!$AO$2:$AO$555),0))</f>
        <v>66.81</v>
      </c>
      <c r="N145" cm="1">
        <f t="array" ref="N145">INDEX(DataAll!$AQ$2:$AQ$555,MATCH(LOWER(Data!A145),LOWER(DataAll!$AO$2:$AO$555),0))</f>
        <v>70.78</v>
      </c>
      <c r="O145" cm="1">
        <f t="array" ref="O145">INDEX(DataAll!$AT$2:$AT$555,MATCH(LOWER(Data!A145),LOWER(DataAll!$AS$2:$AS$555),0))</f>
        <v>7.33</v>
      </c>
      <c r="P145" cm="1">
        <f t="array" ref="P145">INDEX(DataAll!$AU$2:$AU$555,MATCH(LOWER(Data!A145),LOWER(DataAll!$AS$2:$AS$555),0))</f>
        <v>6.83</v>
      </c>
      <c r="Q145" cm="1">
        <f t="array" ref="Q145">INDEX(DataAll!$AX$2:$AX$556,MATCH(LOWER(Data!A145),LOWER(DataAll!$AW$2:$AW$556),0))</f>
        <v>18.7</v>
      </c>
      <c r="R145" cm="1">
        <f t="array" ref="R145">INDEX('Longitude and Latitude'!$B$2:$B$579,MATCH(LOWER(Data!A145),LOWER('Longitude and Latitude'!$A$2:$A$579),0))</f>
        <v>-4.0044782999999997</v>
      </c>
      <c r="S145" cm="1">
        <f t="array" ref="S145">INDEX('Longitude and Latitude'!$C$2:$C$579,MATCH(LOWER(Data!A145),LOWER('Longitude and Latitude'!$A$2:$A$579),0))</f>
        <v>105.3131185</v>
      </c>
      <c r="T145" t="b">
        <f>IF(EXACT(A145, UPPER(A145)), TRUE, FALSE)</f>
        <v>0</v>
      </c>
    </row>
    <row r="146" spans="1:20" x14ac:dyDescent="0.35">
      <c r="A146" t="s">
        <v>146</v>
      </c>
      <c r="B146">
        <v>89.01</v>
      </c>
      <c r="C146" cm="1">
        <f t="array" ref="C146">INDEX(DataAll!$E$2:$E$555,MATCH(LOWER(Data!A146),LOWER(DataAll!$D$2:$D$555),0))</f>
        <v>56.53</v>
      </c>
      <c r="D146" cm="1">
        <f t="array" ref="D146">INDEX(DataAll!$H$2:$H$579,MATCH(LOWER(Data!A146),LOWER(DataAll!$G$2:$G$555),0))</f>
        <v>0.499</v>
      </c>
      <c r="E146" cm="1">
        <f t="array" ref="E146">INDEX(DataAll!$K$2:$K$579,MATCH(LOWER(Data!A146),LOWER(DataAll!$J$2:$J$555),0))</f>
        <v>6.67</v>
      </c>
      <c r="F146" cm="1">
        <f t="array" ref="F146">INDEX(DataAll!$N$2:$N$555,MATCH(LOWER(Data!A146),LOWER(DataAll!$M$2:$M$555),0))</f>
        <v>56.85</v>
      </c>
      <c r="G146" cm="1">
        <f t="array" ref="G146">INDEX(DataAll!$Q$2:$Q$555,MATCH(LOWER(Data!A146),LOWER(DataAll!$P$2:$P$555),0))</f>
        <v>8.07</v>
      </c>
      <c r="H146" cm="1">
        <f t="array" ref="H146">INDEX(DataAll!$T$2:$T$555,MATCH(LOWER(Data!A146),LOWER(DataAll!$S$2:$S$555),0))</f>
        <v>0.26200000000000001</v>
      </c>
      <c r="I146" cm="1">
        <f t="array" ref="I146">INDEX(DataAll!$W$2:$W$555,MATCH(LOWER(Data!A146),LOWER(DataAll!$V$2:$V$555),0))</f>
        <v>31.89</v>
      </c>
      <c r="J146" cm="1">
        <f t="array" ref="J146">INDEX(DataAll!$Z$2:$Z$555,MATCH(LOWER(Data!A146),LOWER(DataAll!$Y$2:$Y$555),0))</f>
        <v>2.2400000000000002</v>
      </c>
      <c r="K146" cm="1">
        <f t="array" ref="K146">INDEX(DataAll!$AM$2:$AM$555,MATCH(LOWER(Data!A146),LOWER(DataAll!$AL$2:$AL$555),0))</f>
        <v>7.25</v>
      </c>
      <c r="L146" cm="1">
        <f t="array" ref="L146">INDEX(DataAll!$AJ$2:$AJ$555,MATCH(LOWER(Data!A146),LOWER(DataAll!$AI$2:$AI$555),0))</f>
        <v>19.61</v>
      </c>
      <c r="M146" cm="1">
        <f t="array" ref="M146">INDEX(DataAll!$AP$2:$AP$555,MATCH(LOWER(Data!A146),LOWER(DataAll!$AO$2:$AO$555),0))</f>
        <v>68.5</v>
      </c>
      <c r="N146" cm="1">
        <f t="array" ref="N146">INDEX(DataAll!$AQ$2:$AQ$555,MATCH(LOWER(Data!A146),LOWER(DataAll!$AO$2:$AO$555),0))</f>
        <v>72.44</v>
      </c>
      <c r="O146" cm="1">
        <f t="array" ref="O146">INDEX(DataAll!$AT$2:$AT$555,MATCH(LOWER(Data!A146),LOWER(DataAll!$AS$2:$AS$555),0))</f>
        <v>8.11</v>
      </c>
      <c r="P146" cm="1">
        <f t="array" ref="P146">INDEX(DataAll!$AU$2:$AU$555,MATCH(LOWER(Data!A146),LOWER(DataAll!$AS$2:$AS$555),0))</f>
        <v>7.45</v>
      </c>
      <c r="Q146" cm="1">
        <f t="array" ref="Q146">INDEX(DataAll!$AX$2:$AX$556,MATCH(LOWER(Data!A146),LOWER(DataAll!$AW$2:$AW$556),0))</f>
        <v>27.7</v>
      </c>
      <c r="R146" cm="1">
        <f t="array" ref="R146">INDEX('Longitude and Latitude'!$B$2:$B$579,MATCH(LOWER(Data!A146),LOWER('Longitude and Latitude'!$A$2:$A$579),0))</f>
        <v>-4.5256967000000001</v>
      </c>
      <c r="S146" cm="1">
        <f t="array" ref="S146">INDEX('Longitude and Latitude'!$C$2:$C$579,MATCH(LOWER(Data!A146),LOWER('Longitude and Latitude'!$A$2:$A$579),0))</f>
        <v>105.07912279999999</v>
      </c>
      <c r="T146" t="b">
        <f>IF(EXACT(A146, UPPER(A146)), TRUE, FALSE)</f>
        <v>0</v>
      </c>
    </row>
    <row r="147" spans="1:20" x14ac:dyDescent="0.35">
      <c r="A147" t="s">
        <v>147</v>
      </c>
      <c r="B147">
        <v>94.25</v>
      </c>
      <c r="C147" cm="1">
        <f t="array" ref="C147">INDEX(DataAll!$E$2:$E$555,MATCH(LOWER(Data!A147),LOWER(DataAll!$D$2:$D$555),0))</f>
        <v>55.43</v>
      </c>
      <c r="D147" cm="1">
        <f t="array" ref="D147">INDEX(DataAll!$H$2:$H$579,MATCH(LOWER(Data!A147),LOWER(DataAll!$G$2:$G$555),0))</f>
        <v>0.58699999999999997</v>
      </c>
      <c r="E147" cm="1">
        <f t="array" ref="E147">INDEX(DataAll!$K$2:$K$579,MATCH(LOWER(Data!A147),LOWER(DataAll!$J$2:$J$555),0))</f>
        <v>4</v>
      </c>
      <c r="F147" cm="1">
        <f t="array" ref="F147">INDEX(DataAll!$N$2:$N$555,MATCH(LOWER(Data!A147),LOWER(DataAll!$M$2:$M$555),0))</f>
        <v>56.62</v>
      </c>
      <c r="G147" cm="1">
        <f t="array" ref="G147">INDEX(DataAll!$Q$2:$Q$555,MATCH(LOWER(Data!A147),LOWER(DataAll!$P$2:$P$555),0))</f>
        <v>7.23</v>
      </c>
      <c r="H147" cm="1">
        <f t="array" ref="H147">INDEX(DataAll!$T$2:$T$555,MATCH(LOWER(Data!A147),LOWER(DataAll!$S$2:$S$555),0))</f>
        <v>0.30199999999999999</v>
      </c>
      <c r="I147" cm="1">
        <f t="array" ref="I147">INDEX(DataAll!$W$2:$W$555,MATCH(LOWER(Data!A147),LOWER(DataAll!$V$2:$V$555),0))</f>
        <v>33.58</v>
      </c>
      <c r="J147" cm="1">
        <f t="array" ref="J147">INDEX(DataAll!$Z$2:$Z$555,MATCH(LOWER(Data!A147),LOWER(DataAll!$Y$2:$Y$555),0))</f>
        <v>2.58</v>
      </c>
      <c r="K147" cm="1">
        <f t="array" ref="K147">INDEX(DataAll!$AM$2:$AM$555,MATCH(LOWER(Data!A147),LOWER(DataAll!$AL$2:$AL$555),0))</f>
        <v>13.49</v>
      </c>
      <c r="L147" cm="1">
        <f t="array" ref="L147">INDEX(DataAll!$AJ$2:$AJ$555,MATCH(LOWER(Data!A147),LOWER(DataAll!$AI$2:$AI$555),0))</f>
        <v>19.53</v>
      </c>
      <c r="M147" cm="1">
        <f t="array" ref="M147">INDEX(DataAll!$AP$2:$AP$555,MATCH(LOWER(Data!A147),LOWER(DataAll!$AO$2:$AO$555),0))</f>
        <v>62.43</v>
      </c>
      <c r="N147" cm="1">
        <f t="array" ref="N147">INDEX(DataAll!$AQ$2:$AQ$555,MATCH(LOWER(Data!A147),LOWER(DataAll!$AO$2:$AO$555),0))</f>
        <v>66.25</v>
      </c>
      <c r="O147" cm="1">
        <f t="array" ref="O147">INDEX(DataAll!$AT$2:$AT$555,MATCH(LOWER(Data!A147),LOWER(DataAll!$AS$2:$AS$555),0))</f>
        <v>8.93</v>
      </c>
      <c r="P147" cm="1">
        <f t="array" ref="P147">INDEX(DataAll!$AU$2:$AU$555,MATCH(LOWER(Data!A147),LOWER(DataAll!$AS$2:$AS$555),0))</f>
        <v>8.57</v>
      </c>
      <c r="Q147" cm="1">
        <f t="array" ref="Q147">INDEX(DataAll!$AX$2:$AX$556,MATCH(LOWER(Data!A147),LOWER(DataAll!$AW$2:$AW$556),0))</f>
        <v>30.37</v>
      </c>
      <c r="R147" cm="1">
        <f t="array" ref="R147">INDEX('Longitude and Latitude'!$B$2:$B$579,MATCH(LOWER(Data!A147),LOWER('Longitude and Latitude'!$A$2:$A$579),0))</f>
        <v>-5.1888360000000002</v>
      </c>
      <c r="S147" cm="1">
        <f t="array" ref="S147">INDEX('Longitude and Latitude'!$C$2:$C$579,MATCH(LOWER(Data!A147),LOWER('Longitude and Latitude'!$A$2:$A$579),0))</f>
        <v>103.935852</v>
      </c>
      <c r="T147" t="b">
        <f>IF(EXACT(A147, UPPER(A147)), TRUE, FALSE)</f>
        <v>0</v>
      </c>
    </row>
    <row r="148" spans="1:20" x14ac:dyDescent="0.35">
      <c r="A148" t="s">
        <v>148</v>
      </c>
      <c r="B148">
        <v>94.14</v>
      </c>
      <c r="C148" cm="1">
        <f t="array" ref="C148">INDEX(DataAll!$E$2:$E$555,MATCH(LOWER(Data!A148),LOWER(DataAll!$D$2:$D$555),0))</f>
        <v>71.98</v>
      </c>
      <c r="D148" cm="1">
        <f t="array" ref="D148">INDEX(DataAll!$H$2:$H$579,MATCH(LOWER(Data!A148),LOWER(DataAll!$G$2:$G$555),0))</f>
        <v>0.17199999999999999</v>
      </c>
      <c r="E148" cm="1">
        <f t="array" ref="E148">INDEX(DataAll!$K$2:$K$579,MATCH(LOWER(Data!A148),LOWER(DataAll!$J$2:$J$555),0))</f>
        <v>22</v>
      </c>
      <c r="F148" cm="1">
        <f t="array" ref="F148">INDEX(DataAll!$N$2:$N$555,MATCH(LOWER(Data!A148),LOWER(DataAll!$M$2:$M$555),0))</f>
        <v>45.69</v>
      </c>
      <c r="G148" cm="1">
        <f t="array" ref="G148">INDEX(DataAll!$Q$2:$Q$555,MATCH(LOWER(Data!A148),LOWER(DataAll!$P$2:$P$555),0))</f>
        <v>7.43</v>
      </c>
      <c r="H148" cm="1">
        <f t="array" ref="H148">INDEX(DataAll!$T$2:$T$555,MATCH(LOWER(Data!A148),LOWER(DataAll!$S$2:$S$555),0))</f>
        <v>0.161</v>
      </c>
      <c r="I148" cm="1">
        <f t="array" ref="I148">INDEX(DataAll!$W$2:$W$555,MATCH(LOWER(Data!A148),LOWER(DataAll!$V$2:$V$555),0))</f>
        <v>30.94</v>
      </c>
      <c r="J148" cm="1">
        <f t="array" ref="J148">INDEX(DataAll!$Z$2:$Z$555,MATCH(LOWER(Data!A148),LOWER(DataAll!$Y$2:$Y$555),0))</f>
        <v>2.19</v>
      </c>
      <c r="K148" cm="1">
        <f t="array" ref="K148">INDEX(DataAll!$AM$2:$AM$555,MATCH(LOWER(Data!A148),LOWER(DataAll!$AL$2:$AL$555),0))</f>
        <v>7.77</v>
      </c>
      <c r="L148" cm="1">
        <f t="array" ref="L148">INDEX(DataAll!$AJ$2:$AJ$555,MATCH(LOWER(Data!A148),LOWER(DataAll!$AI$2:$AI$555),0))</f>
        <v>16.18</v>
      </c>
      <c r="M148" cm="1">
        <f t="array" ref="M148">INDEX(DataAll!$AP$2:$AP$555,MATCH(LOWER(Data!A148),LOWER(DataAll!$AO$2:$AO$555),0))</f>
        <v>69.959999999999994</v>
      </c>
      <c r="N148" cm="1">
        <f t="array" ref="N148">INDEX(DataAll!$AQ$2:$AQ$555,MATCH(LOWER(Data!A148),LOWER(DataAll!$AO$2:$AO$555),0))</f>
        <v>73.959999999999994</v>
      </c>
      <c r="O148" cm="1">
        <f t="array" ref="O148">INDEX(DataAll!$AT$2:$AT$555,MATCH(LOWER(Data!A148),LOWER(DataAll!$AS$2:$AS$555),0))</f>
        <v>11.41</v>
      </c>
      <c r="P148" cm="1">
        <f t="array" ref="P148">INDEX(DataAll!$AU$2:$AU$555,MATCH(LOWER(Data!A148),LOWER(DataAll!$AS$2:$AS$555),0))</f>
        <v>10.68</v>
      </c>
      <c r="Q148" cm="1">
        <f t="array" ref="Q148">INDEX(DataAll!$AX$2:$AX$556,MATCH(LOWER(Data!A148),LOWER(DataAll!$AW$2:$AW$556),0))</f>
        <v>59.04</v>
      </c>
      <c r="R148" cm="1">
        <f t="array" ref="R148">INDEX('Longitude and Latitude'!$B$2:$B$579,MATCH(LOWER(Data!A148),LOWER('Longitude and Latitude'!$A$2:$A$579),0))</f>
        <v>-5.45</v>
      </c>
      <c r="S148" cm="1">
        <f t="array" ref="S148">INDEX('Longitude and Latitude'!$C$2:$C$579,MATCH(LOWER(Data!A148),LOWER('Longitude and Latitude'!$A$2:$A$579),0))</f>
        <v>105.2666667</v>
      </c>
      <c r="T148" t="b">
        <f>IF(EXACT(A148, UPPER(A148)), TRUE, FALSE)</f>
        <v>0</v>
      </c>
    </row>
    <row r="149" spans="1:20" x14ac:dyDescent="0.35">
      <c r="A149" t="s">
        <v>149</v>
      </c>
      <c r="B149">
        <v>95.99</v>
      </c>
      <c r="C149" cm="1">
        <f t="array" ref="C149">INDEX(DataAll!$E$2:$E$555,MATCH(LOWER(Data!A149),LOWER(DataAll!$D$2:$D$555),0))</f>
        <v>74.5</v>
      </c>
      <c r="D149" cm="1">
        <f t="array" ref="D149">INDEX(DataAll!$H$2:$H$579,MATCH(LOWER(Data!A149),LOWER(DataAll!$G$2:$G$555),0))</f>
        <v>0.28899999999999998</v>
      </c>
      <c r="E149" cm="1">
        <f t="array" ref="E149">INDEX(DataAll!$K$2:$K$579,MATCH(LOWER(Data!A149),LOWER(DataAll!$J$2:$J$555),0))</f>
        <v>24</v>
      </c>
      <c r="F149" cm="1">
        <f t="array" ref="F149">INDEX(DataAll!$N$2:$N$555,MATCH(LOWER(Data!A149),LOWER(DataAll!$M$2:$M$555),0))</f>
        <v>53.94</v>
      </c>
      <c r="G149" cm="1">
        <f t="array" ref="G149">INDEX(DataAll!$Q$2:$Q$555,MATCH(LOWER(Data!A149),LOWER(DataAll!$P$2:$P$555),0))</f>
        <v>8.3800000000000008</v>
      </c>
      <c r="H149" cm="1">
        <f t="array" ref="H149">INDEX(DataAll!$T$2:$T$555,MATCH(LOWER(Data!A149),LOWER(DataAll!$S$2:$S$555),0))</f>
        <v>0.13800000000000001</v>
      </c>
      <c r="I149" cm="1">
        <f t="array" ref="I149">INDEX(DataAll!$W$2:$W$555,MATCH(LOWER(Data!A149),LOWER(DataAll!$V$2:$V$555),0))</f>
        <v>33.340000000000003</v>
      </c>
      <c r="J149" cm="1">
        <f t="array" ref="J149">INDEX(DataAll!$Z$2:$Z$555,MATCH(LOWER(Data!A149),LOWER(DataAll!$Y$2:$Y$555),0))</f>
        <v>2.1</v>
      </c>
      <c r="K149" cm="1">
        <f t="array" ref="K149">INDEX(DataAll!$AM$2:$AM$555,MATCH(LOWER(Data!A149),LOWER(DataAll!$AL$2:$AL$555),0))</f>
        <v>7.28</v>
      </c>
      <c r="L149" cm="1">
        <f t="array" ref="L149">INDEX(DataAll!$AJ$2:$AJ$555,MATCH(LOWER(Data!A149),LOWER(DataAll!$AI$2:$AI$555),0))</f>
        <v>13.34</v>
      </c>
      <c r="M149" cm="1">
        <f t="array" ref="M149">INDEX(DataAll!$AP$2:$AP$555,MATCH(LOWER(Data!A149),LOWER(DataAll!$AO$2:$AO$555),0))</f>
        <v>70.17</v>
      </c>
      <c r="N149" cm="1">
        <f t="array" ref="N149">INDEX(DataAll!$AQ$2:$AQ$555,MATCH(LOWER(Data!A149),LOWER(DataAll!$AO$2:$AO$555),0))</f>
        <v>74.17</v>
      </c>
      <c r="O149" cm="1">
        <f t="array" ref="O149">INDEX(DataAll!$AT$2:$AT$555,MATCH(LOWER(Data!A149),LOWER(DataAll!$AS$2:$AS$555),0))</f>
        <v>11.19</v>
      </c>
      <c r="P149" cm="1">
        <f t="array" ref="P149">INDEX(DataAll!$AU$2:$AU$555,MATCH(LOWER(Data!A149),LOWER(DataAll!$AS$2:$AS$555),0))</f>
        <v>10.94</v>
      </c>
      <c r="Q149" cm="1">
        <f t="array" ref="Q149">INDEX(DataAll!$AX$2:$AX$556,MATCH(LOWER(Data!A149),LOWER(DataAll!$AW$2:$AW$556),0))</f>
        <v>60.35</v>
      </c>
      <c r="R149" cm="1">
        <f t="array" ref="R149">INDEX('Longitude and Latitude'!$B$2:$B$579,MATCH(LOWER(Data!A149),LOWER('Longitude and Latitude'!$A$2:$A$579),0))</f>
        <v>-5.1166666999999997</v>
      </c>
      <c r="S149" cm="1">
        <f t="array" ref="S149">INDEX('Longitude and Latitude'!$C$2:$C$579,MATCH(LOWER(Data!A149),LOWER('Longitude and Latitude'!$A$2:$A$579),0))</f>
        <v>105.3</v>
      </c>
      <c r="T149" t="b">
        <f>IF(EXACT(A149, UPPER(A149)), TRUE, FALSE)</f>
        <v>0</v>
      </c>
    </row>
    <row r="150" spans="1:20" x14ac:dyDescent="0.35">
      <c r="A150" t="s">
        <v>150</v>
      </c>
      <c r="B150">
        <v>89.84</v>
      </c>
      <c r="C150" cm="1">
        <f t="array" ref="C150">INDEX(DataAll!$E$2:$E$555,MATCH(LOWER(Data!A150),LOWER(DataAll!$D$2:$D$555),0))</f>
        <v>58.22</v>
      </c>
      <c r="D150" cm="1">
        <f t="array" ref="D150">INDEX(DataAll!$H$2:$H$579,MATCH(LOWER(Data!A150),LOWER(DataAll!$G$2:$G$555),0))</f>
        <v>0.49</v>
      </c>
      <c r="E150" cm="1">
        <f t="array" ref="E150">INDEX(DataAll!$K$2:$K$579,MATCH(LOWER(Data!A150),LOWER(DataAll!$J$2:$J$555),0))</f>
        <v>9.52</v>
      </c>
      <c r="F150" cm="1">
        <f t="array" ref="F150">INDEX(DataAll!$N$2:$N$555,MATCH(LOWER(Data!A150),LOWER(DataAll!$M$2:$M$555),0))</f>
        <v>57.64</v>
      </c>
      <c r="G150" t="e" cm="1">
        <f t="array" ref="G150">INDEX(DataAll!$Q$2:$Q$555,MATCH(LOWER(Data!A150),LOWER(DataAll!$P$2:$P$555),0))</f>
        <v>#N/A</v>
      </c>
      <c r="H150" cm="1">
        <f t="array" ref="H150">INDEX(DataAll!$T$2:$T$555,MATCH(LOWER(Data!A150),LOWER(DataAll!$S$2:$S$555),0))</f>
        <v>0.32</v>
      </c>
      <c r="I150" cm="1">
        <f t="array" ref="I150">INDEX(DataAll!$W$2:$W$555,MATCH(LOWER(Data!A150),LOWER(DataAll!$V$2:$V$555),0))</f>
        <v>27.1</v>
      </c>
      <c r="J150" cm="1">
        <f t="array" ref="J150">INDEX(DataAll!$Z$2:$Z$555,MATCH(LOWER(Data!A150),LOWER(DataAll!$Y$2:$Y$555),0))</f>
        <v>2.2400000000000002</v>
      </c>
      <c r="K150" cm="1">
        <f t="array" ref="K150">INDEX(DataAll!$AM$2:$AM$555,MATCH(LOWER(Data!A150),LOWER(DataAll!$AL$2:$AL$555),0))</f>
        <v>4.5199999999999996</v>
      </c>
      <c r="L150" t="e" cm="1">
        <f t="array" ref="L150">INDEX(DataAll!$AJ$2:$AJ$555,MATCH(LOWER(Data!A150),LOWER(DataAll!$AI$2:$AI$555),0))</f>
        <v>#N/A</v>
      </c>
      <c r="M150" cm="1">
        <f t="array" ref="M150">INDEX(DataAll!$AP$2:$AP$555,MATCH(LOWER(Data!A150),LOWER(DataAll!$AO$2:$AO$555),0))</f>
        <v>69.3</v>
      </c>
      <c r="N150" cm="1">
        <f t="array" ref="N150">INDEX(DataAll!$AQ$2:$AQ$555,MATCH(LOWER(Data!A150),LOWER(DataAll!$AO$2:$AO$555),0))</f>
        <v>73.260000000000005</v>
      </c>
      <c r="O150" cm="1">
        <f t="array" ref="O150">INDEX(DataAll!$AT$2:$AT$555,MATCH(LOWER(Data!A150),LOWER(DataAll!$AS$2:$AS$555),0))</f>
        <v>8.4499999999999993</v>
      </c>
      <c r="P150" cm="1">
        <f t="array" ref="P150">INDEX(DataAll!$AU$2:$AU$555,MATCH(LOWER(Data!A150),LOWER(DataAll!$AS$2:$AS$555),0))</f>
        <v>8.11</v>
      </c>
      <c r="Q150" cm="1">
        <f t="array" ref="Q150">INDEX(DataAll!$AX$2:$AX$556,MATCH(LOWER(Data!A150),LOWER(DataAll!$AW$2:$AW$556),0))</f>
        <v>37.18</v>
      </c>
      <c r="R150" cm="1">
        <f t="array" ref="R150">INDEX('Longitude and Latitude'!$B$2:$B$579,MATCH(LOWER(Data!A150),LOWER('Longitude and Latitude'!$A$2:$A$579),0))</f>
        <v>-2.7410513000000001</v>
      </c>
      <c r="S150" cm="1">
        <f t="array" ref="S150">INDEX('Longitude and Latitude'!$C$2:$C$579,MATCH(LOWER(Data!A150),LOWER('Longitude and Latitude'!$A$2:$A$579),0))</f>
        <v>106.4405872</v>
      </c>
      <c r="T150" t="b">
        <f>IF(EXACT(A150, UPPER(A150)), TRUE, FALSE)</f>
        <v>1</v>
      </c>
    </row>
    <row r="151" spans="1:20" x14ac:dyDescent="0.35">
      <c r="A151" t="s">
        <v>151</v>
      </c>
      <c r="B151">
        <v>89.24</v>
      </c>
      <c r="C151" cm="1">
        <f t="array" ref="C151">INDEX(DataAll!$E$2:$E$555,MATCH(LOWER(Data!A151),LOWER(DataAll!$D$2:$D$555),0))</f>
        <v>61.19</v>
      </c>
      <c r="D151" cm="1">
        <f t="array" ref="D151">INDEX(DataAll!$H$2:$H$579,MATCH(LOWER(Data!A151),LOWER(DataAll!$G$2:$G$555),0))</f>
        <v>0.48799999999999999</v>
      </c>
      <c r="E151" cm="1">
        <f t="array" ref="E151">INDEX(DataAll!$K$2:$K$579,MATCH(LOWER(Data!A151),LOWER(DataAll!$J$2:$J$555),0))</f>
        <v>14.71</v>
      </c>
      <c r="F151" cm="1">
        <f t="array" ref="F151">INDEX(DataAll!$N$2:$N$555,MATCH(LOWER(Data!A151),LOWER(DataAll!$M$2:$M$555),0))</f>
        <v>59.99</v>
      </c>
      <c r="G151" cm="1">
        <f t="array" ref="G151">INDEX(DataAll!$Q$2:$Q$555,MATCH(LOWER(Data!A151),LOWER(DataAll!$P$2:$P$555),0))</f>
        <v>13.4</v>
      </c>
      <c r="H151" cm="1">
        <f t="array" ref="H151">INDEX(DataAll!$T$2:$T$555,MATCH(LOWER(Data!A151),LOWER(DataAll!$S$2:$S$555),0))</f>
        <v>0.28799999999999998</v>
      </c>
      <c r="I151" cm="1">
        <f t="array" ref="I151">INDEX(DataAll!$W$2:$W$555,MATCH(LOWER(Data!A151),LOWER(DataAll!$V$2:$V$555),0))</f>
        <v>25.28</v>
      </c>
      <c r="J151" cm="1">
        <f t="array" ref="J151">INDEX(DataAll!$Z$2:$Z$555,MATCH(LOWER(Data!A151),LOWER(DataAll!$Y$2:$Y$555),0))</f>
        <v>2.34</v>
      </c>
      <c r="K151" cm="1">
        <f t="array" ref="K151">INDEX(DataAll!$AM$2:$AM$555,MATCH(LOWER(Data!A151),LOWER(DataAll!$AL$2:$AL$555),0))</f>
        <v>4.32</v>
      </c>
      <c r="L151" cm="1">
        <f t="array" ref="L151">INDEX(DataAll!$AJ$2:$AJ$555,MATCH(LOWER(Data!A151),LOWER(DataAll!$AI$2:$AI$555),0))</f>
        <v>18.309999999999999</v>
      </c>
      <c r="M151" cm="1">
        <f t="array" ref="M151">INDEX(DataAll!$AP$2:$AP$555,MATCH(LOWER(Data!A151),LOWER(DataAll!$AO$2:$AO$555),0))</f>
        <v>69.650000000000006</v>
      </c>
      <c r="N151" cm="1">
        <f t="array" ref="N151">INDEX(DataAll!$AQ$2:$AQ$555,MATCH(LOWER(Data!A151),LOWER(DataAll!$AO$2:$AO$555),0))</f>
        <v>73.63</v>
      </c>
      <c r="O151" cm="1">
        <f t="array" ref="O151">INDEX(DataAll!$AT$2:$AT$555,MATCH(LOWER(Data!A151),LOWER(DataAll!$AS$2:$AS$555),0))</f>
        <v>8.74</v>
      </c>
      <c r="P151" cm="1">
        <f t="array" ref="P151">INDEX(DataAll!$AU$2:$AU$555,MATCH(LOWER(Data!A151),LOWER(DataAll!$AS$2:$AS$555),0))</f>
        <v>8.16</v>
      </c>
      <c r="Q151" cm="1">
        <f t="array" ref="Q151">INDEX(DataAll!$AX$2:$AX$556,MATCH(LOWER(Data!A151),LOWER(DataAll!$AW$2:$AW$556),0))</f>
        <v>37.85</v>
      </c>
      <c r="R151" cm="1">
        <f t="array" ref="R151">INDEX('Longitude and Latitude'!$B$2:$B$579,MATCH(LOWER(Data!A151),LOWER('Longitude and Latitude'!$A$2:$A$579),0))</f>
        <v>-2.2884782000000001</v>
      </c>
      <c r="S151" cm="1">
        <f t="array" ref="S151">INDEX('Longitude and Latitude'!$C$2:$C$579,MATCH(LOWER(Data!A151),LOWER('Longitude and Latitude'!$A$2:$A$579),0))</f>
        <v>106.0640179</v>
      </c>
      <c r="T151" t="b">
        <f>IF(EXACT(A151, UPPER(A151)), TRUE, FALSE)</f>
        <v>0</v>
      </c>
    </row>
    <row r="152" spans="1:20" x14ac:dyDescent="0.35">
      <c r="A152" t="s">
        <v>152</v>
      </c>
      <c r="B152">
        <v>89.21</v>
      </c>
      <c r="C152" cm="1">
        <f t="array" ref="C152">INDEX(DataAll!$E$2:$E$555,MATCH(LOWER(Data!A152),LOWER(DataAll!$D$2:$D$555),0))</f>
        <v>53.47</v>
      </c>
      <c r="D152" cm="1">
        <f t="array" ref="D152">INDEX(DataAll!$H$2:$H$579,MATCH(LOWER(Data!A152),LOWER(DataAll!$G$2:$G$555),0))</f>
        <v>0.28699999999999998</v>
      </c>
      <c r="E152" cm="1">
        <f t="array" ref="E152">INDEX(DataAll!$K$2:$K$579,MATCH(LOWER(Data!A152),LOWER(DataAll!$J$2:$J$555),0))</f>
        <v>8</v>
      </c>
      <c r="F152" cm="1">
        <f t="array" ref="F152">INDEX(DataAll!$N$2:$N$555,MATCH(LOWER(Data!A152),LOWER(DataAll!$M$2:$M$555),0))</f>
        <v>55.26</v>
      </c>
      <c r="G152" cm="1">
        <f t="array" ref="G152">INDEX(DataAll!$Q$2:$Q$555,MATCH(LOWER(Data!A152),LOWER(DataAll!$P$2:$P$555),0))</f>
        <v>13.14</v>
      </c>
      <c r="H152" cm="1">
        <f t="array" ref="H152">INDEX(DataAll!$T$2:$T$555,MATCH(LOWER(Data!A152),LOWER(DataAll!$S$2:$S$555),0))</f>
        <v>0.28100000000000003</v>
      </c>
      <c r="I152" cm="1">
        <f t="array" ref="I152">INDEX(DataAll!$W$2:$W$555,MATCH(LOWER(Data!A152),LOWER(DataAll!$V$2:$V$555),0))</f>
        <v>23.24</v>
      </c>
      <c r="J152" cm="1">
        <f t="array" ref="J152">INDEX(DataAll!$Z$2:$Z$555,MATCH(LOWER(Data!A152),LOWER(DataAll!$Y$2:$Y$555),0))</f>
        <v>2.13</v>
      </c>
      <c r="K152" cm="1">
        <f t="array" ref="K152">INDEX(DataAll!$AM$2:$AM$555,MATCH(LOWER(Data!A152),LOWER(DataAll!$AL$2:$AL$555),0))</f>
        <v>6.46</v>
      </c>
      <c r="L152" cm="1">
        <f t="array" ref="L152">INDEX(DataAll!$AJ$2:$AJ$555,MATCH(LOWER(Data!A152),LOWER(DataAll!$AI$2:$AI$555),0))</f>
        <v>19.37</v>
      </c>
      <c r="M152" cm="1">
        <f t="array" ref="M152">INDEX(DataAll!$AP$2:$AP$555,MATCH(LOWER(Data!A152),LOWER(DataAll!$AO$2:$AO$555),0))</f>
        <v>69.599999999999994</v>
      </c>
      <c r="N152" cm="1">
        <f t="array" ref="N152">INDEX(DataAll!$AQ$2:$AQ$555,MATCH(LOWER(Data!A152),LOWER(DataAll!$AO$2:$AO$555),0))</f>
        <v>73.569999999999993</v>
      </c>
      <c r="O152" cm="1">
        <f t="array" ref="O152">INDEX(DataAll!$AT$2:$AT$555,MATCH(LOWER(Data!A152),LOWER(DataAll!$AS$2:$AS$555),0))</f>
        <v>9.08</v>
      </c>
      <c r="P152" cm="1">
        <f t="array" ref="P152">INDEX(DataAll!$AU$2:$AU$555,MATCH(LOWER(Data!A152),LOWER(DataAll!$AS$2:$AS$555),0))</f>
        <v>8.65</v>
      </c>
      <c r="Q152" cm="1">
        <f t="array" ref="Q152">INDEX(DataAll!$AX$2:$AX$556,MATCH(LOWER(Data!A152),LOWER(DataAll!$AW$2:$AW$556),0))</f>
        <v>43.38</v>
      </c>
      <c r="R152" cm="1">
        <f t="array" ref="R152">INDEX('Longitude and Latitude'!$B$2:$B$579,MATCH(LOWER(Data!A152),LOWER('Longitude and Latitude'!$A$2:$A$579),0))</f>
        <v>-2.8708938000000002</v>
      </c>
      <c r="S152" cm="1">
        <f t="array" ref="S152">INDEX('Longitude and Latitude'!$C$2:$C$579,MATCH(LOWER(Data!A152),LOWER('Longitude and Latitude'!$A$2:$A$579),0))</f>
        <v>107.9531836</v>
      </c>
      <c r="T152" t="b">
        <f>IF(EXACT(A152, UPPER(A152)), TRUE, FALSE)</f>
        <v>0</v>
      </c>
    </row>
    <row r="153" spans="1:20" x14ac:dyDescent="0.35">
      <c r="A153" t="s">
        <v>153</v>
      </c>
      <c r="B153">
        <v>90.36</v>
      </c>
      <c r="C153" cm="1">
        <f t="array" ref="C153">INDEX(DataAll!$E$2:$E$555,MATCH(LOWER(Data!A153),LOWER(DataAll!$D$2:$D$555),0))</f>
        <v>64.150000000000006</v>
      </c>
      <c r="D153" cm="1">
        <f t="array" ref="D153">INDEX(DataAll!$H$2:$H$579,MATCH(LOWER(Data!A153),LOWER(DataAll!$G$2:$G$555),0))</f>
        <v>0.45900000000000002</v>
      </c>
      <c r="E153" cm="1">
        <f t="array" ref="E153">INDEX(DataAll!$K$2:$K$579,MATCH(LOWER(Data!A153),LOWER(DataAll!$J$2:$J$555),0))</f>
        <v>16</v>
      </c>
      <c r="F153" cm="1">
        <f t="array" ref="F153">INDEX(DataAll!$N$2:$N$555,MATCH(LOWER(Data!A153),LOWER(DataAll!$M$2:$M$555),0))</f>
        <v>58.43</v>
      </c>
      <c r="G153" cm="1">
        <f t="array" ref="G153">INDEX(DataAll!$Q$2:$Q$555,MATCH(LOWER(Data!A153),LOWER(DataAll!$P$2:$P$555),0))</f>
        <v>13.79</v>
      </c>
      <c r="H153" cm="1">
        <f t="array" ref="H153">INDEX(DataAll!$T$2:$T$555,MATCH(LOWER(Data!A153),LOWER(DataAll!$S$2:$S$555),0))</f>
        <v>0.32600000000000001</v>
      </c>
      <c r="I153" cm="1">
        <f t="array" ref="I153">INDEX(DataAll!$W$2:$W$555,MATCH(LOWER(Data!A153),LOWER(DataAll!$V$2:$V$555),0))</f>
        <v>27.36</v>
      </c>
      <c r="J153" cm="1">
        <f t="array" ref="J153">INDEX(DataAll!$Z$2:$Z$555,MATCH(LOWER(Data!A153),LOWER(DataAll!$Y$2:$Y$555),0))</f>
        <v>2.23</v>
      </c>
      <c r="K153" cm="1">
        <f t="array" ref="K153">INDEX(DataAll!$AM$2:$AM$555,MATCH(LOWER(Data!A153),LOWER(DataAll!$AL$2:$AL$555),0))</f>
        <v>2.71</v>
      </c>
      <c r="L153" cm="1">
        <f t="array" ref="L153">INDEX(DataAll!$AJ$2:$AJ$555,MATCH(LOWER(Data!A153),LOWER(DataAll!$AI$2:$AI$555),0))</f>
        <v>21.23</v>
      </c>
      <c r="M153" cm="1">
        <f t="array" ref="M153">INDEX(DataAll!$AP$2:$AP$555,MATCH(LOWER(Data!A153),LOWER(DataAll!$AO$2:$AO$555),0))</f>
        <v>68.510000000000005</v>
      </c>
      <c r="N153" cm="1">
        <f t="array" ref="N153">INDEX(DataAll!$AQ$2:$AQ$555,MATCH(LOWER(Data!A153),LOWER(DataAll!$AO$2:$AO$555),0))</f>
        <v>72.44</v>
      </c>
      <c r="O153" cm="1">
        <f t="array" ref="O153">INDEX(DataAll!$AT$2:$AT$555,MATCH(LOWER(Data!A153),LOWER(DataAll!$AS$2:$AS$555),0))</f>
        <v>8.07</v>
      </c>
      <c r="P153" cm="1">
        <f t="array" ref="P153">INDEX(DataAll!$AU$2:$AU$555,MATCH(LOWER(Data!A153),LOWER(DataAll!$AS$2:$AS$555),0))</f>
        <v>7.42</v>
      </c>
      <c r="Q153" cm="1">
        <f t="array" ref="Q153">INDEX(DataAll!$AX$2:$AX$556,MATCH(LOWER(Data!A153),LOWER(DataAll!$AW$2:$AW$556),0))</f>
        <v>32.840000000000003</v>
      </c>
      <c r="R153" cm="1">
        <f t="array" ref="R153">INDEX('Longitude and Latitude'!$B$2:$B$579,MATCH(LOWER(Data!A153),LOWER('Longitude and Latitude'!$A$2:$A$579),0))</f>
        <v>-2.2884782000000001</v>
      </c>
      <c r="S153" cm="1">
        <f t="array" ref="S153">INDEX('Longitude and Latitude'!$C$2:$C$579,MATCH(LOWER(Data!A153),LOWER('Longitude and Latitude'!$A$2:$A$579),0))</f>
        <v>106.0640179</v>
      </c>
      <c r="T153" t="b">
        <f>IF(EXACT(A153, UPPER(A153)), TRUE, FALSE)</f>
        <v>0</v>
      </c>
    </row>
    <row r="154" spans="1:20" x14ac:dyDescent="0.35">
      <c r="A154" t="s">
        <v>154</v>
      </c>
      <c r="B154">
        <v>91.91</v>
      </c>
      <c r="C154" cm="1">
        <f t="array" ref="C154">INDEX(DataAll!$E$2:$E$555,MATCH(LOWER(Data!A154),LOWER(DataAll!$D$2:$D$555),0))</f>
        <v>63.29</v>
      </c>
      <c r="D154" cm="1">
        <f t="array" ref="D154">INDEX(DataAll!$H$2:$H$579,MATCH(LOWER(Data!A154),LOWER(DataAll!$G$2:$G$555),0))</f>
        <v>0.38800000000000001</v>
      </c>
      <c r="E154" cm="1">
        <f t="array" ref="E154">INDEX(DataAll!$K$2:$K$579,MATCH(LOWER(Data!A154),LOWER(DataAll!$J$2:$J$555),0))</f>
        <v>20</v>
      </c>
      <c r="F154" cm="1">
        <f t="array" ref="F154">INDEX(DataAll!$N$2:$N$555,MATCH(LOWER(Data!A154),LOWER(DataAll!$M$2:$M$555),0))</f>
        <v>58.19</v>
      </c>
      <c r="G154" cm="1">
        <f t="array" ref="G154">INDEX(DataAll!$Q$2:$Q$555,MATCH(LOWER(Data!A154),LOWER(DataAll!$P$2:$P$555),0))</f>
        <v>14.51</v>
      </c>
      <c r="H154" cm="1">
        <f t="array" ref="H154">INDEX(DataAll!$T$2:$T$555,MATCH(LOWER(Data!A154),LOWER(DataAll!$S$2:$S$555),0))</f>
        <v>0.38300000000000001</v>
      </c>
      <c r="I154" cm="1">
        <f t="array" ref="I154">INDEX(DataAll!$W$2:$W$555,MATCH(LOWER(Data!A154),LOWER(DataAll!$V$2:$V$555),0))</f>
        <v>22.44</v>
      </c>
      <c r="J154" cm="1">
        <f t="array" ref="J154">INDEX(DataAll!$Z$2:$Z$555,MATCH(LOWER(Data!A154),LOWER(DataAll!$Y$2:$Y$555),0))</f>
        <v>2.3199999999999998</v>
      </c>
      <c r="K154" cm="1">
        <f t="array" ref="K154">INDEX(DataAll!$AM$2:$AM$555,MATCH(LOWER(Data!A154),LOWER(DataAll!$AL$2:$AL$555),0))</f>
        <v>5.29</v>
      </c>
      <c r="L154" cm="1">
        <f t="array" ref="L154">INDEX(DataAll!$AJ$2:$AJ$555,MATCH(LOWER(Data!A154),LOWER(DataAll!$AI$2:$AI$555),0))</f>
        <v>21.21</v>
      </c>
      <c r="M154" cm="1">
        <f t="array" ref="M154">INDEX(DataAll!$AP$2:$AP$555,MATCH(LOWER(Data!A154),LOWER(DataAll!$AO$2:$AO$555),0))</f>
        <v>70.16</v>
      </c>
      <c r="N154" cm="1">
        <f t="array" ref="N154">INDEX(DataAll!$AQ$2:$AQ$555,MATCH(LOWER(Data!A154),LOWER(DataAll!$AO$2:$AO$555),0))</f>
        <v>74.16</v>
      </c>
      <c r="O154" cm="1">
        <f t="array" ref="O154">INDEX(DataAll!$AT$2:$AT$555,MATCH(LOWER(Data!A154),LOWER(DataAll!$AS$2:$AS$555),0))</f>
        <v>7.66</v>
      </c>
      <c r="P154" cm="1">
        <f t="array" ref="P154">INDEX(DataAll!$AU$2:$AU$555,MATCH(LOWER(Data!A154),LOWER(DataAll!$AS$2:$AS$555),0))</f>
        <v>6.94</v>
      </c>
      <c r="Q154" cm="1">
        <f t="array" ref="Q154">INDEX(DataAll!$AX$2:$AX$556,MATCH(LOWER(Data!A154),LOWER(DataAll!$AW$2:$AW$556),0))</f>
        <v>23.05</v>
      </c>
      <c r="R154" cm="1">
        <f t="array" ref="R154">INDEX('Longitude and Latitude'!$B$2:$B$579,MATCH(LOWER(Data!A154),LOWER('Longitude and Latitude'!$A$2:$A$579),0))</f>
        <v>-2.2884782000000001</v>
      </c>
      <c r="S154" cm="1">
        <f t="array" ref="S154">INDEX('Longitude and Latitude'!$C$2:$C$579,MATCH(LOWER(Data!A154),LOWER('Longitude and Latitude'!$A$2:$A$579),0))</f>
        <v>106.0640179</v>
      </c>
      <c r="T154" t="b">
        <f>IF(EXACT(A154, UPPER(A154)), TRUE, FALSE)</f>
        <v>0</v>
      </c>
    </row>
    <row r="155" spans="1:20" x14ac:dyDescent="0.35">
      <c r="A155" t="s">
        <v>155</v>
      </c>
      <c r="B155">
        <v>84.81</v>
      </c>
      <c r="C155" cm="1">
        <f t="array" ref="C155">INDEX(DataAll!$E$2:$E$555,MATCH(LOWER(Data!A155),LOWER(DataAll!$D$2:$D$555),0))</f>
        <v>49.45</v>
      </c>
      <c r="D155" cm="1">
        <f t="array" ref="D155">INDEX(DataAll!$H$2:$H$579,MATCH(LOWER(Data!A155),LOWER(DataAll!$G$2:$G$555),0))</f>
        <v>0.59899999999999998</v>
      </c>
      <c r="E155" cm="1">
        <f t="array" ref="E155">INDEX(DataAll!$K$2:$K$579,MATCH(LOWER(Data!A155),LOWER(DataAll!$J$2:$J$555),0))</f>
        <v>8</v>
      </c>
      <c r="F155" cm="1">
        <f t="array" ref="F155">INDEX(DataAll!$N$2:$N$555,MATCH(LOWER(Data!A155),LOWER(DataAll!$M$2:$M$555),0))</f>
        <v>56.11</v>
      </c>
      <c r="G155" cm="1">
        <f t="array" ref="G155">INDEX(DataAll!$Q$2:$Q$555,MATCH(LOWER(Data!A155),LOWER(DataAll!$P$2:$P$555),0))</f>
        <v>13.08</v>
      </c>
      <c r="H155" cm="1">
        <f t="array" ref="H155">INDEX(DataAll!$T$2:$T$555,MATCH(LOWER(Data!A155),LOWER(DataAll!$S$2:$S$555),0))</f>
        <v>0.46200000000000002</v>
      </c>
      <c r="I155" cm="1">
        <f t="array" ref="I155">INDEX(DataAll!$W$2:$W$555,MATCH(LOWER(Data!A155),LOWER(DataAll!$V$2:$V$555),0))</f>
        <v>22.16</v>
      </c>
      <c r="J155" cm="1">
        <f t="array" ref="J155">INDEX(DataAll!$Z$2:$Z$555,MATCH(LOWER(Data!A155),LOWER(DataAll!$Y$2:$Y$555),0))</f>
        <v>2.15</v>
      </c>
      <c r="K155" cm="1">
        <f t="array" ref="K155">INDEX(DataAll!$AM$2:$AM$555,MATCH(LOWER(Data!A155),LOWER(DataAll!$AL$2:$AL$555),0))</f>
        <v>3.11</v>
      </c>
      <c r="L155" cm="1">
        <f t="array" ref="L155">INDEX(DataAll!$AJ$2:$AJ$555,MATCH(LOWER(Data!A155),LOWER(DataAll!$AI$2:$AI$555),0))</f>
        <v>23.69</v>
      </c>
      <c r="M155" cm="1">
        <f t="array" ref="M155">INDEX(DataAll!$AP$2:$AP$555,MATCH(LOWER(Data!A155),LOWER(DataAll!$AO$2:$AO$555),0))</f>
        <v>67.05</v>
      </c>
      <c r="N155" cm="1">
        <f t="array" ref="N155">INDEX(DataAll!$AQ$2:$AQ$555,MATCH(LOWER(Data!A155),LOWER(DataAll!$AO$2:$AO$555),0))</f>
        <v>71.02</v>
      </c>
      <c r="O155" cm="1">
        <f t="array" ref="O155">INDEX(DataAll!$AT$2:$AT$555,MATCH(LOWER(Data!A155),LOWER(DataAll!$AS$2:$AS$555),0))</f>
        <v>7.23</v>
      </c>
      <c r="P155" cm="1">
        <f t="array" ref="P155">INDEX(DataAll!$AU$2:$AU$555,MATCH(LOWER(Data!A155),LOWER(DataAll!$AS$2:$AS$555),0))</f>
        <v>6.72</v>
      </c>
      <c r="Q155" cm="1">
        <f t="array" ref="Q155">INDEX(DataAll!$AX$2:$AX$556,MATCH(LOWER(Data!A155),LOWER(DataAll!$AW$2:$AW$556),0))</f>
        <v>24.61</v>
      </c>
      <c r="R155" cm="1">
        <f t="array" ref="R155">INDEX('Longitude and Latitude'!$B$2:$B$579,MATCH(LOWER(Data!A155),LOWER('Longitude and Latitude'!$A$2:$A$579),0))</f>
        <v>-2.2884782000000001</v>
      </c>
      <c r="S155" cm="1">
        <f t="array" ref="S155">INDEX('Longitude and Latitude'!$C$2:$C$579,MATCH(LOWER(Data!A155),LOWER('Longitude and Latitude'!$A$2:$A$579),0))</f>
        <v>106.0640179</v>
      </c>
      <c r="T155" t="b">
        <f>IF(EXACT(A155, UPPER(A155)), TRUE, FALSE)</f>
        <v>0</v>
      </c>
    </row>
    <row r="156" spans="1:20" x14ac:dyDescent="0.35">
      <c r="A156" t="s">
        <v>156</v>
      </c>
      <c r="B156">
        <v>87.3</v>
      </c>
      <c r="C156" cm="1">
        <f t="array" ref="C156">INDEX(DataAll!$E$2:$E$555,MATCH(LOWER(Data!A156),LOWER(DataAll!$D$2:$D$555),0))</f>
        <v>54.92</v>
      </c>
      <c r="D156" cm="1">
        <f t="array" ref="D156">INDEX(DataAll!$H$2:$H$579,MATCH(LOWER(Data!A156),LOWER(DataAll!$G$2:$G$555),0))</f>
        <v>0.47699999999999998</v>
      </c>
      <c r="E156" cm="1">
        <f t="array" ref="E156">INDEX(DataAll!$K$2:$K$579,MATCH(LOWER(Data!A156),LOWER(DataAll!$J$2:$J$555),0))</f>
        <v>8</v>
      </c>
      <c r="F156" cm="1">
        <f t="array" ref="F156">INDEX(DataAll!$N$2:$N$555,MATCH(LOWER(Data!A156),LOWER(DataAll!$M$2:$M$555),0))</f>
        <v>62.69</v>
      </c>
      <c r="G156" cm="1">
        <f t="array" ref="G156">INDEX(DataAll!$Q$2:$Q$555,MATCH(LOWER(Data!A156),LOWER(DataAll!$P$2:$P$555),0))</f>
        <v>12.24</v>
      </c>
      <c r="H156" cm="1">
        <f t="array" ref="H156">INDEX(DataAll!$T$2:$T$555,MATCH(LOWER(Data!A156),LOWER(DataAll!$S$2:$S$555),0))</f>
        <v>0.29699999999999999</v>
      </c>
      <c r="I156" cm="1">
        <f t="array" ref="I156">INDEX(DataAll!$W$2:$W$555,MATCH(LOWER(Data!A156),LOWER(DataAll!$V$2:$V$555),0))</f>
        <v>27.48</v>
      </c>
      <c r="J156" cm="1">
        <f t="array" ref="J156">INDEX(DataAll!$Z$2:$Z$555,MATCH(LOWER(Data!A156),LOWER(DataAll!$Y$2:$Y$555),0))</f>
        <v>2.11</v>
      </c>
      <c r="K156" cm="1">
        <f t="array" ref="K156">INDEX(DataAll!$AM$2:$AM$555,MATCH(LOWER(Data!A156),LOWER(DataAll!$AL$2:$AL$555),0))</f>
        <v>6.73</v>
      </c>
      <c r="L156" cm="1">
        <f t="array" ref="L156">INDEX(DataAll!$AJ$2:$AJ$555,MATCH(LOWER(Data!A156),LOWER(DataAll!$AI$2:$AI$555),0))</f>
        <v>20.85</v>
      </c>
      <c r="M156" cm="1">
        <f t="array" ref="M156">INDEX(DataAll!$AP$2:$AP$555,MATCH(LOWER(Data!A156),LOWER(DataAll!$AO$2:$AO$555),0))</f>
        <v>70.62</v>
      </c>
      <c r="N156" cm="1">
        <f t="array" ref="N156">INDEX(DataAll!$AQ$2:$AQ$555,MATCH(LOWER(Data!A156),LOWER(DataAll!$AO$2:$AO$555),0))</f>
        <v>74.650000000000006</v>
      </c>
      <c r="O156" cm="1">
        <f t="array" ref="O156">INDEX(DataAll!$AT$2:$AT$555,MATCH(LOWER(Data!A156),LOWER(DataAll!$AS$2:$AS$555),0))</f>
        <v>8.98</v>
      </c>
      <c r="P156" cm="1">
        <f t="array" ref="P156">INDEX(DataAll!$AU$2:$AU$555,MATCH(LOWER(Data!A156),LOWER(DataAll!$AS$2:$AS$555),0))</f>
        <v>8.7899999999999991</v>
      </c>
      <c r="Q156" cm="1">
        <f t="array" ref="Q156">INDEX(DataAll!$AX$2:$AX$556,MATCH(LOWER(Data!A156),LOWER(DataAll!$AW$2:$AW$556),0))</f>
        <v>41.02</v>
      </c>
      <c r="R156" cm="1">
        <f t="array" ref="R156">INDEX('Longitude and Latitude'!$B$2:$B$579,MATCH(LOWER(Data!A156),LOWER('Longitude and Latitude'!$A$2:$A$579),0))</f>
        <v>-2.8708938000000002</v>
      </c>
      <c r="S156" cm="1">
        <f t="array" ref="S156">INDEX('Longitude and Latitude'!$C$2:$C$579,MATCH(LOWER(Data!A156),LOWER('Longitude and Latitude'!$A$2:$A$579),0))</f>
        <v>107.9531836</v>
      </c>
      <c r="T156" t="b">
        <f>IF(EXACT(A156, UPPER(A156)), TRUE, FALSE)</f>
        <v>0</v>
      </c>
    </row>
    <row r="157" spans="1:20" x14ac:dyDescent="0.35">
      <c r="A157" t="s">
        <v>157</v>
      </c>
      <c r="B157">
        <v>93.16</v>
      </c>
      <c r="C157" cm="1">
        <f t="array" ref="C157">INDEX(DataAll!$E$2:$E$555,MATCH(LOWER(Data!A157),LOWER(DataAll!$D$2:$D$555),0))</f>
        <v>65.099999999999994</v>
      </c>
      <c r="D157" cm="1">
        <f t="array" ref="D157">INDEX(DataAll!$H$2:$H$579,MATCH(LOWER(Data!A157),LOWER(DataAll!$G$2:$G$555),0))</f>
        <v>0.217</v>
      </c>
      <c r="E157" cm="1">
        <f t="array" ref="E157">INDEX(DataAll!$K$2:$K$579,MATCH(LOWER(Data!A157),LOWER(DataAll!$J$2:$J$555),0))</f>
        <v>13.33</v>
      </c>
      <c r="F157" cm="1">
        <f t="array" ref="F157">INDEX(DataAll!$N$2:$N$555,MATCH(LOWER(Data!A157),LOWER(DataAll!$M$2:$M$555),0))</f>
        <v>54.55</v>
      </c>
      <c r="G157" cm="1">
        <f t="array" ref="G157">INDEX(DataAll!$Q$2:$Q$555,MATCH(LOWER(Data!A157),LOWER(DataAll!$P$2:$P$555),0))</f>
        <v>12.74</v>
      </c>
      <c r="H157" cm="1">
        <f t="array" ref="H157">INDEX(DataAll!$T$2:$T$555,MATCH(LOWER(Data!A157),LOWER(DataAll!$S$2:$S$555),0))</f>
        <v>0.193</v>
      </c>
      <c r="I157" cm="1">
        <f t="array" ref="I157">INDEX(DataAll!$W$2:$W$555,MATCH(LOWER(Data!A157),LOWER(DataAll!$V$2:$V$555),0))</f>
        <v>30.08</v>
      </c>
      <c r="J157" cm="1">
        <f t="array" ref="J157">INDEX(DataAll!$Z$2:$Z$555,MATCH(LOWER(Data!A157),LOWER(DataAll!$Y$2:$Y$555),0))</f>
        <v>2.2599999999999998</v>
      </c>
      <c r="K157" cm="1">
        <f t="array" ref="K157">INDEX(DataAll!$AM$2:$AM$555,MATCH(LOWER(Data!A157),LOWER(DataAll!$AL$2:$AL$555),0))</f>
        <v>4.2699999999999996</v>
      </c>
      <c r="L157" cm="1">
        <f t="array" ref="L157">INDEX(DataAll!$AJ$2:$AJ$555,MATCH(LOWER(Data!A157),LOWER(DataAll!$AI$2:$AI$555),0))</f>
        <v>14.61</v>
      </c>
      <c r="M157" cm="1">
        <f t="array" ref="M157">INDEX(DataAll!$AP$2:$AP$555,MATCH(LOWER(Data!A157),LOWER(DataAll!$AO$2:$AO$555),0))</f>
        <v>72.180000000000007</v>
      </c>
      <c r="N157" cm="1">
        <f t="array" ref="N157">INDEX(DataAll!$AQ$2:$AQ$555,MATCH(LOWER(Data!A157),LOWER(DataAll!$AO$2:$AO$555),0))</f>
        <v>75.900000000000006</v>
      </c>
      <c r="O157" cm="1">
        <f t="array" ref="O157">INDEX(DataAll!$AT$2:$AT$555,MATCH(LOWER(Data!A157),LOWER(DataAll!$AS$2:$AS$555),0))</f>
        <v>10.84</v>
      </c>
      <c r="P157" cm="1">
        <f t="array" ref="P157">INDEX(DataAll!$AU$2:$AU$555,MATCH(LOWER(Data!A157),LOWER(DataAll!$AS$2:$AS$555),0))</f>
        <v>10.08</v>
      </c>
      <c r="Q157" cm="1">
        <f t="array" ref="Q157">INDEX(DataAll!$AX$2:$AX$556,MATCH(LOWER(Data!A157),LOWER(DataAll!$AW$2:$AW$556),0))</f>
        <v>55.68</v>
      </c>
      <c r="R157" cm="1">
        <f t="array" ref="R157">INDEX('Longitude and Latitude'!$B$2:$B$579,MATCH(LOWER(Data!A157),LOWER('Longitude and Latitude'!$A$2:$A$579),0))</f>
        <v>-2.1293229999999999</v>
      </c>
      <c r="S157" cm="1">
        <f t="array" ref="S157">INDEX('Longitude and Latitude'!$C$2:$C$579,MATCH(LOWER(Data!A157),LOWER('Longitude and Latitude'!$A$2:$A$579),0))</f>
        <v>106.109596</v>
      </c>
      <c r="T157" t="b">
        <f>IF(EXACT(A157, UPPER(A157)), TRUE, FALSE)</f>
        <v>0</v>
      </c>
    </row>
    <row r="158" spans="1:20" x14ac:dyDescent="0.35">
      <c r="A158" t="s">
        <v>697</v>
      </c>
      <c r="B158">
        <v>93.96</v>
      </c>
      <c r="C158" cm="1">
        <f t="array" ref="C158">INDEX(DataAll!$E$2:$E$555,MATCH(LOWER(Data!A158),LOWER(DataAll!$D$2:$D$555),0))</f>
        <v>58.83</v>
      </c>
      <c r="D158" cm="1">
        <f t="array" ref="D158">INDEX(DataAll!$H$2:$H$579,MATCH(LOWER(Data!A158),LOWER(DataAll!$G$2:$G$555),0))</f>
        <v>0.34799999999999998</v>
      </c>
      <c r="E158" cm="1">
        <f t="array" ref="E158">INDEX(DataAll!$K$2:$K$579,MATCH(LOWER(Data!A158),LOWER(DataAll!$J$2:$J$555),0))</f>
        <v>8.89</v>
      </c>
      <c r="F158" cm="1">
        <f t="array" ref="F158">INDEX(DataAll!$N$2:$N$555,MATCH(LOWER(Data!A158),LOWER(DataAll!$M$2:$M$555),0))</f>
        <v>44.35</v>
      </c>
      <c r="G158" t="e" cm="1">
        <f t="array" ref="G158">INDEX(DataAll!$Q$2:$Q$555,MATCH(LOWER(Data!A158),LOWER(DataAll!$P$2:$P$555),0))</f>
        <v>#N/A</v>
      </c>
      <c r="H158" cm="1">
        <f t="array" ref="H158">INDEX(DataAll!$T$2:$T$555,MATCH(LOWER(Data!A158),LOWER(DataAll!$S$2:$S$555),0))</f>
        <v>0.14000000000000001</v>
      </c>
      <c r="I158" cm="1">
        <f t="array" ref="I158">INDEX(DataAll!$W$2:$W$555,MATCH(LOWER(Data!A158),LOWER(DataAll!$V$2:$V$555),0))</f>
        <v>28.01</v>
      </c>
      <c r="J158" cm="1">
        <f t="array" ref="J158">INDEX(DataAll!$Z$2:$Z$555,MATCH(LOWER(Data!A158),LOWER(DataAll!$Y$2:$Y$555),0))</f>
        <v>2.21</v>
      </c>
      <c r="K158" t="e" cm="1">
        <f t="array" ref="K158">INDEX(DataAll!$AM$2:$AM$555,MATCH(LOWER(Data!A158),LOWER(DataAll!$AL$2:$AL$555),0))</f>
        <v>#N/A</v>
      </c>
      <c r="L158" t="e" cm="1">
        <f t="array" ref="L158">INDEX(DataAll!$AJ$2:$AJ$555,MATCH(LOWER(Data!A158),LOWER(DataAll!$AI$2:$AI$555),0))</f>
        <v>#N/A</v>
      </c>
      <c r="M158" t="e" cm="1">
        <f t="array" ref="M158">INDEX(DataAll!$AP$2:$AP$555,MATCH(LOWER(Data!A158),LOWER(DataAll!$AO$2:$AO$555),0))</f>
        <v>#N/A</v>
      </c>
      <c r="N158" t="e" cm="1">
        <f t="array" ref="N158">INDEX(DataAll!$AQ$2:$AQ$555,MATCH(LOWER(Data!A158),LOWER(DataAll!$AO$2:$AO$555),0))</f>
        <v>#N/A</v>
      </c>
      <c r="O158" t="e" cm="1">
        <f t="array" ref="O158">INDEX(DataAll!$AT$2:$AT$555,MATCH(LOWER(Data!A158),LOWER(DataAll!$AS$2:$AS$555),0))</f>
        <v>#N/A</v>
      </c>
      <c r="P158" t="e" cm="1">
        <f t="array" ref="P158">INDEX(DataAll!$AU$2:$AU$555,MATCH(LOWER(Data!A158),LOWER(DataAll!$AS$2:$AS$555),0))</f>
        <v>#N/A</v>
      </c>
      <c r="Q158" t="e" cm="1">
        <f t="array" ref="Q158">INDEX(DataAll!$AX$2:$AX$556,MATCH(LOWER(Data!A158),LOWER(DataAll!$AW$2:$AW$556),0))</f>
        <v>#N/A</v>
      </c>
      <c r="R158" t="e" cm="1">
        <f t="array" ref="R158">INDEX('Longitude and Latitude'!$B$2:$B$579,MATCH(LOWER(Data!A158),LOWER('Longitude and Latitude'!$A$2:$A$579),0))</f>
        <v>#N/A</v>
      </c>
      <c r="S158" t="e" cm="1">
        <f t="array" ref="S158">INDEX('Longitude and Latitude'!$C$2:$C$579,MATCH(LOWER(Data!A158),LOWER('Longitude and Latitude'!$A$2:$A$579),0))</f>
        <v>#N/A</v>
      </c>
      <c r="T158" t="b">
        <f>IF(EXACT(A158, UPPER(A158)), TRUE, FALSE)</f>
        <v>1</v>
      </c>
    </row>
    <row r="159" spans="1:20" x14ac:dyDescent="0.35">
      <c r="A159" t="s">
        <v>159</v>
      </c>
      <c r="B159">
        <v>91.33</v>
      </c>
      <c r="C159" cm="1">
        <f t="array" ref="C159">INDEX(DataAll!$E$2:$E$555,MATCH(LOWER(Data!A159),LOWER(DataAll!$D$2:$D$555),0))</f>
        <v>57.07</v>
      </c>
      <c r="D159" cm="1">
        <f t="array" ref="D159">INDEX(DataAll!$H$2:$H$579,MATCH(LOWER(Data!A159),LOWER(DataAll!$G$2:$G$555),0))</f>
        <v>0.40100000000000002</v>
      </c>
      <c r="E159" cm="1">
        <f t="array" ref="E159">INDEX(DataAll!$K$2:$K$579,MATCH(LOWER(Data!A159),LOWER(DataAll!$J$2:$J$555),0))</f>
        <v>10</v>
      </c>
      <c r="F159" cm="1">
        <f t="array" ref="F159">INDEX(DataAll!$N$2:$N$555,MATCH(LOWER(Data!A159),LOWER(DataAll!$M$2:$M$555),0))</f>
        <v>43.77</v>
      </c>
      <c r="G159" cm="1">
        <f t="array" ref="G159">INDEX(DataAll!$Q$2:$Q$555,MATCH(LOWER(Data!A159),LOWER(DataAll!$P$2:$P$555),0))</f>
        <v>14.7</v>
      </c>
      <c r="H159" cm="1">
        <f t="array" ref="H159">INDEX(DataAll!$T$2:$T$555,MATCH(LOWER(Data!A159),LOWER(DataAll!$S$2:$S$555),0))</f>
        <v>0.185</v>
      </c>
      <c r="I159" cm="1">
        <f t="array" ref="I159">INDEX(DataAll!$W$2:$W$555,MATCH(LOWER(Data!A159),LOWER(DataAll!$V$2:$V$555),0))</f>
        <v>24.77</v>
      </c>
      <c r="J159" cm="1">
        <f t="array" ref="J159">INDEX(DataAll!$Z$2:$Z$555,MATCH(LOWER(Data!A159),LOWER(DataAll!$Y$2:$Y$555),0))</f>
        <v>2.2799999999999998</v>
      </c>
      <c r="K159" cm="1">
        <f t="array" ref="K159">INDEX(DataAll!$AM$2:$AM$555,MATCH(LOWER(Data!A159),LOWER(DataAll!$AL$2:$AL$555),0))</f>
        <v>5.95</v>
      </c>
      <c r="L159" cm="1">
        <f t="array" ref="L159">INDEX(DataAll!$AJ$2:$AJ$555,MATCH(LOWER(Data!A159),LOWER(DataAll!$AI$2:$AI$555),0))</f>
        <v>16.64</v>
      </c>
      <c r="M159" cm="1">
        <f t="array" ref="M159">INDEX(DataAll!$AP$2:$AP$555,MATCH(LOWER(Data!A159),LOWER(DataAll!$AO$2:$AO$555),0))</f>
        <v>70.06</v>
      </c>
      <c r="N159" cm="1">
        <f t="array" ref="N159">INDEX(DataAll!$AQ$2:$AQ$555,MATCH(LOWER(Data!A159),LOWER(DataAll!$AO$2:$AO$555),0))</f>
        <v>74.05</v>
      </c>
      <c r="O159" cm="1">
        <f t="array" ref="O159">INDEX(DataAll!$AT$2:$AT$555,MATCH(LOWER(Data!A159),LOWER(DataAll!$AS$2:$AS$555),0))</f>
        <v>8.9</v>
      </c>
      <c r="P159" cm="1">
        <f t="array" ref="P159">INDEX(DataAll!$AU$2:$AU$555,MATCH(LOWER(Data!A159),LOWER(DataAll!$AS$2:$AS$555),0))</f>
        <v>8.43</v>
      </c>
      <c r="Q159" cm="1">
        <f t="array" ref="Q159">INDEX(DataAll!$AX$2:$AX$556,MATCH(LOWER(Data!A159),LOWER(DataAll!$AW$2:$AW$556),0))</f>
        <v>39.04</v>
      </c>
      <c r="R159" cm="1">
        <f t="array" ref="R159">INDEX('Longitude and Latitude'!$B$2:$B$579,MATCH(LOWER(Data!A159),LOWER('Longitude and Latitude'!$A$2:$A$579),0))</f>
        <v>1.05</v>
      </c>
      <c r="S159" cm="1">
        <f t="array" ref="S159">INDEX('Longitude and Latitude'!$C$2:$C$579,MATCH(LOWER(Data!A159),LOWER('Longitude and Latitude'!$A$2:$A$579),0))</f>
        <v>103.3666667</v>
      </c>
      <c r="T159" t="b">
        <f>IF(EXACT(A159, UPPER(A159)), TRUE, FALSE)</f>
        <v>0</v>
      </c>
    </row>
    <row r="160" spans="1:20" x14ac:dyDescent="0.35">
      <c r="A160" t="s">
        <v>160</v>
      </c>
      <c r="B160">
        <v>93.93</v>
      </c>
      <c r="C160" cm="1">
        <f t="array" ref="C160">INDEX(DataAll!$E$2:$E$555,MATCH(LOWER(Data!A160),LOWER(DataAll!$D$2:$D$555),0))</f>
        <v>71.930000000000007</v>
      </c>
      <c r="D160" cm="1">
        <f t="array" ref="D160">INDEX(DataAll!$H$2:$H$579,MATCH(LOWER(Data!A160),LOWER(DataAll!$G$2:$G$555),0))</f>
        <v>0.35699999999999998</v>
      </c>
      <c r="E160" cm="1">
        <f t="array" ref="E160">INDEX(DataAll!$K$2:$K$579,MATCH(LOWER(Data!A160),LOWER(DataAll!$J$2:$J$555),0))</f>
        <v>28</v>
      </c>
      <c r="F160" cm="1">
        <f t="array" ref="F160">INDEX(DataAll!$N$2:$N$555,MATCH(LOWER(Data!A160),LOWER(DataAll!$M$2:$M$555),0))</f>
        <v>48.33</v>
      </c>
      <c r="G160" cm="1">
        <f t="array" ref="G160">INDEX(DataAll!$Q$2:$Q$555,MATCH(LOWER(Data!A160),LOWER(DataAll!$P$2:$P$555),0))</f>
        <v>15.28</v>
      </c>
      <c r="H160" cm="1">
        <f t="array" ref="H160">INDEX(DataAll!$T$2:$T$555,MATCH(LOWER(Data!A160),LOWER(DataAll!$S$2:$S$555),0))</f>
        <v>0.20499999999999999</v>
      </c>
      <c r="I160" cm="1">
        <f t="array" ref="I160">INDEX(DataAll!$W$2:$W$555,MATCH(LOWER(Data!A160),LOWER(DataAll!$V$2:$V$555),0))</f>
        <v>24.06</v>
      </c>
      <c r="J160" cm="1">
        <f t="array" ref="J160">INDEX(DataAll!$Z$2:$Z$555,MATCH(LOWER(Data!A160),LOWER(DataAll!$Y$2:$Y$555),0))</f>
        <v>2.25</v>
      </c>
      <c r="K160" cm="1">
        <f t="array" ref="K160">INDEX(DataAll!$AM$2:$AM$555,MATCH(LOWER(Data!A160),LOWER(DataAll!$AL$2:$AL$555),0))</f>
        <v>5.9</v>
      </c>
      <c r="L160" cm="1">
        <f t="array" ref="L160">INDEX(DataAll!$AJ$2:$AJ$555,MATCH(LOWER(Data!A160),LOWER(DataAll!$AI$2:$AI$555),0))</f>
        <v>14.9</v>
      </c>
      <c r="M160" cm="1">
        <f t="array" ref="M160">INDEX(DataAll!$AP$2:$AP$555,MATCH(LOWER(Data!A160),LOWER(DataAll!$AO$2:$AO$555),0))</f>
        <v>69.16</v>
      </c>
      <c r="N160" cm="1">
        <f t="array" ref="N160">INDEX(DataAll!$AQ$2:$AQ$555,MATCH(LOWER(Data!A160),LOWER(DataAll!$AO$2:$AO$555),0))</f>
        <v>73.12</v>
      </c>
      <c r="O160" cm="1">
        <f t="array" ref="O160">INDEX(DataAll!$AT$2:$AT$555,MATCH(LOWER(Data!A160),LOWER(DataAll!$AS$2:$AS$555),0))</f>
        <v>9.0500000000000007</v>
      </c>
      <c r="P160" cm="1">
        <f t="array" ref="P160">INDEX(DataAll!$AU$2:$AU$555,MATCH(LOWER(Data!A160),LOWER(DataAll!$AS$2:$AS$555),0))</f>
        <v>8.92</v>
      </c>
      <c r="Q160" cm="1">
        <f t="array" ref="Q160">INDEX(DataAll!$AX$2:$AX$556,MATCH(LOWER(Data!A160),LOWER(DataAll!$AW$2:$AW$556),0))</f>
        <v>49.89</v>
      </c>
      <c r="R160" cm="1">
        <f t="array" ref="R160">INDEX('Longitude and Latitude'!$B$2:$B$579,MATCH(LOWER(Data!A160),LOWER('Longitude and Latitude'!$A$2:$A$579),0))</f>
        <v>1.0619173</v>
      </c>
      <c r="S160" cm="1">
        <f t="array" ref="S160">INDEX('Longitude and Latitude'!$C$2:$C$579,MATCH(LOWER(Data!A160),LOWER('Longitude and Latitude'!$A$2:$A$579),0))</f>
        <v>104.5189214</v>
      </c>
      <c r="T160" t="b">
        <f>IF(EXACT(A160, UPPER(A160)), TRUE, FALSE)</f>
        <v>0</v>
      </c>
    </row>
    <row r="161" spans="1:20" x14ac:dyDescent="0.35">
      <c r="A161" t="s">
        <v>161</v>
      </c>
      <c r="B161">
        <v>92.07</v>
      </c>
      <c r="C161" cm="1">
        <f t="array" ref="C161">INDEX(DataAll!$E$2:$E$555,MATCH(LOWER(Data!A161),LOWER(DataAll!$D$2:$D$555),0))</f>
        <v>50.13</v>
      </c>
      <c r="D161" cm="1">
        <f t="array" ref="D161">INDEX(DataAll!$H$2:$H$579,MATCH(LOWER(Data!A161),LOWER(DataAll!$G$2:$G$555),0))</f>
        <v>0.52800000000000002</v>
      </c>
      <c r="E161" cm="1">
        <f t="array" ref="E161">INDEX(DataAll!$K$2:$K$579,MATCH(LOWER(Data!A161),LOWER(DataAll!$J$2:$J$555),0))</f>
        <v>5</v>
      </c>
      <c r="F161" cm="1">
        <f t="array" ref="F161">INDEX(DataAll!$N$2:$N$555,MATCH(LOWER(Data!A161),LOWER(DataAll!$M$2:$M$555),0))</f>
        <v>51.43</v>
      </c>
      <c r="G161" cm="1">
        <f t="array" ref="G161">INDEX(DataAll!$Q$2:$Q$555,MATCH(LOWER(Data!A161),LOWER(DataAll!$P$2:$P$555),0))</f>
        <v>15.94</v>
      </c>
      <c r="H161" cm="1">
        <f t="array" ref="H161">INDEX(DataAll!$T$2:$T$555,MATCH(LOWER(Data!A161),LOWER(DataAll!$S$2:$S$555),0))</f>
        <v>0.26700000000000002</v>
      </c>
      <c r="I161" cm="1">
        <f t="array" ref="I161">INDEX(DataAll!$W$2:$W$555,MATCH(LOWER(Data!A161),LOWER(DataAll!$V$2:$V$555),0))</f>
        <v>24.44</v>
      </c>
      <c r="J161" cm="1">
        <f t="array" ref="J161">INDEX(DataAll!$Z$2:$Z$555,MATCH(LOWER(Data!A161),LOWER(DataAll!$Y$2:$Y$555),0))</f>
        <v>2.4300000000000002</v>
      </c>
      <c r="K161" cm="1">
        <f t="array" ref="K161">INDEX(DataAll!$AM$2:$AM$555,MATCH(LOWER(Data!A161),LOWER(DataAll!$AL$2:$AL$555),0))</f>
        <v>5.25</v>
      </c>
      <c r="L161" cm="1">
        <f t="array" ref="L161">INDEX(DataAll!$AJ$2:$AJ$555,MATCH(LOWER(Data!A161),LOWER(DataAll!$AI$2:$AI$555),0))</f>
        <v>18.809999999999999</v>
      </c>
      <c r="M161" cm="1">
        <f t="array" ref="M161">INDEX(DataAll!$AP$2:$AP$555,MATCH(LOWER(Data!A161),LOWER(DataAll!$AO$2:$AO$555),0))</f>
        <v>64.319999999999993</v>
      </c>
      <c r="N161" cm="1">
        <f t="array" ref="N161">INDEX(DataAll!$AQ$2:$AQ$555,MATCH(LOWER(Data!A161),LOWER(DataAll!$AO$2:$AO$555),0))</f>
        <v>68.22</v>
      </c>
      <c r="O161" cm="1">
        <f t="array" ref="O161">INDEX(DataAll!$AT$2:$AT$555,MATCH(LOWER(Data!A161),LOWER(DataAll!$AS$2:$AS$555),0))</f>
        <v>9.3699999999999992</v>
      </c>
      <c r="P161" cm="1">
        <f t="array" ref="P161">INDEX(DataAll!$AU$2:$AU$555,MATCH(LOWER(Data!A161),LOWER(DataAll!$AS$2:$AS$555),0))</f>
        <v>9.02</v>
      </c>
      <c r="Q161" cm="1">
        <f t="array" ref="Q161">INDEX(DataAll!$AX$2:$AX$556,MATCH(LOWER(Data!A161),LOWER(DataAll!$AW$2:$AW$556),0))</f>
        <v>43.84</v>
      </c>
      <c r="R161" cm="1">
        <f t="array" ref="R161">INDEX('Longitude and Latitude'!$B$2:$B$579,MATCH(LOWER(Data!A161),LOWER('Longitude and Latitude'!$A$2:$A$579),0))</f>
        <v>3.9329944999999999</v>
      </c>
      <c r="S161" cm="1">
        <f t="array" ref="S161">INDEX('Longitude and Latitude'!$C$2:$C$579,MATCH(LOWER(Data!A161),LOWER('Longitude and Latitude'!$A$2:$A$579),0))</f>
        <v>108.1812242</v>
      </c>
      <c r="T161" t="b">
        <f>IF(EXACT(A161, UPPER(A161)), TRUE, FALSE)</f>
        <v>0</v>
      </c>
    </row>
    <row r="162" spans="1:20" x14ac:dyDescent="0.35">
      <c r="A162" t="s">
        <v>162</v>
      </c>
      <c r="B162">
        <v>90.75</v>
      </c>
      <c r="C162" cm="1">
        <f t="array" ref="C162">INDEX(DataAll!$E$2:$E$555,MATCH(LOWER(Data!A162),LOWER(DataAll!$D$2:$D$555),0))</f>
        <v>48.94</v>
      </c>
      <c r="D162" cm="1">
        <f t="array" ref="D162">INDEX(DataAll!$H$2:$H$579,MATCH(LOWER(Data!A162),LOWER(DataAll!$G$2:$G$555),0))</f>
        <v>0.52900000000000003</v>
      </c>
      <c r="E162" cm="1">
        <f t="array" ref="E162">INDEX(DataAll!$K$2:$K$579,MATCH(LOWER(Data!A162),LOWER(DataAll!$J$2:$J$555),0))</f>
        <v>5</v>
      </c>
      <c r="F162" cm="1">
        <f t="array" ref="F162">INDEX(DataAll!$N$2:$N$555,MATCH(LOWER(Data!A162),LOWER(DataAll!$M$2:$M$555),0))</f>
        <v>49.77</v>
      </c>
      <c r="G162" cm="1">
        <f t="array" ref="G162">INDEX(DataAll!$Q$2:$Q$555,MATCH(LOWER(Data!A162),LOWER(DataAll!$P$2:$P$555),0))</f>
        <v>24.11</v>
      </c>
      <c r="H162" cm="1">
        <f t="array" ref="H162">INDEX(DataAll!$T$2:$T$555,MATCH(LOWER(Data!A162),LOWER(DataAll!$S$2:$S$555),0))</f>
        <v>0.19400000000000001</v>
      </c>
      <c r="I162" cm="1">
        <f t="array" ref="I162">INDEX(DataAll!$W$2:$W$555,MATCH(LOWER(Data!A162),LOWER(DataAll!$V$2:$V$555),0))</f>
        <v>22.83</v>
      </c>
      <c r="J162" cm="1">
        <f t="array" ref="J162">INDEX(DataAll!$Z$2:$Z$555,MATCH(LOWER(Data!A162),LOWER(DataAll!$Y$2:$Y$555),0))</f>
        <v>2.27</v>
      </c>
      <c r="K162" cm="1">
        <f t="array" ref="K162">INDEX(DataAll!$AM$2:$AM$555,MATCH(LOWER(Data!A162),LOWER(DataAll!$AL$2:$AL$555),0))</f>
        <v>11.26</v>
      </c>
      <c r="L162" cm="1">
        <f t="array" ref="L162">INDEX(DataAll!$AJ$2:$AJ$555,MATCH(LOWER(Data!A162),LOWER(DataAll!$AI$2:$AI$555),0))</f>
        <v>19.68</v>
      </c>
      <c r="M162" cm="1">
        <f t="array" ref="M162">INDEX(DataAll!$AP$2:$AP$555,MATCH(LOWER(Data!A162),LOWER(DataAll!$AO$2:$AO$555),0))</f>
        <v>61.65</v>
      </c>
      <c r="N162" cm="1">
        <f t="array" ref="N162">INDEX(DataAll!$AQ$2:$AQ$555,MATCH(LOWER(Data!A162),LOWER(DataAll!$AO$2:$AO$555),0))</f>
        <v>65.44</v>
      </c>
      <c r="O162" cm="1">
        <f t="array" ref="O162">INDEX(DataAll!$AT$2:$AT$555,MATCH(LOWER(Data!A162),LOWER(DataAll!$AS$2:$AS$555),0))</f>
        <v>7.59</v>
      </c>
      <c r="P162" cm="1">
        <f t="array" ref="P162">INDEX(DataAll!$AU$2:$AU$555,MATCH(LOWER(Data!A162),LOWER(DataAll!$AS$2:$AS$555),0))</f>
        <v>7.16</v>
      </c>
      <c r="Q162" cm="1">
        <f t="array" ref="Q162">INDEX(DataAll!$AX$2:$AX$556,MATCH(LOWER(Data!A162),LOWER(DataAll!$AW$2:$AW$556),0))</f>
        <v>29.63</v>
      </c>
      <c r="R162" cm="1">
        <f t="array" ref="R162">INDEX('Longitude and Latitude'!$B$2:$B$579,MATCH(LOWER(Data!A162),LOWER('Longitude and Latitude'!$A$2:$A$579),0))</f>
        <v>-0.16276860000000001</v>
      </c>
      <c r="S162" cm="1">
        <f t="array" ref="S162">INDEX('Longitude and Latitude'!$C$2:$C$579,MATCH(LOWER(Data!A162),LOWER('Longitude and Latitude'!$A$2:$A$579),0))</f>
        <v>104.6354631</v>
      </c>
      <c r="T162" t="b">
        <f>IF(EXACT(A162, UPPER(A162)), TRUE, FALSE)</f>
        <v>0</v>
      </c>
    </row>
    <row r="163" spans="1:20" x14ac:dyDescent="0.35">
      <c r="A163" t="s">
        <v>163</v>
      </c>
      <c r="B163">
        <v>91.25</v>
      </c>
      <c r="C163" cm="1">
        <f t="array" ref="C163">INDEX(DataAll!$E$2:$E$555,MATCH(LOWER(Data!A163),LOWER(DataAll!$D$2:$D$555),0))</f>
        <v>62.29</v>
      </c>
      <c r="D163" cm="1">
        <f t="array" ref="D163">INDEX(DataAll!$H$2:$H$579,MATCH(LOWER(Data!A163),LOWER(DataAll!$G$2:$G$555),0))</f>
        <v>0.48399999999999999</v>
      </c>
      <c r="E163" cm="1">
        <f t="array" ref="E163">INDEX(DataAll!$K$2:$K$579,MATCH(LOWER(Data!A163),LOWER(DataAll!$J$2:$J$555),0))</f>
        <v>15</v>
      </c>
      <c r="F163" cm="1">
        <f t="array" ref="F163">INDEX(DataAll!$N$2:$N$555,MATCH(LOWER(Data!A163),LOWER(DataAll!$M$2:$M$555),0))</f>
        <v>54.8</v>
      </c>
      <c r="G163" cm="1">
        <f t="array" ref="G163">INDEX(DataAll!$Q$2:$Q$555,MATCH(LOWER(Data!A163),LOWER(DataAll!$P$2:$P$555),0))</f>
        <v>13.71</v>
      </c>
      <c r="H163" cm="1">
        <f t="array" ref="H163">INDEX(DataAll!$T$2:$T$555,MATCH(LOWER(Data!A163),LOWER(DataAll!$S$2:$S$555),0))</f>
        <v>0.222</v>
      </c>
      <c r="I163" cm="1">
        <f t="array" ref="I163">INDEX(DataAll!$W$2:$W$555,MATCH(LOWER(Data!A163),LOWER(DataAll!$V$2:$V$555),0))</f>
        <v>25.67</v>
      </c>
      <c r="J163" cm="1">
        <f t="array" ref="J163">INDEX(DataAll!$Z$2:$Z$555,MATCH(LOWER(Data!A163),LOWER(DataAll!$Y$2:$Y$555),0))</f>
        <v>2.4500000000000002</v>
      </c>
      <c r="K163" cm="1">
        <f t="array" ref="K163">INDEX(DataAll!$AM$2:$AM$555,MATCH(LOWER(Data!A163),LOWER(DataAll!$AL$2:$AL$555),0))</f>
        <v>6.95</v>
      </c>
      <c r="L163" cm="1">
        <f t="array" ref="L163">INDEX(DataAll!$AJ$2:$AJ$555,MATCH(LOWER(Data!A163),LOWER(DataAll!$AI$2:$AI$555),0))</f>
        <v>20.02</v>
      </c>
      <c r="M163" cm="1">
        <f t="array" ref="M163">INDEX(DataAll!$AP$2:$AP$555,MATCH(LOWER(Data!A163),LOWER(DataAll!$AO$2:$AO$555),0))</f>
        <v>66.150000000000006</v>
      </c>
      <c r="N163" cm="1">
        <f t="array" ref="N163">INDEX(DataAll!$AQ$2:$AQ$555,MATCH(LOWER(Data!A163),LOWER(DataAll!$AO$2:$AO$555),0))</f>
        <v>70.14</v>
      </c>
      <c r="O163" cm="1">
        <f t="array" ref="O163">INDEX(DataAll!$AT$2:$AT$555,MATCH(LOWER(Data!A163),LOWER(DataAll!$AS$2:$AS$555),0))</f>
        <v>7.7</v>
      </c>
      <c r="P163" cm="1">
        <f t="array" ref="P163">INDEX(DataAll!$AU$2:$AU$555,MATCH(LOWER(Data!A163),LOWER(DataAll!$AS$2:$AS$555),0))</f>
        <v>7.21</v>
      </c>
      <c r="Q163" cm="1">
        <f t="array" ref="Q163">INDEX(DataAll!$AX$2:$AX$556,MATCH(LOWER(Data!A163),LOWER(DataAll!$AW$2:$AW$556),0))</f>
        <v>32.14</v>
      </c>
      <c r="R163" cm="1">
        <f t="array" ref="R163">INDEX('Longitude and Latitude'!$B$2:$B$579,MATCH(LOWER(Data!A163),LOWER('Longitude and Latitude'!$A$2:$A$579),0))</f>
        <v>3</v>
      </c>
      <c r="S163" cm="1">
        <f t="array" ref="S163">INDEX('Longitude and Latitude'!$C$2:$C$579,MATCH(LOWER(Data!A163),LOWER('Longitude and Latitude'!$A$2:$A$579),0))</f>
        <v>106</v>
      </c>
      <c r="T163" t="b">
        <f>IF(EXACT(A163, UPPER(A163)), TRUE, FALSE)</f>
        <v>0</v>
      </c>
    </row>
    <row r="164" spans="1:20" x14ac:dyDescent="0.35">
      <c r="A164" t="s">
        <v>164</v>
      </c>
      <c r="B164">
        <v>94.95</v>
      </c>
      <c r="C164" cm="1">
        <f t="array" ref="C164">INDEX(DataAll!$E$2:$E$555,MATCH(LOWER(Data!A164),LOWER(DataAll!$D$2:$D$555),0))</f>
        <v>58.26</v>
      </c>
      <c r="D164" cm="1">
        <f t="array" ref="D164">INDEX(DataAll!$H$2:$H$579,MATCH(LOWER(Data!A164),LOWER(DataAll!$G$2:$G$555),0))</f>
        <v>0.30599999999999999</v>
      </c>
      <c r="E164" cm="1">
        <f t="array" ref="E164">INDEX(DataAll!$K$2:$K$579,MATCH(LOWER(Data!A164),LOWER(DataAll!$J$2:$J$555),0))</f>
        <v>8</v>
      </c>
      <c r="F164" cm="1">
        <f t="array" ref="F164">INDEX(DataAll!$N$2:$N$555,MATCH(LOWER(Data!A164),LOWER(DataAll!$M$2:$M$555),0))</f>
        <v>42.5</v>
      </c>
      <c r="G164" cm="1">
        <f t="array" ref="G164">INDEX(DataAll!$Q$2:$Q$555,MATCH(LOWER(Data!A164),LOWER(DataAll!$P$2:$P$555),0))</f>
        <v>7.53</v>
      </c>
      <c r="H164" cm="1">
        <f t="array" ref="H164">INDEX(DataAll!$T$2:$T$555,MATCH(LOWER(Data!A164),LOWER(DataAll!$S$2:$S$555),0))</f>
        <v>0.122</v>
      </c>
      <c r="I164" cm="1">
        <f t="array" ref="I164">INDEX(DataAll!$W$2:$W$555,MATCH(LOWER(Data!A164),LOWER(DataAll!$V$2:$V$555),0))</f>
        <v>29.02</v>
      </c>
      <c r="J164" cm="1">
        <f t="array" ref="J164">INDEX(DataAll!$Z$2:$Z$555,MATCH(LOWER(Data!A164),LOWER(DataAll!$Y$2:$Y$555),0))</f>
        <v>2.16</v>
      </c>
      <c r="K164" cm="1">
        <f t="array" ref="K164">INDEX(DataAll!$AM$2:$AM$555,MATCH(LOWER(Data!A164),LOWER(DataAll!$AL$2:$AL$555),0))</f>
        <v>5.0199999999999996</v>
      </c>
      <c r="L164" cm="1">
        <f t="array" ref="L164">INDEX(DataAll!$AJ$2:$AJ$555,MATCH(LOWER(Data!A164),LOWER(DataAll!$AI$2:$AI$555),0))</f>
        <v>11.67</v>
      </c>
      <c r="M164" cm="1">
        <f t="array" ref="M164">INDEX(DataAll!$AP$2:$AP$555,MATCH(LOWER(Data!A164),LOWER(DataAll!$AO$2:$AO$555),0))</f>
        <v>72.16</v>
      </c>
      <c r="N164" cm="1">
        <f t="array" ref="N164">INDEX(DataAll!$AQ$2:$AQ$555,MATCH(LOWER(Data!A164),LOWER(DataAll!$AO$2:$AO$555),0))</f>
        <v>75.89</v>
      </c>
      <c r="O164" cm="1">
        <f t="array" ref="O164">INDEX(DataAll!$AT$2:$AT$555,MATCH(LOWER(Data!A164),LOWER(DataAll!$AS$2:$AS$555),0))</f>
        <v>11.37</v>
      </c>
      <c r="P164" cm="1">
        <f t="array" ref="P164">INDEX(DataAll!$AU$2:$AU$555,MATCH(LOWER(Data!A164),LOWER(DataAll!$AS$2:$AS$555),0))</f>
        <v>11.07</v>
      </c>
      <c r="Q164" cm="1">
        <f t="array" ref="Q164">INDEX(DataAll!$AX$2:$AX$556,MATCH(LOWER(Data!A164),LOWER(DataAll!$AW$2:$AW$556),0))</f>
        <v>68.55</v>
      </c>
      <c r="R164" cm="1">
        <f t="array" ref="R164">INDEX('Longitude and Latitude'!$B$2:$B$579,MATCH(LOWER(Data!A164),LOWER('Longitude and Latitude'!$A$2:$A$579),0))</f>
        <v>-7.7016549999999997</v>
      </c>
      <c r="S164" cm="1">
        <f t="array" ref="S164">INDEX('Longitude and Latitude'!$C$2:$C$579,MATCH(LOWER(Data!A164),LOWER('Longitude and Latitude'!$A$2:$A$579),0))</f>
        <v>108.49422</v>
      </c>
      <c r="T164" t="b">
        <f>IF(EXACT(A164, UPPER(A164)), TRUE, FALSE)</f>
        <v>0</v>
      </c>
    </row>
    <row r="165" spans="1:20" x14ac:dyDescent="0.35">
      <c r="A165" t="s">
        <v>165</v>
      </c>
      <c r="B165">
        <v>96.96</v>
      </c>
      <c r="C165" cm="1">
        <f t="array" ref="C165">INDEX(DataAll!$E$2:$E$555,MATCH(LOWER(Data!A165),LOWER(DataAll!$D$2:$D$555),0))</f>
        <v>76.97</v>
      </c>
      <c r="D165" cm="1">
        <f t="array" ref="D165">INDEX(DataAll!$H$2:$H$579,MATCH(LOWER(Data!A165),LOWER(DataAll!$G$2:$G$555),0))</f>
        <v>0.107</v>
      </c>
      <c r="E165" cm="1">
        <f t="array" ref="E165">INDEX(DataAll!$K$2:$K$579,MATCH(LOWER(Data!A165),LOWER(DataAll!$J$2:$J$555),0))</f>
        <v>36.67</v>
      </c>
      <c r="F165" cm="1">
        <f t="array" ref="F165">INDEX(DataAll!$N$2:$N$555,MATCH(LOWER(Data!A165),LOWER(DataAll!$M$2:$M$555),0))</f>
        <v>43.1</v>
      </c>
      <c r="G165" cm="1">
        <f t="array" ref="G165">INDEX(DataAll!$Q$2:$Q$555,MATCH(LOWER(Data!A165),LOWER(DataAll!$P$2:$P$555),0))</f>
        <v>10.07</v>
      </c>
      <c r="H165" cm="1">
        <f t="array" ref="H165">INDEX(DataAll!$T$2:$T$555,MATCH(LOWER(Data!A165),LOWER(DataAll!$S$2:$S$555),0))</f>
        <v>0.107</v>
      </c>
      <c r="I165" cm="1">
        <f t="array" ref="I165">INDEX(DataAll!$W$2:$W$555,MATCH(LOWER(Data!A165),LOWER(DataAll!$V$2:$V$555),0))</f>
        <v>27.12</v>
      </c>
      <c r="J165" cm="1">
        <f t="array" ref="J165">INDEX(DataAll!$Z$2:$Z$555,MATCH(LOWER(Data!A165),LOWER(DataAll!$Y$2:$Y$555),0))</f>
        <v>2.08</v>
      </c>
      <c r="K165" cm="1">
        <f t="array" ref="K165">INDEX(DataAll!$AM$2:$AM$555,MATCH(LOWER(Data!A165),LOWER(DataAll!$AL$2:$AL$555),0))</f>
        <v>7.95</v>
      </c>
      <c r="L165" cm="1">
        <f t="array" ref="L165">INDEX(DataAll!$AJ$2:$AJ$555,MATCH(LOWER(Data!A165),LOWER(DataAll!$AI$2:$AI$555),0))</f>
        <v>12.16</v>
      </c>
      <c r="M165" cm="1">
        <f t="array" ref="M165">INDEX(DataAll!$AP$2:$AP$555,MATCH(LOWER(Data!A165),LOWER(DataAll!$AO$2:$AO$555),0))</f>
        <v>70.88</v>
      </c>
      <c r="N165" cm="1">
        <f t="array" ref="N165">INDEX(DataAll!$AQ$2:$AQ$555,MATCH(LOWER(Data!A165),LOWER(DataAll!$AO$2:$AO$555),0))</f>
        <v>74.92</v>
      </c>
      <c r="O165" cm="1">
        <f t="array" ref="O165">INDEX(DataAll!$AT$2:$AT$555,MATCH(LOWER(Data!A165),LOWER(DataAll!$AS$2:$AS$555),0))</f>
        <v>10.84</v>
      </c>
      <c r="P165" cm="1">
        <f t="array" ref="P165">INDEX(DataAll!$AU$2:$AU$555,MATCH(LOWER(Data!A165),LOWER(DataAll!$AS$2:$AS$555),0))</f>
        <v>10.64</v>
      </c>
      <c r="Q165" cm="1">
        <f t="array" ref="Q165">INDEX(DataAll!$AX$2:$AX$556,MATCH(LOWER(Data!A165),LOWER(DataAll!$AW$2:$AW$556),0))</f>
        <v>59.47</v>
      </c>
      <c r="R165" cm="1">
        <f t="array" ref="R165">INDEX('Longitude and Latitude'!$B$2:$B$579,MATCH(LOWER(Data!A165),LOWER('Longitude and Latitude'!$A$2:$A$579),0))</f>
        <v>-8.3699999999999992</v>
      </c>
      <c r="S165" cm="1">
        <f t="array" ref="S165">INDEX('Longitude and Latitude'!$C$2:$C$579,MATCH(LOWER(Data!A165),LOWER('Longitude and Latitude'!$A$2:$A$579),0))</f>
        <v>115.52</v>
      </c>
      <c r="T165" t="b">
        <f>IF(EXACT(A165, UPPER(A165)), TRUE, FALSE)</f>
        <v>0</v>
      </c>
    </row>
    <row r="166" spans="1:20" x14ac:dyDescent="0.35">
      <c r="A166" t="s">
        <v>166</v>
      </c>
      <c r="B166">
        <v>95.24</v>
      </c>
      <c r="C166" cm="1">
        <f t="array" ref="C166">INDEX(DataAll!$E$2:$E$555,MATCH(LOWER(Data!A166),LOWER(DataAll!$D$2:$D$555),0))</f>
        <v>76.31</v>
      </c>
      <c r="D166" cm="1">
        <f t="array" ref="D166">INDEX(DataAll!$H$2:$H$579,MATCH(LOWER(Data!A166),LOWER(DataAll!$G$2:$G$555),0))</f>
        <v>0.25600000000000001</v>
      </c>
      <c r="E166" cm="1">
        <f t="array" ref="E166">INDEX(DataAll!$K$2:$K$579,MATCH(LOWER(Data!A166),LOWER(DataAll!$J$2:$J$555),0))</f>
        <v>22.64</v>
      </c>
      <c r="F166" cm="1">
        <f t="array" ref="F166">INDEX(DataAll!$N$2:$N$555,MATCH(LOWER(Data!A166),LOWER(DataAll!$M$2:$M$555),0))</f>
        <v>49.82</v>
      </c>
      <c r="G166" t="e" cm="1">
        <f t="array" ref="G166">INDEX(DataAll!$Q$2:$Q$555,MATCH(LOWER(Data!A166),LOWER(DataAll!$P$2:$P$555),0))</f>
        <v>#N/A</v>
      </c>
      <c r="H166" cm="1">
        <f t="array" ref="H166">INDEX(DataAll!$T$2:$T$555,MATCH(LOWER(Data!A166),LOWER(DataAll!$S$2:$S$555),0))</f>
        <v>0.127</v>
      </c>
      <c r="I166" cm="1">
        <f t="array" ref="I166">INDEX(DataAll!$W$2:$W$555,MATCH(LOWER(Data!A166),LOWER(DataAll!$V$2:$V$555),0))</f>
        <v>38.33</v>
      </c>
      <c r="J166" cm="1">
        <f t="array" ref="J166">INDEX(DataAll!$Z$2:$Z$555,MATCH(LOWER(Data!A166),LOWER(DataAll!$Y$2:$Y$555),0))</f>
        <v>1.75</v>
      </c>
      <c r="K166" cm="1">
        <f t="array" ref="K166">INDEX(DataAll!$AM$2:$AM$555,MATCH(LOWER(Data!A166),LOWER(DataAll!$AL$2:$AL$555),0))</f>
        <v>4.4400000000000004</v>
      </c>
      <c r="L166" cm="1">
        <f t="array" ref="L166">INDEX(DataAll!$AJ$2:$AJ$555,MATCH(LOWER(Data!A166),LOWER(DataAll!$AI$2:$AI$555),0))</f>
        <v>12.02</v>
      </c>
      <c r="M166" cm="1">
        <f t="array" ref="M166">INDEX(DataAll!$AP$2:$AP$555,MATCH(LOWER(Data!A166),LOWER(DataAll!$AO$2:$AO$555),0))</f>
        <v>71.88</v>
      </c>
      <c r="N166" cm="1">
        <f t="array" ref="N166">INDEX(DataAll!$AQ$2:$AQ$555,MATCH(LOWER(Data!A166),LOWER(DataAll!$AO$2:$AO$555),0))</f>
        <v>75.61</v>
      </c>
      <c r="O166" cm="1">
        <f t="array" ref="O166">INDEX(DataAll!$AT$2:$AT$555,MATCH(LOWER(Data!A166),LOWER(DataAll!$AS$2:$AS$555),0))</f>
        <v>11.73</v>
      </c>
      <c r="P166" cm="1">
        <f t="array" ref="P166">INDEX(DataAll!$AU$2:$AU$555,MATCH(LOWER(Data!A166),LOWER(DataAll!$AS$2:$AS$555),0))</f>
        <v>11.18</v>
      </c>
      <c r="Q166" cm="1">
        <f t="array" ref="Q166">INDEX(DataAll!$AX$2:$AX$556,MATCH(LOWER(Data!A166),LOWER(DataAll!$AW$2:$AW$556),0))</f>
        <v>65.540000000000006</v>
      </c>
      <c r="R166" cm="1">
        <f t="array" ref="R166">INDEX('Longitude and Latitude'!$B$2:$B$579,MATCH(LOWER(Data!A166),LOWER('Longitude and Latitude'!$A$2:$A$579),0))</f>
        <v>-9.5672219999999992</v>
      </c>
      <c r="S166" cm="1">
        <f t="array" ref="S166">INDEX('Longitude and Latitude'!$C$2:$C$579,MATCH(LOWER(Data!A166),LOWER('Longitude and Latitude'!$A$2:$A$579),0))</f>
        <v>124.9075</v>
      </c>
      <c r="T166" t="b">
        <f>IF(EXACT(A166, UPPER(A166)), TRUE, FALSE)</f>
        <v>1</v>
      </c>
    </row>
    <row r="167" spans="1:20" x14ac:dyDescent="0.35">
      <c r="A167" t="s">
        <v>1085</v>
      </c>
      <c r="B167">
        <v>93.6</v>
      </c>
      <c r="C167" cm="1">
        <f t="array" ref="C167">INDEX(DataAll!$E$2:$E$555,MATCH(LOWER(Data!A167),LOWER(DataAll!$D$2:$D$555),0))</f>
        <v>65.08</v>
      </c>
      <c r="D167" cm="1">
        <f t="array" ref="D167">INDEX(DataAll!$H$2:$H$579,MATCH(LOWER(Data!A167),LOWER(DataAll!$G$2:$G$555),0))</f>
        <v>0.252</v>
      </c>
      <c r="E167" cm="1">
        <f t="array" ref="E167">INDEX(DataAll!$K$2:$K$579,MATCH(LOWER(Data!A167),LOWER(DataAll!$J$2:$J$555),0))</f>
        <v>22.64</v>
      </c>
      <c r="F167" cm="1">
        <f t="array" ref="F167">INDEX(DataAll!$N$2:$N$555,MATCH(LOWER(Data!A167),LOWER(DataAll!$M$2:$M$555),0))</f>
        <v>48.37</v>
      </c>
      <c r="G167" cm="1">
        <f t="array" ref="G167">INDEX(DataAll!$Q$2:$Q$555,MATCH(LOWER(Data!A167),LOWER(DataAll!$P$2:$P$555),0))</f>
        <v>3.63</v>
      </c>
      <c r="H167" cm="1">
        <f t="array" ref="H167">INDEX(DataAll!$T$2:$T$555,MATCH(LOWER(Data!A167),LOWER(DataAll!$S$2:$S$555),0))</f>
        <v>0.251</v>
      </c>
      <c r="I167" cm="1">
        <f t="array" ref="I167">INDEX(DataAll!$W$2:$W$555,MATCH(LOWER(Data!A167),LOWER(DataAll!$V$2:$V$555),0))</f>
        <v>25.58</v>
      </c>
      <c r="J167" cm="1">
        <f t="array" ref="J167">INDEX(DataAll!$Z$2:$Z$555,MATCH(LOWER(Data!A167),LOWER(DataAll!$Y$2:$Y$555),0))</f>
        <v>2.16</v>
      </c>
      <c r="K167" cm="1">
        <f t="array" ref="K167">INDEX(DataAll!$AM$2:$AM$555,MATCH(LOWER(Data!A167),LOWER(DataAll!$AL$2:$AL$555),0))</f>
        <v>13.13</v>
      </c>
      <c r="L167" cm="1">
        <f t="array" ref="L167">INDEX(DataAll!$AJ$2:$AJ$555,MATCH(LOWER(Data!A167),LOWER(DataAll!$AI$2:$AI$555),0))</f>
        <v>15.96</v>
      </c>
      <c r="M167" cm="1">
        <f t="array" ref="M167">INDEX(DataAll!$AP$2:$AP$555,MATCH(LOWER(Data!A167),LOWER(DataAll!$AO$2:$AO$555),0))</f>
        <v>67.680000000000007</v>
      </c>
      <c r="N167" cm="1">
        <f t="array" ref="N167">INDEX(DataAll!$AQ$2:$AQ$555,MATCH(LOWER(Data!A167),LOWER(DataAll!$AO$2:$AO$555),0))</f>
        <v>71.63</v>
      </c>
      <c r="O167" cm="1">
        <f t="array" ref="O167">INDEX(DataAll!$AT$2:$AT$555,MATCH(LOWER(Data!A167),LOWER(DataAll!$AS$2:$AS$555),0))</f>
        <v>9.31</v>
      </c>
      <c r="P167" cm="1">
        <f t="array" ref="P167">INDEX(DataAll!$AU$2:$AU$555,MATCH(LOWER(Data!A167),LOWER(DataAll!$AS$2:$AS$555),0))</f>
        <v>8.74</v>
      </c>
      <c r="Q167" cm="1">
        <f t="array" ref="Q167">INDEX(DataAll!$AX$2:$AX$556,MATCH(LOWER(Data!A167),LOWER(DataAll!$AW$2:$AW$556),0))</f>
        <v>37.97</v>
      </c>
      <c r="R167" cm="1">
        <f t="array" ref="R167">INDEX('Longitude and Latitude'!$B$2:$B$579,MATCH(LOWER(Data!A167),LOWER('Longitude and Latitude'!$A$2:$A$579),0))</f>
        <v>0.5</v>
      </c>
      <c r="S167" cm="1">
        <f t="array" ref="S167">INDEX('Longitude and Latitude'!$C$2:$C$579,MATCH(LOWER(Data!A167),LOWER('Longitude and Latitude'!$A$2:$A$579),0))</f>
        <v>115.28</v>
      </c>
      <c r="T167" t="b">
        <f>IF(EXACT(A167, UPPER(A167)), TRUE, FALSE)</f>
        <v>0</v>
      </c>
    </row>
    <row r="168" spans="1:20" x14ac:dyDescent="0.35">
      <c r="A168" t="s">
        <v>168</v>
      </c>
      <c r="B168">
        <v>97.16</v>
      </c>
      <c r="C168" cm="1">
        <f t="array" ref="C168">INDEX(DataAll!$E$2:$E$555,MATCH(LOWER(Data!A168),LOWER(DataAll!$D$2:$D$555),0))</f>
        <v>76.599999999999994</v>
      </c>
      <c r="D168" cm="1">
        <f t="array" ref="D168">INDEX(DataAll!$H$2:$H$579,MATCH(LOWER(Data!A168),LOWER(DataAll!$G$2:$G$555),0))</f>
        <v>0.32800000000000001</v>
      </c>
      <c r="E168" cm="1">
        <f t="array" ref="E168">INDEX(DataAll!$K$2:$K$579,MATCH(LOWER(Data!A168),LOWER(DataAll!$J$2:$J$555),0))</f>
        <v>22.64</v>
      </c>
      <c r="F168" cm="1">
        <f t="array" ref="F168">INDEX(DataAll!$N$2:$N$555,MATCH(LOWER(Data!A168),LOWER(DataAll!$M$2:$M$555),0))</f>
        <v>49.05</v>
      </c>
      <c r="G168" cm="1">
        <f t="array" ref="G168">INDEX(DataAll!$Q$2:$Q$555,MATCH(LOWER(Data!A168),LOWER(DataAll!$P$2:$P$555),0))</f>
        <v>2.2799999999999998</v>
      </c>
      <c r="H168" cm="1">
        <f t="array" ref="H168">INDEX(DataAll!$T$2:$T$555,MATCH(LOWER(Data!A168),LOWER(DataAll!$S$2:$S$555),0))</f>
        <v>0.11799999999999999</v>
      </c>
      <c r="I168" cm="1">
        <f t="array" ref="I168">INDEX(DataAll!$W$2:$W$555,MATCH(LOWER(Data!A168),LOWER(DataAll!$V$2:$V$555),0))</f>
        <v>36.53</v>
      </c>
      <c r="J168" cm="1">
        <f t="array" ref="J168">INDEX(DataAll!$Z$2:$Z$555,MATCH(LOWER(Data!A168),LOWER(DataAll!$Y$2:$Y$555),0))</f>
        <v>1.65</v>
      </c>
      <c r="K168" cm="1">
        <f t="array" ref="K168">INDEX(DataAll!$AM$2:$AM$555,MATCH(LOWER(Data!A168),LOWER(DataAll!$AL$2:$AL$555),0))</f>
        <v>3.1</v>
      </c>
      <c r="L168" cm="1">
        <f t="array" ref="L168">INDEX(DataAll!$AJ$2:$AJ$555,MATCH(LOWER(Data!A168),LOWER(DataAll!$AI$2:$AI$555),0))</f>
        <v>11.37</v>
      </c>
      <c r="M168" cm="1">
        <f t="array" ref="M168">INDEX(DataAll!$AP$2:$AP$555,MATCH(LOWER(Data!A168),LOWER(DataAll!$AO$2:$AO$555),0))</f>
        <v>73.03</v>
      </c>
      <c r="N168" cm="1">
        <f t="array" ref="N168">INDEX(DataAll!$AQ$2:$AQ$555,MATCH(LOWER(Data!A168),LOWER(DataAll!$AO$2:$AO$555),0))</f>
        <v>76.69</v>
      </c>
      <c r="O168" cm="1">
        <f t="array" ref="O168">INDEX(DataAll!$AT$2:$AT$555,MATCH(LOWER(Data!A168),LOWER(DataAll!$AS$2:$AS$555),0))</f>
        <v>12.09</v>
      </c>
      <c r="P168" cm="1">
        <f t="array" ref="P168">INDEX(DataAll!$AU$2:$AU$555,MATCH(LOWER(Data!A168),LOWER(DataAll!$AS$2:$AS$555),0))</f>
        <v>11.54</v>
      </c>
      <c r="Q168" cm="1">
        <f t="array" ref="Q168">INDEX(DataAll!$AX$2:$AX$556,MATCH(LOWER(Data!A168),LOWER(DataAll!$AW$2:$AW$556),0))</f>
        <v>70.55</v>
      </c>
      <c r="R168" cm="1">
        <f t="array" ref="R168">INDEX('Longitude and Latitude'!$B$2:$B$579,MATCH(LOWER(Data!A168),LOWER('Longitude and Latitude'!$A$2:$A$579),0))</f>
        <v>-6.332973</v>
      </c>
      <c r="S168" cm="1">
        <f t="array" ref="S168">INDEX('Longitude and Latitude'!$C$2:$C$579,MATCH(LOWER(Data!A168),LOWER('Longitude and Latitude'!$A$2:$A$579),0))</f>
        <v>106.80791499999999</v>
      </c>
      <c r="T168" t="b">
        <f>IF(EXACT(A168, UPPER(A168)), TRUE, FALSE)</f>
        <v>0</v>
      </c>
    </row>
    <row r="169" spans="1:20" x14ac:dyDescent="0.35">
      <c r="A169" t="s">
        <v>169</v>
      </c>
      <c r="B169">
        <v>95.98</v>
      </c>
      <c r="C169" cm="1">
        <f t="array" ref="C169">INDEX(DataAll!$E$2:$E$555,MATCH(LOWER(Data!A169),LOWER(DataAll!$D$2:$D$555),0))</f>
        <v>76.180000000000007</v>
      </c>
      <c r="D169" cm="1">
        <f t="array" ref="D169">INDEX(DataAll!$H$2:$H$579,MATCH(LOWER(Data!A169),LOWER(DataAll!$G$2:$G$555),0))</f>
        <v>0.21</v>
      </c>
      <c r="E169" cm="1">
        <f t="array" ref="E169">INDEX(DataAll!$K$2:$K$579,MATCH(LOWER(Data!A169),LOWER(DataAll!$J$2:$J$555),0))</f>
        <v>22.64</v>
      </c>
      <c r="F169" cm="1">
        <f t="array" ref="F169">INDEX(DataAll!$N$2:$N$555,MATCH(LOWER(Data!A169),LOWER(DataAll!$M$2:$M$555),0))</f>
        <v>51.83</v>
      </c>
      <c r="G169" cm="1">
        <f t="array" ref="G169">INDEX(DataAll!$Q$2:$Q$555,MATCH(LOWER(Data!A169),LOWER(DataAll!$P$2:$P$555),0))</f>
        <v>3.08</v>
      </c>
      <c r="H169" cm="1">
        <f t="array" ref="H169">INDEX(DataAll!$T$2:$T$555,MATCH(LOWER(Data!A169),LOWER(DataAll!$S$2:$S$555),0))</f>
        <v>0.112</v>
      </c>
      <c r="I169" cm="1">
        <f t="array" ref="I169">INDEX(DataAll!$W$2:$W$555,MATCH(LOWER(Data!A169),LOWER(DataAll!$V$2:$V$555),0))</f>
        <v>34.69</v>
      </c>
      <c r="J169" cm="1">
        <f t="array" ref="J169">INDEX(DataAll!$Z$2:$Z$555,MATCH(LOWER(Data!A169),LOWER(DataAll!$Y$2:$Y$555),0))</f>
        <v>1.77</v>
      </c>
      <c r="K169" cm="1">
        <f t="array" ref="K169">INDEX(DataAll!$AM$2:$AM$555,MATCH(LOWER(Data!A169),LOWER(DataAll!$AL$2:$AL$555),0))</f>
        <v>4.2</v>
      </c>
      <c r="L169" cm="1">
        <f t="array" ref="L169">INDEX(DataAll!$AJ$2:$AJ$555,MATCH(LOWER(Data!A169),LOWER(DataAll!$AI$2:$AI$555),0))</f>
        <v>12.94</v>
      </c>
      <c r="M169" cm="1">
        <f t="array" ref="M169">INDEX(DataAll!$AP$2:$AP$555,MATCH(LOWER(Data!A169),LOWER(DataAll!$AO$2:$AO$555),0))</f>
        <v>73.38</v>
      </c>
      <c r="N169" cm="1">
        <f t="array" ref="N169">INDEX(DataAll!$AQ$2:$AQ$555,MATCH(LOWER(Data!A169),LOWER(DataAll!$AO$2:$AO$555),0))</f>
        <v>77.010000000000005</v>
      </c>
      <c r="O169" cm="1">
        <f t="array" ref="O169">INDEX(DataAll!$AT$2:$AT$555,MATCH(LOWER(Data!A169),LOWER(DataAll!$AS$2:$AS$555),0))</f>
        <v>12.24</v>
      </c>
      <c r="P169" cm="1">
        <f t="array" ref="P169">INDEX(DataAll!$AU$2:$AU$555,MATCH(LOWER(Data!A169),LOWER(DataAll!$AS$2:$AS$555),0))</f>
        <v>11.72</v>
      </c>
      <c r="Q169" cm="1">
        <f t="array" ref="Q169">INDEX(DataAll!$AX$2:$AX$556,MATCH(LOWER(Data!A169),LOWER(DataAll!$AW$2:$AW$556),0))</f>
        <v>72.510000000000005</v>
      </c>
      <c r="R169" cm="1">
        <f t="array" ref="R169">INDEX('Longitude and Latitude'!$B$2:$B$579,MATCH(LOWER(Data!A169),LOWER('Longitude and Latitude'!$A$2:$A$579),0))</f>
        <v>-6.211544</v>
      </c>
      <c r="S169" cm="1">
        <f t="array" ref="S169">INDEX('Longitude and Latitude'!$C$2:$C$579,MATCH(LOWER(Data!A169),LOWER('Longitude and Latitude'!$A$2:$A$579),0))</f>
        <v>106.84517200000001</v>
      </c>
      <c r="T169" t="b">
        <f>IF(EXACT(A169, UPPER(A169)), TRUE, FALSE)</f>
        <v>0</v>
      </c>
    </row>
    <row r="170" spans="1:20" x14ac:dyDescent="0.35">
      <c r="A170" t="s">
        <v>170</v>
      </c>
      <c r="B170">
        <v>96.28</v>
      </c>
      <c r="C170" cm="1">
        <f t="array" ref="C170">INDEX(DataAll!$E$2:$E$555,MATCH(LOWER(Data!A170),LOWER(DataAll!$D$2:$D$555),0))</f>
        <v>79.02</v>
      </c>
      <c r="D170" cm="1">
        <f t="array" ref="D170">INDEX(DataAll!$H$2:$H$579,MATCH(LOWER(Data!A170),LOWER(DataAll!$G$2:$G$555),0))</f>
        <v>0.155</v>
      </c>
      <c r="E170" cm="1">
        <f t="array" ref="E170">INDEX(DataAll!$K$2:$K$579,MATCH(LOWER(Data!A170),LOWER(DataAll!$J$2:$J$555),0))</f>
        <v>22.64</v>
      </c>
      <c r="F170" cm="1">
        <f t="array" ref="F170">INDEX(DataAll!$N$2:$N$555,MATCH(LOWER(Data!A170),LOWER(DataAll!$M$2:$M$555),0))</f>
        <v>53.72</v>
      </c>
      <c r="G170" cm="1">
        <f t="array" ref="G170">INDEX(DataAll!$Q$2:$Q$555,MATCH(LOWER(Data!A170),LOWER(DataAll!$P$2:$P$555),0))</f>
        <v>2.91</v>
      </c>
      <c r="H170" cm="1">
        <f t="array" ref="H170">INDEX(DataAll!$T$2:$T$555,MATCH(LOWER(Data!A170),LOWER(DataAll!$S$2:$S$555),0))</f>
        <v>0.13900000000000001</v>
      </c>
      <c r="I170" cm="1">
        <f t="array" ref="I170">INDEX(DataAll!$W$2:$W$555,MATCH(LOWER(Data!A170),LOWER(DataAll!$V$2:$V$555),0))</f>
        <v>39.659999999999997</v>
      </c>
      <c r="J170" cm="1">
        <f t="array" ref="J170">INDEX(DataAll!$Z$2:$Z$555,MATCH(LOWER(Data!A170),LOWER(DataAll!$Y$2:$Y$555),0))</f>
        <v>1.54</v>
      </c>
      <c r="K170" cm="1">
        <f t="array" ref="K170">INDEX(DataAll!$AM$2:$AM$555,MATCH(LOWER(Data!A170),LOWER(DataAll!$AL$2:$AL$555),0))</f>
        <v>4.68</v>
      </c>
      <c r="L170" cm="1">
        <f t="array" ref="L170">INDEX(DataAll!$AJ$2:$AJ$555,MATCH(LOWER(Data!A170),LOWER(DataAll!$AI$2:$AI$555),0))</f>
        <v>10.67</v>
      </c>
      <c r="M170" cm="1">
        <f t="array" ref="M170">INDEX(DataAll!$AP$2:$AP$555,MATCH(LOWER(Data!A170),LOWER(DataAll!$AO$2:$AO$555),0))</f>
        <v>73.06</v>
      </c>
      <c r="N170" cm="1">
        <f t="array" ref="N170">INDEX(DataAll!$AQ$2:$AQ$555,MATCH(LOWER(Data!A170),LOWER(DataAll!$AO$2:$AO$555),0))</f>
        <v>76.709999999999994</v>
      </c>
      <c r="O170" cm="1">
        <f t="array" ref="O170">INDEX(DataAll!$AT$2:$AT$555,MATCH(LOWER(Data!A170),LOWER(DataAll!$AS$2:$AS$555),0))</f>
        <v>11.82</v>
      </c>
      <c r="P170" cm="1">
        <f t="array" ref="P170">INDEX(DataAll!$AU$2:$AU$555,MATCH(LOWER(Data!A170),LOWER(DataAll!$AS$2:$AS$555),0))</f>
        <v>11.31</v>
      </c>
      <c r="Q170" cm="1">
        <f t="array" ref="Q170">INDEX(DataAll!$AX$2:$AX$556,MATCH(LOWER(Data!A170),LOWER(DataAll!$AW$2:$AW$556),0))</f>
        <v>67.209999999999994</v>
      </c>
      <c r="R170" cm="1">
        <f t="array" ref="R170">INDEX('Longitude and Latitude'!$B$2:$B$579,MATCH(LOWER(Data!A170),LOWER('Longitude and Latitude'!$A$2:$A$579),0))</f>
        <v>-6.211544</v>
      </c>
      <c r="S170" cm="1">
        <f t="array" ref="S170">INDEX('Longitude and Latitude'!$C$2:$C$579,MATCH(LOWER(Data!A170),LOWER('Longitude and Latitude'!$A$2:$A$579),0))</f>
        <v>106.84517200000001</v>
      </c>
      <c r="T170" t="b">
        <f>IF(EXACT(A170, UPPER(A170)), TRUE, FALSE)</f>
        <v>0</v>
      </c>
    </row>
    <row r="171" spans="1:20" x14ac:dyDescent="0.35">
      <c r="A171" t="s">
        <v>171</v>
      </c>
      <c r="B171">
        <v>95.39</v>
      </c>
      <c r="C171" cm="1">
        <f t="array" ref="C171">INDEX(DataAll!$E$2:$E$555,MATCH(LOWER(Data!A171),LOWER(DataAll!$D$2:$D$555),0))</f>
        <v>75.77</v>
      </c>
      <c r="D171" cm="1">
        <f t="array" ref="D171">INDEX(DataAll!$H$2:$H$579,MATCH(LOWER(Data!A171),LOWER(DataAll!$G$2:$G$555),0))</f>
        <v>0.16400000000000001</v>
      </c>
      <c r="E171" cm="1">
        <f t="array" ref="E171">INDEX(DataAll!$K$2:$K$579,MATCH(LOWER(Data!A171),LOWER(DataAll!$J$2:$J$555),0))</f>
        <v>22.64</v>
      </c>
      <c r="F171" cm="1">
        <f t="array" ref="F171">INDEX(DataAll!$N$2:$N$555,MATCH(LOWER(Data!A171),LOWER(DataAll!$M$2:$M$555),0))</f>
        <v>51.72</v>
      </c>
      <c r="G171" cm="1">
        <f t="array" ref="G171">INDEX(DataAll!$Q$2:$Q$555,MATCH(LOWER(Data!A171),LOWER(DataAll!$P$2:$P$555),0))</f>
        <v>2.0299999999999998</v>
      </c>
      <c r="H171" cm="1">
        <f t="array" ref="H171">INDEX(DataAll!$T$2:$T$555,MATCH(LOWER(Data!A171),LOWER(DataAll!$S$2:$S$555),0))</f>
        <v>0.127</v>
      </c>
      <c r="I171" cm="1">
        <f t="array" ref="I171">INDEX(DataAll!$W$2:$W$555,MATCH(LOWER(Data!A171),LOWER(DataAll!$V$2:$V$555),0))</f>
        <v>35.090000000000003</v>
      </c>
      <c r="J171" cm="1">
        <f t="array" ref="J171">INDEX(DataAll!$Z$2:$Z$555,MATCH(LOWER(Data!A171),LOWER(DataAll!$Y$2:$Y$555),0))</f>
        <v>1.8</v>
      </c>
      <c r="K171" cm="1">
        <f t="array" ref="K171">INDEX(DataAll!$AM$2:$AM$555,MATCH(LOWER(Data!A171),LOWER(DataAll!$AL$2:$AL$555),0))</f>
        <v>4.09</v>
      </c>
      <c r="L171" cm="1">
        <f t="array" ref="L171">INDEX(DataAll!$AJ$2:$AJ$555,MATCH(LOWER(Data!A171),LOWER(DataAll!$AI$2:$AI$555),0))</f>
        <v>11.25</v>
      </c>
      <c r="M171" cm="1">
        <f t="array" ref="M171">INDEX(DataAll!$AP$2:$AP$555,MATCH(LOWER(Data!A171),LOWER(DataAll!$AO$2:$AO$555),0))</f>
        <v>72.39</v>
      </c>
      <c r="N171" cm="1">
        <f t="array" ref="N171">INDEX(DataAll!$AQ$2:$AQ$555,MATCH(LOWER(Data!A171),LOWER(DataAll!$AO$2:$AO$555),0))</f>
        <v>76.09</v>
      </c>
      <c r="O171" cm="1">
        <f t="array" ref="O171">INDEX(DataAll!$AT$2:$AT$555,MATCH(LOWER(Data!A171),LOWER(DataAll!$AS$2:$AS$555),0))</f>
        <v>11.64</v>
      </c>
      <c r="P171" cm="1">
        <f t="array" ref="P171">INDEX(DataAll!$AU$2:$AU$555,MATCH(LOWER(Data!A171),LOWER(DataAll!$AS$2:$AS$555),0))</f>
        <v>10.82</v>
      </c>
      <c r="Q171" cm="1">
        <f t="array" ref="Q171">INDEX(DataAll!$AX$2:$AX$556,MATCH(LOWER(Data!A171),LOWER(DataAll!$AW$2:$AW$556),0))</f>
        <v>59.71</v>
      </c>
      <c r="R171" cm="1">
        <f t="array" ref="R171">INDEX('Longitude and Latitude'!$B$2:$B$579,MATCH(LOWER(Data!A171),LOWER('Longitude and Latitude'!$A$2:$A$579),0))</f>
        <v>-6.211544</v>
      </c>
      <c r="S171" cm="1">
        <f t="array" ref="S171">INDEX('Longitude and Latitude'!$C$2:$C$579,MATCH(LOWER(Data!A171),LOWER('Longitude and Latitude'!$A$2:$A$579),0))</f>
        <v>106.84517200000001</v>
      </c>
      <c r="T171" t="b">
        <f>IF(EXACT(A171, UPPER(A171)), TRUE, FALSE)</f>
        <v>0</v>
      </c>
    </row>
    <row r="172" spans="1:20" x14ac:dyDescent="0.35">
      <c r="A172" t="s">
        <v>172</v>
      </c>
      <c r="B172">
        <v>94.03</v>
      </c>
      <c r="C172" cm="1">
        <f t="array" ref="C172">INDEX(DataAll!$E$2:$E$555,MATCH(LOWER(Data!A172),LOWER(DataAll!$D$2:$D$555),0))</f>
        <v>75.33</v>
      </c>
      <c r="D172" cm="1">
        <f t="array" ref="D172">INDEX(DataAll!$H$2:$H$579,MATCH(LOWER(Data!A172),LOWER(DataAll!$G$2:$G$555),0))</f>
        <v>0.315</v>
      </c>
      <c r="E172" cm="1">
        <f t="array" ref="E172">INDEX(DataAll!$K$2:$K$579,MATCH(LOWER(Data!A172),LOWER(DataAll!$J$2:$J$555),0))</f>
        <v>22.64</v>
      </c>
      <c r="F172" cm="1">
        <f t="array" ref="F172">INDEX(DataAll!$N$2:$N$555,MATCH(LOWER(Data!A172),LOWER(DataAll!$M$2:$M$555),0))</f>
        <v>43.6</v>
      </c>
      <c r="G172" cm="1">
        <f t="array" ref="G172">INDEX(DataAll!$Q$2:$Q$555,MATCH(LOWER(Data!A172),LOWER(DataAll!$P$2:$P$555),0))</f>
        <v>2.62</v>
      </c>
      <c r="H172" cm="1">
        <f t="array" ref="H172">INDEX(DataAll!$T$2:$T$555,MATCH(LOWER(Data!A172),LOWER(DataAll!$S$2:$S$555),0))</f>
        <v>0.158</v>
      </c>
      <c r="I172" cm="1">
        <f t="array" ref="I172">INDEX(DataAll!$W$2:$W$555,MATCH(LOWER(Data!A172),LOWER(DataAll!$V$2:$V$555),0))</f>
        <v>36.08</v>
      </c>
      <c r="J172" cm="1">
        <f t="array" ref="J172">INDEX(DataAll!$Z$2:$Z$555,MATCH(LOWER(Data!A172),LOWER(DataAll!$Y$2:$Y$555),0))</f>
        <v>1.87</v>
      </c>
      <c r="K172" cm="1">
        <f t="array" ref="K172">INDEX(DataAll!$AM$2:$AM$555,MATCH(LOWER(Data!A172),LOWER(DataAll!$AL$2:$AL$555),0))</f>
        <v>6.78</v>
      </c>
      <c r="L172" cm="1">
        <f t="array" ref="L172">INDEX(DataAll!$AJ$2:$AJ$555,MATCH(LOWER(Data!A172),LOWER(DataAll!$AI$2:$AI$555),0))</f>
        <v>13.06</v>
      </c>
      <c r="M172" cm="1">
        <f t="array" ref="M172">INDEX(DataAll!$AP$2:$AP$555,MATCH(LOWER(Data!A172),LOWER(DataAll!$AO$2:$AO$555),0))</f>
        <v>71.8</v>
      </c>
      <c r="N172" cm="1">
        <f t="array" ref="N172">INDEX(DataAll!$AQ$2:$AQ$555,MATCH(LOWER(Data!A172),LOWER(DataAll!$AO$2:$AO$555),0))</f>
        <v>75.55</v>
      </c>
      <c r="O172" cm="1">
        <f t="array" ref="O172">INDEX(DataAll!$AT$2:$AT$555,MATCH(LOWER(Data!A172),LOWER(DataAll!$AS$2:$AS$555),0))</f>
        <v>11.32</v>
      </c>
      <c r="P172" cm="1">
        <f t="array" ref="P172">INDEX(DataAll!$AU$2:$AU$555,MATCH(LOWER(Data!A172),LOWER(DataAll!$AS$2:$AS$555),0))</f>
        <v>10.42</v>
      </c>
      <c r="Q172" cm="1">
        <f t="array" ref="Q172">INDEX(DataAll!$AX$2:$AX$556,MATCH(LOWER(Data!A172),LOWER(DataAll!$AW$2:$AW$556),0))</f>
        <v>55.67</v>
      </c>
      <c r="R172" cm="1">
        <f t="array" ref="R172">INDEX('Longitude and Latitude'!$B$2:$B$579,MATCH(LOWER(Data!A172),LOWER('Longitude and Latitude'!$A$2:$A$579),0))</f>
        <v>-6.211544</v>
      </c>
      <c r="S172" cm="1">
        <f t="array" ref="S172">INDEX('Longitude and Latitude'!$C$2:$C$579,MATCH(LOWER(Data!A172),LOWER('Longitude and Latitude'!$A$2:$A$579),0))</f>
        <v>106.84517200000001</v>
      </c>
      <c r="T172" t="b">
        <f>IF(EXACT(A172, UPPER(A172)), TRUE, FALSE)</f>
        <v>0</v>
      </c>
    </row>
    <row r="173" spans="1:20" x14ac:dyDescent="0.35">
      <c r="A173" t="s">
        <v>173</v>
      </c>
      <c r="B173">
        <v>90.23</v>
      </c>
      <c r="C173" cm="1">
        <f t="array" ref="C173">INDEX(DataAll!$E$2:$E$555,MATCH(LOWER(Data!A173),LOWER(DataAll!$D$2:$D$555),0))</f>
        <v>71.739999999999995</v>
      </c>
      <c r="D173" cm="1">
        <f t="array" ref="D173">INDEX(DataAll!$H$2:$H$579,MATCH(LOWER(Data!A173),LOWER(DataAll!$G$2:$G$555),0))</f>
        <v>0.48199999999999998</v>
      </c>
      <c r="E173" cm="1">
        <f t="array" ref="E173">INDEX(DataAll!$K$2:$K$579,MATCH(LOWER(Data!A173),LOWER(DataAll!$J$2:$J$555),0))</f>
        <v>22.69</v>
      </c>
      <c r="F173" cm="1">
        <f t="array" ref="F173">INDEX(DataAll!$N$2:$N$555,MATCH(LOWER(Data!A173),LOWER(DataAll!$M$2:$M$555),0))</f>
        <v>43.4</v>
      </c>
      <c r="G173" t="e" cm="1">
        <f t="array" ref="G173">INDEX(DataAll!$Q$2:$Q$555,MATCH(LOWER(Data!A173),LOWER(DataAll!$P$2:$P$555),0))</f>
        <v>#N/A</v>
      </c>
      <c r="H173" cm="1">
        <f t="array" ref="H173">INDEX(DataAll!$T$2:$T$555,MATCH(LOWER(Data!A173),LOWER(DataAll!$S$2:$S$555),0))</f>
        <v>0.29499999999999998</v>
      </c>
      <c r="I173" cm="1">
        <f t="array" ref="I173">INDEX(DataAll!$W$2:$W$555,MATCH(LOWER(Data!A173),LOWER(DataAll!$V$2:$V$555),0))</f>
        <v>29.62</v>
      </c>
      <c r="J173" cm="1">
        <f t="array" ref="J173">INDEX(DataAll!$Z$2:$Z$555,MATCH(LOWER(Data!A173),LOWER(DataAll!$Y$2:$Y$555),0))</f>
        <v>2.11</v>
      </c>
      <c r="K173" cm="1">
        <f t="array" ref="K173">INDEX(DataAll!$AM$2:$AM$555,MATCH(LOWER(Data!A173),LOWER(DataAll!$AL$2:$AL$555),0))</f>
        <v>7.62</v>
      </c>
      <c r="L173" cm="1">
        <f t="array" ref="L173">INDEX(DataAll!$AJ$2:$AJ$555,MATCH(LOWER(Data!A173),LOWER(DataAll!$AI$2:$AI$555),0))</f>
        <v>15.91</v>
      </c>
      <c r="M173" cm="1">
        <f t="array" ref="M173">INDEX(DataAll!$AP$2:$AP$555,MATCH(LOWER(Data!A173),LOWER(DataAll!$AO$2:$AO$555),0))</f>
        <v>72.010000000000005</v>
      </c>
      <c r="N173" cm="1">
        <f t="array" ref="N173">INDEX(DataAll!$AQ$2:$AQ$555,MATCH(LOWER(Data!A173),LOWER(DataAll!$AO$2:$AO$555),0))</f>
        <v>76.19</v>
      </c>
      <c r="O173" cm="1">
        <f t="array" ref="O173">INDEX(DataAll!$AT$2:$AT$555,MATCH(LOWER(Data!A173),LOWER(DataAll!$AS$2:$AS$555),0))</f>
        <v>9.1199999999999992</v>
      </c>
      <c r="P173" cm="1">
        <f t="array" ref="P173">INDEX(DataAll!$AU$2:$AU$555,MATCH(LOWER(Data!A173),LOWER(DataAll!$AS$2:$AS$555),0))</f>
        <v>8.5399999999999991</v>
      </c>
      <c r="Q173" cm="1">
        <f t="array" ref="Q173">INDEX(DataAll!$AX$2:$AX$556,MATCH(LOWER(Data!A173),LOWER(DataAll!$AW$2:$AW$556),0))</f>
        <v>35.26</v>
      </c>
      <c r="R173" cm="1">
        <f t="array" ref="R173">INDEX('Longitude and Latitude'!$B$2:$B$579,MATCH(LOWER(Data!A173),LOWER('Longitude and Latitude'!$A$2:$A$579),0))</f>
        <v>-7.0909110000000002</v>
      </c>
      <c r="S173" cm="1">
        <f t="array" ref="S173">INDEX('Longitude and Latitude'!$C$2:$C$579,MATCH(LOWER(Data!A173),LOWER('Longitude and Latitude'!$A$2:$A$579),0))</f>
        <v>107.668887</v>
      </c>
      <c r="T173" t="b">
        <f>IF(EXACT(A173, UPPER(A173)), TRUE, FALSE)</f>
        <v>1</v>
      </c>
    </row>
    <row r="174" spans="1:20" x14ac:dyDescent="0.35">
      <c r="A174" t="s">
        <v>174</v>
      </c>
      <c r="B174">
        <v>90.2</v>
      </c>
      <c r="C174" cm="1">
        <f t="array" ref="C174">INDEX(DataAll!$E$2:$E$555,MATCH(LOWER(Data!A174),LOWER(DataAll!$D$2:$D$555),0))</f>
        <v>55.76</v>
      </c>
      <c r="D174" cm="1">
        <f t="array" ref="D174">INDEX(DataAll!$H$2:$H$579,MATCH(LOWER(Data!A174),LOWER(DataAll!$G$2:$G$555),0))</f>
        <v>0.58199999999999996</v>
      </c>
      <c r="E174" cm="1">
        <f t="array" ref="E174">INDEX(DataAll!$K$2:$K$579,MATCH(LOWER(Data!A174),LOWER(DataAll!$J$2:$J$555),0))</f>
        <v>9.09</v>
      </c>
      <c r="F174" cm="1">
        <f t="array" ref="F174">INDEX(DataAll!$N$2:$N$555,MATCH(LOWER(Data!A174),LOWER(DataAll!$M$2:$M$555),0))</f>
        <v>42.29</v>
      </c>
      <c r="G174" cm="1">
        <f t="array" ref="G174">INDEX(DataAll!$Q$2:$Q$555,MATCH(LOWER(Data!A174),LOWER(DataAll!$P$2:$P$555),0))</f>
        <v>5.3</v>
      </c>
      <c r="H174" cm="1">
        <f t="array" ref="H174">INDEX(DataAll!$T$2:$T$555,MATCH(LOWER(Data!A174),LOWER(DataAll!$S$2:$S$555),0))</f>
        <v>0.32</v>
      </c>
      <c r="I174" cm="1">
        <f t="array" ref="I174">INDEX(DataAll!$W$2:$W$555,MATCH(LOWER(Data!A174),LOWER(DataAll!$V$2:$V$555),0))</f>
        <v>25.65</v>
      </c>
      <c r="J174" cm="1">
        <f t="array" ref="J174">INDEX(DataAll!$Z$2:$Z$555,MATCH(LOWER(Data!A174),LOWER(DataAll!$Y$2:$Y$555),0))</f>
        <v>2.02</v>
      </c>
      <c r="K174" cm="1">
        <f t="array" ref="K174">INDEX(DataAll!$AM$2:$AM$555,MATCH(LOWER(Data!A174),LOWER(DataAll!$AL$2:$AL$555),0))</f>
        <v>7.27</v>
      </c>
      <c r="L174" cm="1">
        <f t="array" ref="L174">INDEX(DataAll!$AJ$2:$AJ$555,MATCH(LOWER(Data!A174),LOWER(DataAll!$AI$2:$AI$555),0))</f>
        <v>17.059999999999999</v>
      </c>
      <c r="M174" cm="1">
        <f t="array" ref="M174">INDEX(DataAll!$AP$2:$AP$555,MATCH(LOWER(Data!A174),LOWER(DataAll!$AO$2:$AO$555),0))</f>
        <v>69.97</v>
      </c>
      <c r="N174" cm="1">
        <f t="array" ref="N174">INDEX(DataAll!$AQ$2:$AQ$555,MATCH(LOWER(Data!A174),LOWER(DataAll!$AO$2:$AO$555),0))</f>
        <v>73.959999999999994</v>
      </c>
      <c r="O174" cm="1">
        <f t="array" ref="O174">INDEX(DataAll!$AT$2:$AT$555,MATCH(LOWER(Data!A174),LOWER(DataAll!$AS$2:$AS$555),0))</f>
        <v>8.9700000000000006</v>
      </c>
      <c r="P174" cm="1">
        <f t="array" ref="P174">INDEX(DataAll!$AU$2:$AU$555,MATCH(LOWER(Data!A174),LOWER(DataAll!$AS$2:$AS$555),0))</f>
        <v>8.0299999999999994</v>
      </c>
      <c r="Q174" cm="1">
        <f t="array" ref="Q174">INDEX(DataAll!$AX$2:$AX$556,MATCH(LOWER(Data!A174),LOWER(DataAll!$AW$2:$AW$556),0))</f>
        <v>30.53</v>
      </c>
      <c r="R174" cm="1">
        <f t="array" ref="R174">INDEX('Longitude and Latitude'!$B$2:$B$579,MATCH(LOWER(Data!A174),LOWER('Longitude and Latitude'!$A$2:$A$579),0))</f>
        <v>-6.6</v>
      </c>
      <c r="S174" cm="1">
        <f t="array" ref="S174">INDEX('Longitude and Latitude'!$C$2:$C$579,MATCH(LOWER(Data!A174),LOWER('Longitude and Latitude'!$A$2:$A$579),0))</f>
        <v>106.8</v>
      </c>
      <c r="T174" t="b">
        <f>IF(EXACT(A174, UPPER(A174)), TRUE, FALSE)</f>
        <v>0</v>
      </c>
    </row>
    <row r="175" spans="1:20" x14ac:dyDescent="0.35">
      <c r="A175" t="s">
        <v>175</v>
      </c>
      <c r="B175">
        <v>88.3</v>
      </c>
      <c r="C175" cm="1">
        <f t="array" ref="C175">INDEX(DataAll!$E$2:$E$555,MATCH(LOWER(Data!A175),LOWER(DataAll!$D$2:$D$555),0))</f>
        <v>62.28</v>
      </c>
      <c r="D175" cm="1">
        <f t="array" ref="D175">INDEX(DataAll!$H$2:$H$579,MATCH(LOWER(Data!A175),LOWER(DataAll!$G$2:$G$555),0))</f>
        <v>0.55900000000000005</v>
      </c>
      <c r="E175" cm="1">
        <f t="array" ref="E175">INDEX(DataAll!$K$2:$K$579,MATCH(LOWER(Data!A175),LOWER(DataAll!$J$2:$J$555),0))</f>
        <v>16</v>
      </c>
      <c r="F175" cm="1">
        <f t="array" ref="F175">INDEX(DataAll!$N$2:$N$555,MATCH(LOWER(Data!A175),LOWER(DataAll!$M$2:$M$555),0))</f>
        <v>36.86</v>
      </c>
      <c r="G175" cm="1">
        <f t="array" ref="G175">INDEX(DataAll!$Q$2:$Q$555,MATCH(LOWER(Data!A175),LOWER(DataAll!$P$2:$P$555),0))</f>
        <v>5.98</v>
      </c>
      <c r="H175" cm="1">
        <f t="array" ref="H175">INDEX(DataAll!$T$2:$T$555,MATCH(LOWER(Data!A175),LOWER(DataAll!$S$2:$S$555),0))</f>
        <v>0.40600000000000003</v>
      </c>
      <c r="I175" cm="1">
        <f t="array" ref="I175">INDEX(DataAll!$W$2:$W$555,MATCH(LOWER(Data!A175),LOWER(DataAll!$V$2:$V$555),0))</f>
        <v>27.61</v>
      </c>
      <c r="J175" cm="1">
        <f t="array" ref="J175">INDEX(DataAll!$Z$2:$Z$555,MATCH(LOWER(Data!A175),LOWER(DataAll!$Y$2:$Y$555),0))</f>
        <v>2.12</v>
      </c>
      <c r="K175" cm="1">
        <f t="array" ref="K175">INDEX(DataAll!$AM$2:$AM$555,MATCH(LOWER(Data!A175),LOWER(DataAll!$AL$2:$AL$555),0))</f>
        <v>7.01</v>
      </c>
      <c r="L175" cm="1">
        <f t="array" ref="L175">INDEX(DataAll!$AJ$2:$AJ$555,MATCH(LOWER(Data!A175),LOWER(DataAll!$AI$2:$AI$555),0))</f>
        <v>17.11</v>
      </c>
      <c r="M175" cm="1">
        <f t="array" ref="M175">INDEX(DataAll!$AP$2:$AP$555,MATCH(LOWER(Data!A175),LOWER(DataAll!$AO$2:$AO$555),0))</f>
        <v>69.89</v>
      </c>
      <c r="N175" cm="1">
        <f t="array" ref="N175">INDEX(DataAll!$AQ$2:$AQ$555,MATCH(LOWER(Data!A175),LOWER(DataAll!$AO$2:$AO$555),0))</f>
        <v>73.88</v>
      </c>
      <c r="O175" cm="1">
        <f t="array" ref="O175">INDEX(DataAll!$AT$2:$AT$555,MATCH(LOWER(Data!A175),LOWER(DataAll!$AS$2:$AS$555),0))</f>
        <v>7.82</v>
      </c>
      <c r="P175" cm="1">
        <f t="array" ref="P175">INDEX(DataAll!$AU$2:$AU$555,MATCH(LOWER(Data!A175),LOWER(DataAll!$AS$2:$AS$555),0))</f>
        <v>7.08</v>
      </c>
      <c r="Q175" cm="1">
        <f t="array" ref="Q175">INDEX(DataAll!$AX$2:$AX$556,MATCH(LOWER(Data!A175),LOWER(DataAll!$AW$2:$AW$556),0))</f>
        <v>16.649999999999999</v>
      </c>
      <c r="R175" cm="1">
        <f t="array" ref="R175">INDEX('Longitude and Latitude'!$B$2:$B$579,MATCH(LOWER(Data!A175),LOWER('Longitude and Latitude'!$A$2:$A$579),0))</f>
        <v>-6.9240500000000003</v>
      </c>
      <c r="S175" cm="1">
        <f t="array" ref="S175">INDEX('Longitude and Latitude'!$C$2:$C$579,MATCH(LOWER(Data!A175),LOWER('Longitude and Latitude'!$A$2:$A$579),0))</f>
        <v>106.922203</v>
      </c>
      <c r="T175" t="b">
        <f>IF(EXACT(A175, UPPER(A175)), TRUE, FALSE)</f>
        <v>0</v>
      </c>
    </row>
    <row r="176" spans="1:20" x14ac:dyDescent="0.35">
      <c r="A176" t="s">
        <v>176</v>
      </c>
      <c r="B176">
        <v>85.17</v>
      </c>
      <c r="C176" cm="1">
        <f t="array" ref="C176">INDEX(DataAll!$E$2:$E$555,MATCH(LOWER(Data!A176),LOWER(DataAll!$D$2:$D$555),0))</f>
        <v>60.3</v>
      </c>
      <c r="D176" cm="1">
        <f t="array" ref="D176">INDEX(DataAll!$H$2:$H$579,MATCH(LOWER(Data!A176),LOWER(DataAll!$G$2:$G$555),0))</f>
        <v>0.56699999999999995</v>
      </c>
      <c r="E176" cm="1">
        <f t="array" ref="E176">INDEX(DataAll!$K$2:$K$579,MATCH(LOWER(Data!A176),LOWER(DataAll!$J$2:$J$555),0))</f>
        <v>18</v>
      </c>
      <c r="F176" cm="1">
        <f t="array" ref="F176">INDEX(DataAll!$N$2:$N$555,MATCH(LOWER(Data!A176),LOWER(DataAll!$M$2:$M$555),0))</f>
        <v>45.04</v>
      </c>
      <c r="G176" cm="1">
        <f t="array" ref="G176">INDEX(DataAll!$Q$2:$Q$555,MATCH(LOWER(Data!A176),LOWER(DataAll!$P$2:$P$555),0))</f>
        <v>7.02</v>
      </c>
      <c r="H176" cm="1">
        <f t="array" ref="H176">INDEX(DataAll!$T$2:$T$555,MATCH(LOWER(Data!A176),LOWER(DataAll!$S$2:$S$555),0))</f>
        <v>0.438</v>
      </c>
      <c r="I176" cm="1">
        <f t="array" ref="I176">INDEX(DataAll!$W$2:$W$555,MATCH(LOWER(Data!A176),LOWER(DataAll!$V$2:$V$555),0))</f>
        <v>21.65</v>
      </c>
      <c r="J176" cm="1">
        <f t="array" ref="J176">INDEX(DataAll!$Z$2:$Z$555,MATCH(LOWER(Data!A176),LOWER(DataAll!$Y$2:$Y$555),0))</f>
        <v>2.31</v>
      </c>
      <c r="K176" cm="1">
        <f t="array" ref="K176">INDEX(DataAll!$AM$2:$AM$555,MATCH(LOWER(Data!A176),LOWER(DataAll!$AL$2:$AL$555),0))</f>
        <v>10.220000000000001</v>
      </c>
      <c r="L176" cm="1">
        <f t="array" ref="L176">INDEX(DataAll!$AJ$2:$AJ$555,MATCH(LOWER(Data!A176),LOWER(DataAll!$AI$2:$AI$555),0))</f>
        <v>17.18</v>
      </c>
      <c r="M176" cm="1">
        <f t="array" ref="M176">INDEX(DataAll!$AP$2:$AP$555,MATCH(LOWER(Data!A176),LOWER(DataAll!$AO$2:$AO$555),0))</f>
        <v>68.87</v>
      </c>
      <c r="N176" cm="1">
        <f t="array" ref="N176">INDEX(DataAll!$AQ$2:$AQ$555,MATCH(LOWER(Data!A176),LOWER(DataAll!$AO$2:$AO$555),0))</f>
        <v>72.81</v>
      </c>
      <c r="O176" cm="1">
        <f t="array" ref="O176">INDEX(DataAll!$AT$2:$AT$555,MATCH(LOWER(Data!A176),LOWER(DataAll!$AS$2:$AS$555),0))</f>
        <v>7.53</v>
      </c>
      <c r="P176" cm="1">
        <f t="array" ref="P176">INDEX(DataAll!$AU$2:$AU$555,MATCH(LOWER(Data!A176),LOWER(DataAll!$AS$2:$AS$555),0))</f>
        <v>6.75</v>
      </c>
      <c r="Q176" cm="1">
        <f t="array" ref="Q176">INDEX(DataAll!$AX$2:$AX$556,MATCH(LOWER(Data!A176),LOWER(DataAll!$AW$2:$AW$556),0))</f>
        <v>14.52</v>
      </c>
      <c r="R176" cm="1">
        <f t="array" ref="R176">INDEX('Longitude and Latitude'!$B$2:$B$579,MATCH(LOWER(Data!A176),LOWER('Longitude and Latitude'!$A$2:$A$579),0))</f>
        <v>-6.8172531000000003</v>
      </c>
      <c r="S176" cm="1">
        <f t="array" ref="S176">INDEX('Longitude and Latitude'!$C$2:$C$579,MATCH(LOWER(Data!A176),LOWER('Longitude and Latitude'!$A$2:$A$579),0))</f>
        <v>107.13072889999999</v>
      </c>
      <c r="T176" t="b">
        <f>IF(EXACT(A176, UPPER(A176)), TRUE, FALSE)</f>
        <v>0</v>
      </c>
    </row>
    <row r="177" spans="1:20" x14ac:dyDescent="0.35">
      <c r="A177" t="s">
        <v>177</v>
      </c>
      <c r="B177">
        <v>94.03</v>
      </c>
      <c r="C177" cm="1">
        <f t="array" ref="C177">INDEX(DataAll!$E$2:$E$555,MATCH(LOWER(Data!A177),LOWER(DataAll!$D$2:$D$555),0))</f>
        <v>70.19</v>
      </c>
      <c r="D177" cm="1">
        <f t="array" ref="D177">INDEX(DataAll!$H$2:$H$579,MATCH(LOWER(Data!A177),LOWER(DataAll!$G$2:$G$555),0))</f>
        <v>0.47199999999999998</v>
      </c>
      <c r="E177" cm="1">
        <f t="array" ref="E177">INDEX(DataAll!$K$2:$K$579,MATCH(LOWER(Data!A177),LOWER(DataAll!$J$2:$J$555),0))</f>
        <v>16.36</v>
      </c>
      <c r="F177" cm="1">
        <f t="array" ref="F177">INDEX(DataAll!$N$2:$N$555,MATCH(LOWER(Data!A177),LOWER(DataAll!$M$2:$M$555),0))</f>
        <v>45.35</v>
      </c>
      <c r="G177" cm="1">
        <f t="array" ref="G177">INDEX(DataAll!$Q$2:$Q$555,MATCH(LOWER(Data!A177),LOWER(DataAll!$P$2:$P$555),0))</f>
        <v>5.19</v>
      </c>
      <c r="H177" cm="1">
        <f t="array" ref="H177">INDEX(DataAll!$T$2:$T$555,MATCH(LOWER(Data!A177),LOWER(DataAll!$S$2:$S$555),0))</f>
        <v>0.32800000000000001</v>
      </c>
      <c r="I177" cm="1">
        <f t="array" ref="I177">INDEX(DataAll!$W$2:$W$555,MATCH(LOWER(Data!A177),LOWER(DataAll!$V$2:$V$555),0))</f>
        <v>32.99</v>
      </c>
      <c r="J177" cm="1">
        <f t="array" ref="J177">INDEX(DataAll!$Z$2:$Z$555,MATCH(LOWER(Data!A177),LOWER(DataAll!$Y$2:$Y$555),0))</f>
        <v>2.09</v>
      </c>
      <c r="K177" cm="1">
        <f t="array" ref="K177">INDEX(DataAll!$AM$2:$AM$555,MATCH(LOWER(Data!A177),LOWER(DataAll!$AL$2:$AL$555),0))</f>
        <v>6.4</v>
      </c>
      <c r="L177" cm="1">
        <f t="array" ref="L177">INDEX(DataAll!$AJ$2:$AJ$555,MATCH(LOWER(Data!A177),LOWER(DataAll!$AI$2:$AI$555),0))</f>
        <v>15.77</v>
      </c>
      <c r="M177" cm="1">
        <f t="array" ref="M177">INDEX(DataAll!$AP$2:$AP$555,MATCH(LOWER(Data!A177),LOWER(DataAll!$AO$2:$AO$555),0))</f>
        <v>72.5</v>
      </c>
      <c r="N177" cm="1">
        <f t="array" ref="N177">INDEX(DataAll!$AQ$2:$AQ$555,MATCH(LOWER(Data!A177),LOWER(DataAll!$AO$2:$AO$555),0))</f>
        <v>76.2</v>
      </c>
      <c r="O177" cm="1">
        <f t="array" ref="O177">INDEX(DataAll!$AT$2:$AT$555,MATCH(LOWER(Data!A177),LOWER(DataAll!$AS$2:$AS$555),0))</f>
        <v>9.32</v>
      </c>
      <c r="P177" cm="1">
        <f t="array" ref="P177">INDEX(DataAll!$AU$2:$AU$555,MATCH(LOWER(Data!A177),LOWER(DataAll!$AS$2:$AS$555),0))</f>
        <v>8.93</v>
      </c>
      <c r="Q177" cm="1">
        <f t="array" ref="Q177">INDEX(DataAll!$AX$2:$AX$556,MATCH(LOWER(Data!A177),LOWER(DataAll!$AW$2:$AW$556),0))</f>
        <v>36.54</v>
      </c>
      <c r="R177" cm="1">
        <f t="array" ref="R177">INDEX('Longitude and Latitude'!$B$2:$B$579,MATCH(LOWER(Data!A177),LOWER('Longitude and Latitude'!$A$2:$A$579),0))</f>
        <v>-6.9147444</v>
      </c>
      <c r="S177" cm="1">
        <f t="array" ref="S177">INDEX('Longitude and Latitude'!$C$2:$C$579,MATCH(LOWER(Data!A177),LOWER('Longitude and Latitude'!$A$2:$A$579),0))</f>
        <v>107.6098111</v>
      </c>
      <c r="T177" t="b">
        <f>IF(EXACT(A177, UPPER(A177)), TRUE, FALSE)</f>
        <v>0</v>
      </c>
    </row>
    <row r="178" spans="1:20" x14ac:dyDescent="0.35">
      <c r="A178" t="s">
        <v>178</v>
      </c>
      <c r="B178">
        <v>83.37</v>
      </c>
      <c r="C178" cm="1">
        <f t="array" ref="C178">INDEX(DataAll!$E$2:$E$555,MATCH(LOWER(Data!A178),LOWER(DataAll!$D$2:$D$555),0))</f>
        <v>72.08</v>
      </c>
      <c r="D178" cm="1">
        <f t="array" ref="D178">INDEX(DataAll!$H$2:$H$579,MATCH(LOWER(Data!A178),LOWER(DataAll!$G$2:$G$555),0))</f>
        <v>0.55500000000000005</v>
      </c>
      <c r="E178" cm="1">
        <f t="array" ref="E178">INDEX(DataAll!$K$2:$K$579,MATCH(LOWER(Data!A178),LOWER(DataAll!$J$2:$J$555),0))</f>
        <v>20</v>
      </c>
      <c r="F178" cm="1">
        <f t="array" ref="F178">INDEX(DataAll!$N$2:$N$555,MATCH(LOWER(Data!A178),LOWER(DataAll!$M$2:$M$555),0))</f>
        <v>45.83</v>
      </c>
      <c r="G178" cm="1">
        <f t="array" ref="G178">INDEX(DataAll!$Q$2:$Q$555,MATCH(LOWER(Data!A178),LOWER(DataAll!$P$2:$P$555),0))</f>
        <v>5.76</v>
      </c>
      <c r="H178" cm="1">
        <f t="array" ref="H178">INDEX(DataAll!$T$2:$T$555,MATCH(LOWER(Data!A178),LOWER(DataAll!$S$2:$S$555),0))</f>
        <v>0.41</v>
      </c>
      <c r="I178" cm="1">
        <f t="array" ref="I178">INDEX(DataAll!$W$2:$W$555,MATCH(LOWER(Data!A178),LOWER(DataAll!$V$2:$V$555),0))</f>
        <v>31.36</v>
      </c>
      <c r="J178" cm="1">
        <f t="array" ref="J178">INDEX(DataAll!$Z$2:$Z$555,MATCH(LOWER(Data!A178),LOWER(DataAll!$Y$2:$Y$555),0))</f>
        <v>2.4500000000000002</v>
      </c>
      <c r="K178" cm="1">
        <f t="array" ref="K178">INDEX(DataAll!$AM$2:$AM$555,MATCH(LOWER(Data!A178),LOWER(DataAll!$AL$2:$AL$555),0))</f>
        <v>9.77</v>
      </c>
      <c r="L178" cm="1">
        <f t="array" ref="L178">INDEX(DataAll!$AJ$2:$AJ$555,MATCH(LOWER(Data!A178),LOWER(DataAll!$AI$2:$AI$555),0))</f>
        <v>16.79</v>
      </c>
      <c r="M178" cm="1">
        <f t="array" ref="M178">INDEX(DataAll!$AP$2:$AP$555,MATCH(LOWER(Data!A178),LOWER(DataAll!$AO$2:$AO$555),0))</f>
        <v>70.12</v>
      </c>
      <c r="N178" cm="1">
        <f t="array" ref="N178">INDEX(DataAll!$AQ$2:$AQ$555,MATCH(LOWER(Data!A178),LOWER(DataAll!$AO$2:$AO$555),0))</f>
        <v>74.12</v>
      </c>
      <c r="O178" cm="1">
        <f t="array" ref="O178">INDEX(DataAll!$AT$2:$AT$555,MATCH(LOWER(Data!A178),LOWER(DataAll!$AS$2:$AS$555),0))</f>
        <v>8.14</v>
      </c>
      <c r="P178" cm="1">
        <f t="array" ref="P178">INDEX(DataAll!$AU$2:$AU$555,MATCH(LOWER(Data!A178),LOWER(DataAll!$AS$2:$AS$555),0))</f>
        <v>7.49</v>
      </c>
      <c r="Q178" cm="1">
        <f t="array" ref="Q178">INDEX(DataAll!$AX$2:$AX$556,MATCH(LOWER(Data!A178),LOWER(DataAll!$AW$2:$AW$556),0))</f>
        <v>21.54</v>
      </c>
      <c r="R178" cm="1">
        <f t="array" ref="R178">INDEX('Longitude and Latitude'!$B$2:$B$579,MATCH(LOWER(Data!A178),LOWER('Longitude and Latitude'!$A$2:$A$579),0))</f>
        <v>-7.2279059999999999</v>
      </c>
      <c r="S178" cm="1">
        <f t="array" ref="S178">INDEX('Longitude and Latitude'!$C$2:$C$579,MATCH(LOWER(Data!A178),LOWER('Longitude and Latitude'!$A$2:$A$579),0))</f>
        <v>107.908699</v>
      </c>
      <c r="T178" t="b">
        <f>IF(EXACT(A178, UPPER(A178)), TRUE, FALSE)</f>
        <v>0</v>
      </c>
    </row>
    <row r="179" spans="1:20" x14ac:dyDescent="0.35">
      <c r="A179" t="s">
        <v>179</v>
      </c>
      <c r="B179">
        <v>87.01</v>
      </c>
      <c r="C179" cm="1">
        <f t="array" ref="C179">INDEX(DataAll!$E$2:$E$555,MATCH(LOWER(Data!A179),LOWER(DataAll!$D$2:$D$555),0))</f>
        <v>61.52</v>
      </c>
      <c r="D179" cm="1">
        <f t="array" ref="D179">INDEX(DataAll!$H$2:$H$579,MATCH(LOWER(Data!A179),LOWER(DataAll!$G$2:$G$555),0))</f>
        <v>0.56499999999999995</v>
      </c>
      <c r="E179" cm="1">
        <f t="array" ref="E179">INDEX(DataAll!$K$2:$K$579,MATCH(LOWER(Data!A179),LOWER(DataAll!$J$2:$J$555),0))</f>
        <v>14</v>
      </c>
      <c r="F179" cm="1">
        <f t="array" ref="F179">INDEX(DataAll!$N$2:$N$555,MATCH(LOWER(Data!A179),LOWER(DataAll!$M$2:$M$555),0))</f>
        <v>40.380000000000003</v>
      </c>
      <c r="G179" cm="1">
        <f t="array" ref="G179">INDEX(DataAll!$Q$2:$Q$555,MATCH(LOWER(Data!A179),LOWER(DataAll!$P$2:$P$555),0))</f>
        <v>8.65</v>
      </c>
      <c r="H179" cm="1">
        <f t="array" ref="H179">INDEX(DataAll!$T$2:$T$555,MATCH(LOWER(Data!A179),LOWER(DataAll!$S$2:$S$555),0))</f>
        <v>0.36899999999999999</v>
      </c>
      <c r="I179" cm="1">
        <f t="array" ref="I179">INDEX(DataAll!$W$2:$W$555,MATCH(LOWER(Data!A179),LOWER(DataAll!$V$2:$V$555),0))</f>
        <v>28.14</v>
      </c>
      <c r="J179" cm="1">
        <f t="array" ref="J179">INDEX(DataAll!$Z$2:$Z$555,MATCH(LOWER(Data!A179),LOWER(DataAll!$Y$2:$Y$555),0))</f>
        <v>2.25</v>
      </c>
      <c r="K179" cm="1">
        <f t="array" ref="K179">INDEX(DataAll!$AM$2:$AM$555,MATCH(LOWER(Data!A179),LOWER(DataAll!$AL$2:$AL$555),0))</f>
        <v>10.28</v>
      </c>
      <c r="L179" cm="1">
        <f t="array" ref="L179">INDEX(DataAll!$AJ$2:$AJ$555,MATCH(LOWER(Data!A179),LOWER(DataAll!$AI$2:$AI$555),0))</f>
        <v>17.22</v>
      </c>
      <c r="M179" cm="1">
        <f t="array" ref="M179">INDEX(DataAll!$AP$2:$AP$555,MATCH(LOWER(Data!A179),LOWER(DataAll!$AO$2:$AO$555),0))</f>
        <v>68.27</v>
      </c>
      <c r="N179" cm="1">
        <f t="array" ref="N179">INDEX(DataAll!$AQ$2:$AQ$555,MATCH(LOWER(Data!A179),LOWER(DataAll!$AO$2:$AO$555),0))</f>
        <v>72.209999999999994</v>
      </c>
      <c r="O179" cm="1">
        <f t="array" ref="O179">INDEX(DataAll!$AT$2:$AT$555,MATCH(LOWER(Data!A179),LOWER(DataAll!$AS$2:$AS$555),0))</f>
        <v>8.1</v>
      </c>
      <c r="P179" cm="1">
        <f t="array" ref="P179">INDEX(DataAll!$AU$2:$AU$555,MATCH(LOWER(Data!A179),LOWER(DataAll!$AS$2:$AS$555),0))</f>
        <v>7.83</v>
      </c>
      <c r="Q179" cm="1">
        <f t="array" ref="Q179">INDEX(DataAll!$AX$2:$AX$556,MATCH(LOWER(Data!A179),LOWER(DataAll!$AW$2:$AW$556),0))</f>
        <v>21.9</v>
      </c>
      <c r="R179" cm="1">
        <f t="array" ref="R179">INDEX('Longitude and Latitude'!$B$2:$B$579,MATCH(LOWER(Data!A179),LOWER('Longitude and Latitude'!$A$2:$A$579),0))</f>
        <v>-7.3279540000000001</v>
      </c>
      <c r="S179" cm="1">
        <f t="array" ref="S179">INDEX('Longitude and Latitude'!$C$2:$C$579,MATCH(LOWER(Data!A179),LOWER('Longitude and Latitude'!$A$2:$A$579),0))</f>
        <v>108.21410400000001</v>
      </c>
      <c r="T179" t="b">
        <f>IF(EXACT(A179, UPPER(A179)), TRUE, FALSE)</f>
        <v>0</v>
      </c>
    </row>
    <row r="180" spans="1:20" x14ac:dyDescent="0.35">
      <c r="A180" t="s">
        <v>180</v>
      </c>
      <c r="B180">
        <v>87.25</v>
      </c>
      <c r="C180" cm="1">
        <f t="array" ref="C180">INDEX(DataAll!$E$2:$E$555,MATCH(LOWER(Data!A180),LOWER(DataAll!$D$2:$D$555),0))</f>
        <v>65.41</v>
      </c>
      <c r="D180" cm="1">
        <f t="array" ref="D180">INDEX(DataAll!$H$2:$H$579,MATCH(LOWER(Data!A180),LOWER(DataAll!$G$2:$G$555),0))</f>
        <v>0.44500000000000001</v>
      </c>
      <c r="E180" cm="1">
        <f t="array" ref="E180">INDEX(DataAll!$K$2:$K$579,MATCH(LOWER(Data!A180),LOWER(DataAll!$J$2:$J$555),0))</f>
        <v>10</v>
      </c>
      <c r="F180" cm="1">
        <f t="array" ref="F180">INDEX(DataAll!$N$2:$N$555,MATCH(LOWER(Data!A180),LOWER(DataAll!$M$2:$M$555),0))</f>
        <v>49.62</v>
      </c>
      <c r="G180" cm="1">
        <f t="array" ref="G180">INDEX(DataAll!$Q$2:$Q$555,MATCH(LOWER(Data!A180),LOWER(DataAll!$P$2:$P$555),0))</f>
        <v>6.1</v>
      </c>
      <c r="H180" cm="1">
        <f t="array" ref="H180">INDEX(DataAll!$T$2:$T$555,MATCH(LOWER(Data!A180),LOWER(DataAll!$S$2:$S$555),0))</f>
        <v>0.23100000000000001</v>
      </c>
      <c r="I180" cm="1">
        <f t="array" ref="I180">INDEX(DataAll!$W$2:$W$555,MATCH(LOWER(Data!A180),LOWER(DataAll!$V$2:$V$555),0))</f>
        <v>38.369999999999997</v>
      </c>
      <c r="J180" cm="1">
        <f t="array" ref="J180">INDEX(DataAll!$Z$2:$Z$555,MATCH(LOWER(Data!A180),LOWER(DataAll!$Y$2:$Y$555),0))</f>
        <v>2.23</v>
      </c>
      <c r="K180" cm="1">
        <f t="array" ref="K180">INDEX(DataAll!$AM$2:$AM$555,MATCH(LOWER(Data!A180),LOWER(DataAll!$AL$2:$AL$555),0))</f>
        <v>7.42</v>
      </c>
      <c r="L180" cm="1">
        <f t="array" ref="L180">INDEX(DataAll!$AJ$2:$AJ$555,MATCH(LOWER(Data!A180),LOWER(DataAll!$AI$2:$AI$555),0))</f>
        <v>15.62</v>
      </c>
      <c r="M180" cm="1">
        <f t="array" ref="M180">INDEX(DataAll!$AP$2:$AP$555,MATCH(LOWER(Data!A180),LOWER(DataAll!$AO$2:$AO$555),0))</f>
        <v>70.61</v>
      </c>
      <c r="N180" cm="1">
        <f t="array" ref="N180">INDEX(DataAll!$AQ$2:$AQ$555,MATCH(LOWER(Data!A180),LOWER(DataAll!$AO$2:$AO$555),0))</f>
        <v>74.63</v>
      </c>
      <c r="O180" cm="1">
        <f t="array" ref="O180">INDEX(DataAll!$AT$2:$AT$555,MATCH(LOWER(Data!A180),LOWER(DataAll!$AS$2:$AS$555),0))</f>
        <v>8.31</v>
      </c>
      <c r="P180" cm="1">
        <f t="array" ref="P180">INDEX(DataAll!$AU$2:$AU$555,MATCH(LOWER(Data!A180),LOWER(DataAll!$AS$2:$AS$555),0))</f>
        <v>7.89</v>
      </c>
      <c r="Q180" cm="1">
        <f t="array" ref="Q180">INDEX(DataAll!$AX$2:$AX$556,MATCH(LOWER(Data!A180),LOWER(DataAll!$AW$2:$AW$556),0))</f>
        <v>22.89</v>
      </c>
      <c r="R180" cm="1">
        <f t="array" ref="R180">INDEX('Longitude and Latitude'!$B$2:$B$579,MATCH(LOWER(Data!A180),LOWER('Longitude and Latitude'!$A$2:$A$579),0))</f>
        <v>-7.3333332999999996</v>
      </c>
      <c r="S180" cm="1">
        <f t="array" ref="S180">INDEX('Longitude and Latitude'!$C$2:$C$579,MATCH(LOWER(Data!A180),LOWER('Longitude and Latitude'!$A$2:$A$579),0))</f>
        <v>108.35</v>
      </c>
      <c r="T180" t="b">
        <f>IF(EXACT(A180, UPPER(A180)), TRUE, FALSE)</f>
        <v>0</v>
      </c>
    </row>
    <row r="181" spans="1:20" x14ac:dyDescent="0.35">
      <c r="A181" t="s">
        <v>181</v>
      </c>
      <c r="B181">
        <v>87.31</v>
      </c>
      <c r="C181" cm="1">
        <f t="array" ref="C181">INDEX(DataAll!$E$2:$E$555,MATCH(LOWER(Data!A181),LOWER(DataAll!$D$2:$D$555),0))</f>
        <v>73.47</v>
      </c>
      <c r="D181" cm="1">
        <f t="array" ref="D181">INDEX(DataAll!$H$2:$H$579,MATCH(LOWER(Data!A181),LOWER(DataAll!$G$2:$G$555),0))</f>
        <v>0.36799999999999999</v>
      </c>
      <c r="E181" cm="1">
        <f t="array" ref="E181">INDEX(DataAll!$K$2:$K$579,MATCH(LOWER(Data!A181),LOWER(DataAll!$J$2:$J$555),0))</f>
        <v>24</v>
      </c>
      <c r="F181" cm="1">
        <f t="array" ref="F181">INDEX(DataAll!$N$2:$N$555,MATCH(LOWER(Data!A181),LOWER(DataAll!$M$2:$M$555),0))</f>
        <v>48.28</v>
      </c>
      <c r="G181" cm="1">
        <f t="array" ref="G181">INDEX(DataAll!$Q$2:$Q$555,MATCH(LOWER(Data!A181),LOWER(DataAll!$P$2:$P$555),0))</f>
        <v>6.43</v>
      </c>
      <c r="H181" cm="1">
        <f t="array" ref="H181">INDEX(DataAll!$T$2:$T$555,MATCH(LOWER(Data!A181),LOWER(DataAll!$S$2:$S$555),0))</f>
        <v>0.21</v>
      </c>
      <c r="I181" cm="1">
        <f t="array" ref="I181">INDEX(DataAll!$W$2:$W$555,MATCH(LOWER(Data!A181),LOWER(DataAll!$V$2:$V$555),0))</f>
        <v>31.04</v>
      </c>
      <c r="J181" cm="1">
        <f t="array" ref="J181">INDEX(DataAll!$Z$2:$Z$555,MATCH(LOWER(Data!A181),LOWER(DataAll!$Y$2:$Y$555),0))</f>
        <v>2.2599999999999998</v>
      </c>
      <c r="K181" cm="1">
        <f t="array" ref="K181">INDEX(DataAll!$AM$2:$AM$555,MATCH(LOWER(Data!A181),LOWER(DataAll!$AL$2:$AL$555),0))</f>
        <v>12.12</v>
      </c>
      <c r="L181" cm="1">
        <f t="array" ref="L181">INDEX(DataAll!$AJ$2:$AJ$555,MATCH(LOWER(Data!A181),LOWER(DataAll!$AI$2:$AI$555),0))</f>
        <v>15.51</v>
      </c>
      <c r="M181" cm="1">
        <f t="array" ref="M181">INDEX(DataAll!$AP$2:$AP$555,MATCH(LOWER(Data!A181),LOWER(DataAll!$AO$2:$AO$555),0))</f>
        <v>72.52</v>
      </c>
      <c r="N181" cm="1">
        <f t="array" ref="N181">INDEX(DataAll!$AQ$2:$AQ$555,MATCH(LOWER(Data!A181),LOWER(DataAll!$AO$2:$AO$555),0))</f>
        <v>76.22</v>
      </c>
      <c r="O181" cm="1">
        <f t="array" ref="O181">INDEX(DataAll!$AT$2:$AT$555,MATCH(LOWER(Data!A181),LOWER(DataAll!$AS$2:$AS$555),0))</f>
        <v>8.16</v>
      </c>
      <c r="P181" cm="1">
        <f t="array" ref="P181">INDEX(DataAll!$AU$2:$AU$555,MATCH(LOWER(Data!A181),LOWER(DataAll!$AS$2:$AS$555),0))</f>
        <v>7.63</v>
      </c>
      <c r="Q181" cm="1">
        <f t="array" ref="Q181">INDEX(DataAll!$AX$2:$AX$556,MATCH(LOWER(Data!A181),LOWER(DataAll!$AW$2:$AW$556),0))</f>
        <v>22.59</v>
      </c>
      <c r="R181" cm="1">
        <f t="array" ref="R181">INDEX('Longitude and Latitude'!$B$2:$B$579,MATCH(LOWER(Data!A181),LOWER('Longitude and Latitude'!$A$2:$A$579),0))</f>
        <v>-6.9833333</v>
      </c>
      <c r="S181" cm="1">
        <f t="array" ref="S181">INDEX('Longitude and Latitude'!$C$2:$C$579,MATCH(LOWER(Data!A181),LOWER('Longitude and Latitude'!$A$2:$A$579),0))</f>
        <v>108.4833333</v>
      </c>
      <c r="T181" t="b">
        <f>IF(EXACT(A181, UPPER(A181)), TRUE, FALSE)</f>
        <v>0</v>
      </c>
    </row>
    <row r="182" spans="1:20" x14ac:dyDescent="0.35">
      <c r="A182" t="s">
        <v>182</v>
      </c>
      <c r="B182">
        <v>84.28</v>
      </c>
      <c r="C182" cm="1">
        <f t="array" ref="C182">INDEX(DataAll!$E$2:$E$555,MATCH(LOWER(Data!A182),LOWER(DataAll!$D$2:$D$555),0))</f>
        <v>74.33</v>
      </c>
      <c r="D182" cm="1">
        <f t="array" ref="D182">INDEX(DataAll!$H$2:$H$579,MATCH(LOWER(Data!A182),LOWER(DataAll!$G$2:$G$555),0))</f>
        <v>0.39300000000000002</v>
      </c>
      <c r="E182" cm="1">
        <f t="array" ref="E182">INDEX(DataAll!$K$2:$K$579,MATCH(LOWER(Data!A182),LOWER(DataAll!$J$2:$J$555),0))</f>
        <v>28</v>
      </c>
      <c r="F182" cm="1">
        <f t="array" ref="F182">INDEX(DataAll!$N$2:$N$555,MATCH(LOWER(Data!A182),LOWER(DataAll!$M$2:$M$555),0))</f>
        <v>46.57</v>
      </c>
      <c r="G182" cm="1">
        <f t="array" ref="G182">INDEX(DataAll!$Q$2:$Q$555,MATCH(LOWER(Data!A182),LOWER(DataAll!$P$2:$P$555),0))</f>
        <v>7.28</v>
      </c>
      <c r="H182" cm="1">
        <f t="array" ref="H182">INDEX(DataAll!$T$2:$T$555,MATCH(LOWER(Data!A182),LOWER(DataAll!$S$2:$S$555),0))</f>
        <v>0.22900000000000001</v>
      </c>
      <c r="I182" cm="1">
        <f t="array" ref="I182">INDEX(DataAll!$W$2:$W$555,MATCH(LOWER(Data!A182),LOWER(DataAll!$V$2:$V$555),0))</f>
        <v>27.33</v>
      </c>
      <c r="J182" cm="1">
        <f t="array" ref="J182">INDEX(DataAll!$Z$2:$Z$555,MATCH(LOWER(Data!A182),LOWER(DataAll!$Y$2:$Y$555),0))</f>
        <v>2.19</v>
      </c>
      <c r="K182" cm="1">
        <f t="array" ref="K182">INDEX(DataAll!$AM$2:$AM$555,MATCH(LOWER(Data!A182),LOWER(DataAll!$AL$2:$AL$555),0))</f>
        <v>11.2</v>
      </c>
      <c r="L182" cm="1">
        <f t="array" ref="L182">INDEX(DataAll!$AJ$2:$AJ$555,MATCH(LOWER(Data!A182),LOWER(DataAll!$AI$2:$AI$555),0))</f>
        <v>16.829999999999998</v>
      </c>
      <c r="M182" cm="1">
        <f t="array" ref="M182">INDEX(DataAll!$AP$2:$AP$555,MATCH(LOWER(Data!A182),LOWER(DataAll!$AO$2:$AO$555),0))</f>
        <v>70.790000000000006</v>
      </c>
      <c r="N182" cm="1">
        <f t="array" ref="N182">INDEX(DataAll!$AQ$2:$AQ$555,MATCH(LOWER(Data!A182),LOWER(DataAll!$AO$2:$AO$555),0))</f>
        <v>74.83</v>
      </c>
      <c r="O182" cm="1">
        <f t="array" ref="O182">INDEX(DataAll!$AT$2:$AT$555,MATCH(LOWER(Data!A182),LOWER(DataAll!$AS$2:$AS$555),0))</f>
        <v>8.06</v>
      </c>
      <c r="P182" cm="1">
        <f t="array" ref="P182">INDEX(DataAll!$AU$2:$AU$555,MATCH(LOWER(Data!A182),LOWER(DataAll!$AS$2:$AS$555),0))</f>
        <v>7.21</v>
      </c>
      <c r="Q182" cm="1">
        <f t="array" ref="Q182">INDEX(DataAll!$AX$2:$AX$556,MATCH(LOWER(Data!A182),LOWER(DataAll!$AW$2:$AW$556),0))</f>
        <v>26.33</v>
      </c>
      <c r="R182" cm="1">
        <f t="array" ref="R182">INDEX('Longitude and Latitude'!$B$2:$B$579,MATCH(LOWER(Data!A182),LOWER('Longitude and Latitude'!$A$2:$A$579),0))</f>
        <v>-6.7155339999999999</v>
      </c>
      <c r="S182" cm="1">
        <f t="array" ref="S182">INDEX('Longitude and Latitude'!$C$2:$C$579,MATCH(LOWER(Data!A182),LOWER('Longitude and Latitude'!$A$2:$A$579),0))</f>
        <v>108.564003</v>
      </c>
      <c r="T182" t="b">
        <f>IF(EXACT(A182, UPPER(A182)), TRUE, FALSE)</f>
        <v>0</v>
      </c>
    </row>
    <row r="183" spans="1:20" x14ac:dyDescent="0.35">
      <c r="A183" t="s">
        <v>183</v>
      </c>
      <c r="B183">
        <v>87.06</v>
      </c>
      <c r="C183" cm="1">
        <f t="array" ref="C183">INDEX(DataAll!$E$2:$E$555,MATCH(LOWER(Data!A183),LOWER(DataAll!$D$2:$D$555),0))</f>
        <v>57.91</v>
      </c>
      <c r="D183" cm="1">
        <f t="array" ref="D183">INDEX(DataAll!$H$2:$H$579,MATCH(LOWER(Data!A183),LOWER(DataAll!$G$2:$G$555),0))</f>
        <v>0.45900000000000002</v>
      </c>
      <c r="E183" cm="1">
        <f t="array" ref="E183">INDEX(DataAll!$K$2:$K$579,MATCH(LOWER(Data!A183),LOWER(DataAll!$J$2:$J$555),0))</f>
        <v>12</v>
      </c>
      <c r="F183" cm="1">
        <f t="array" ref="F183">INDEX(DataAll!$N$2:$N$555,MATCH(LOWER(Data!A183),LOWER(DataAll!$M$2:$M$555),0))</f>
        <v>35.07</v>
      </c>
      <c r="G183" cm="1">
        <f t="array" ref="G183">INDEX(DataAll!$Q$2:$Q$555,MATCH(LOWER(Data!A183),LOWER(DataAll!$P$2:$P$555),0))</f>
        <v>7.9</v>
      </c>
      <c r="H183" cm="1">
        <f t="array" ref="H183">INDEX(DataAll!$T$2:$T$555,MATCH(LOWER(Data!A183),LOWER(DataAll!$S$2:$S$555),0))</f>
        <v>0.314</v>
      </c>
      <c r="I183" cm="1">
        <f t="array" ref="I183">INDEX(DataAll!$W$2:$W$555,MATCH(LOWER(Data!A183),LOWER(DataAll!$V$2:$V$555),0))</f>
        <v>27.97</v>
      </c>
      <c r="J183" cm="1">
        <f t="array" ref="J183">INDEX(DataAll!$Z$2:$Z$555,MATCH(LOWER(Data!A183),LOWER(DataAll!$Y$2:$Y$555),0))</f>
        <v>2.17</v>
      </c>
      <c r="K183" cm="1">
        <f t="array" ref="K183">INDEX(DataAll!$AM$2:$AM$555,MATCH(LOWER(Data!A183),LOWER(DataAll!$AL$2:$AL$555),0))</f>
        <v>11.21</v>
      </c>
      <c r="L183" cm="1">
        <f t="array" ref="L183">INDEX(DataAll!$AJ$2:$AJ$555,MATCH(LOWER(Data!A183),LOWER(DataAll!$AI$2:$AI$555),0))</f>
        <v>16.87</v>
      </c>
      <c r="M183" cm="1">
        <f t="array" ref="M183">INDEX(DataAll!$AP$2:$AP$555,MATCH(LOWER(Data!A183),LOWER(DataAll!$AO$2:$AO$555),0))</f>
        <v>69.12</v>
      </c>
      <c r="N183" cm="1">
        <f t="array" ref="N183">INDEX(DataAll!$AQ$2:$AQ$555,MATCH(LOWER(Data!A183),LOWER(DataAll!$AO$2:$AO$555),0))</f>
        <v>73.08</v>
      </c>
      <c r="O183" cm="1">
        <f t="array" ref="O183">INDEX(DataAll!$AT$2:$AT$555,MATCH(LOWER(Data!A183),LOWER(DataAll!$AS$2:$AS$555),0))</f>
        <v>7.8</v>
      </c>
      <c r="P183" cm="1">
        <f t="array" ref="P183">INDEX(DataAll!$AU$2:$AU$555,MATCH(LOWER(Data!A183),LOWER(DataAll!$AS$2:$AS$555),0))</f>
        <v>7.2</v>
      </c>
      <c r="Q183" cm="1">
        <f t="array" ref="Q183">INDEX(DataAll!$AX$2:$AX$556,MATCH(LOWER(Data!A183),LOWER(DataAll!$AW$2:$AW$556),0))</f>
        <v>18.489999999999998</v>
      </c>
      <c r="R183" cm="1">
        <f t="array" ref="R183">INDEX('Longitude and Latitude'!$B$2:$B$579,MATCH(LOWER(Data!A183),LOWER('Longitude and Latitude'!$A$2:$A$579),0))</f>
        <v>-6.8531025999999997</v>
      </c>
      <c r="S183" cm="1">
        <f t="array" ref="S183">INDEX('Longitude and Latitude'!$C$2:$C$579,MATCH(LOWER(Data!A183),LOWER('Longitude and Latitude'!$A$2:$A$579),0))</f>
        <v>108.2258897</v>
      </c>
      <c r="T183" t="b">
        <f>IF(EXACT(A183, UPPER(A183)), TRUE, FALSE)</f>
        <v>0</v>
      </c>
    </row>
    <row r="184" spans="1:20" x14ac:dyDescent="0.35">
      <c r="A184" t="s">
        <v>184</v>
      </c>
      <c r="B184">
        <v>95.41</v>
      </c>
      <c r="C184" cm="1">
        <f t="array" ref="C184">INDEX(DataAll!$E$2:$E$555,MATCH(LOWER(Data!A184),LOWER(DataAll!$D$2:$D$555),0))</f>
        <v>72.599999999999994</v>
      </c>
      <c r="D184" cm="1">
        <f t="array" ref="D184">INDEX(DataAll!$H$2:$H$579,MATCH(LOWER(Data!A184),LOWER(DataAll!$G$2:$G$555),0))</f>
        <v>0.438</v>
      </c>
      <c r="E184" cm="1">
        <f t="array" ref="E184">INDEX(DataAll!$K$2:$K$579,MATCH(LOWER(Data!A184),LOWER(DataAll!$J$2:$J$555),0))</f>
        <v>18</v>
      </c>
      <c r="F184" cm="1">
        <f t="array" ref="F184">INDEX(DataAll!$N$2:$N$555,MATCH(LOWER(Data!A184),LOWER(DataAll!$M$2:$M$555),0))</f>
        <v>49.16</v>
      </c>
      <c r="G184" cm="1">
        <f t="array" ref="G184">INDEX(DataAll!$Q$2:$Q$555,MATCH(LOWER(Data!A184),LOWER(DataAll!$P$2:$P$555),0))</f>
        <v>5.55</v>
      </c>
      <c r="H184" cm="1">
        <f t="array" ref="H184">INDEX(DataAll!$T$2:$T$555,MATCH(LOWER(Data!A184),LOWER(DataAll!$S$2:$S$555),0))</f>
        <v>0.313</v>
      </c>
      <c r="I184" cm="1">
        <f t="array" ref="I184">INDEX(DataAll!$W$2:$W$555,MATCH(LOWER(Data!A184),LOWER(DataAll!$V$2:$V$555),0))</f>
        <v>35.770000000000003</v>
      </c>
      <c r="J184" cm="1">
        <f t="array" ref="J184">INDEX(DataAll!$Z$2:$Z$555,MATCH(LOWER(Data!A184),LOWER(DataAll!$Y$2:$Y$555),0))</f>
        <v>2.06</v>
      </c>
      <c r="K184" cm="1">
        <f t="array" ref="K184">INDEX(DataAll!$AM$2:$AM$555,MATCH(LOWER(Data!A184),LOWER(DataAll!$AL$2:$AL$555),0))</f>
        <v>9.36</v>
      </c>
      <c r="L184" cm="1">
        <f t="array" ref="L184">INDEX(DataAll!$AJ$2:$AJ$555,MATCH(LOWER(Data!A184),LOWER(DataAll!$AI$2:$AI$555),0))</f>
        <v>15.21</v>
      </c>
      <c r="M184" cm="1">
        <f t="array" ref="M184">INDEX(DataAll!$AP$2:$AP$555,MATCH(LOWER(Data!A184),LOWER(DataAll!$AO$2:$AO$555),0))</f>
        <v>71.13</v>
      </c>
      <c r="N184" cm="1">
        <f t="array" ref="N184">INDEX(DataAll!$AQ$2:$AQ$555,MATCH(LOWER(Data!A184),LOWER(DataAll!$AO$2:$AO$555),0))</f>
        <v>75.349999999999994</v>
      </c>
      <c r="O184" cm="1">
        <f t="array" ref="O184">INDEX(DataAll!$AT$2:$AT$555,MATCH(LOWER(Data!A184),LOWER(DataAll!$AS$2:$AS$555),0))</f>
        <v>8.9499999999999993</v>
      </c>
      <c r="P184" cm="1">
        <f t="array" ref="P184">INDEX(DataAll!$AU$2:$AU$555,MATCH(LOWER(Data!A184),LOWER(DataAll!$AS$2:$AS$555),0))</f>
        <v>8.48</v>
      </c>
      <c r="Q184" cm="1">
        <f t="array" ref="Q184">INDEX(DataAll!$AX$2:$AX$556,MATCH(LOWER(Data!A184),LOWER(DataAll!$AW$2:$AW$556),0))</f>
        <v>29.09</v>
      </c>
      <c r="R184" cm="1">
        <f t="array" ref="R184">INDEX('Longitude and Latitude'!$B$2:$B$579,MATCH(LOWER(Data!A184),LOWER('Longitude and Latitude'!$A$2:$A$579),0))</f>
        <v>0.60959490000000005</v>
      </c>
      <c r="S184" cm="1">
        <f t="array" ref="S184">INDEX('Longitude and Latitude'!$C$2:$C$579,MATCH(LOWER(Data!A184),LOWER('Longitude and Latitude'!$A$2:$A$579),0))</f>
        <v>110.03305539999999</v>
      </c>
      <c r="T184" t="b">
        <f>IF(EXACT(A184, UPPER(A184)), TRUE, FALSE)</f>
        <v>0</v>
      </c>
    </row>
    <row r="185" spans="1:20" x14ac:dyDescent="0.35">
      <c r="A185" t="s">
        <v>185</v>
      </c>
      <c r="B185">
        <v>88.81</v>
      </c>
      <c r="C185" cm="1">
        <f t="array" ref="C185">INDEX(DataAll!$E$2:$E$555,MATCH(LOWER(Data!A185),LOWER(DataAll!$D$2:$D$555),0))</f>
        <v>71.84</v>
      </c>
      <c r="D185" cm="1">
        <f t="array" ref="D185">INDEX(DataAll!$H$2:$H$579,MATCH(LOWER(Data!A185),LOWER(DataAll!$G$2:$G$555),0))</f>
        <v>0.4</v>
      </c>
      <c r="E185" cm="1">
        <f t="array" ref="E185">INDEX(DataAll!$K$2:$K$579,MATCH(LOWER(Data!A185),LOWER(DataAll!$J$2:$J$555),0))</f>
        <v>34</v>
      </c>
      <c r="F185" cm="1">
        <f t="array" ref="F185">INDEX(DataAll!$N$2:$N$555,MATCH(LOWER(Data!A185),LOWER(DataAll!$M$2:$M$555),0))</f>
        <v>44.69</v>
      </c>
      <c r="G185" cm="1">
        <f t="array" ref="G185">INDEX(DataAll!$Q$2:$Q$555,MATCH(LOWER(Data!A185),LOWER(DataAll!$P$2:$P$555),0))</f>
        <v>5.4</v>
      </c>
      <c r="H185" cm="1">
        <f t="array" ref="H185">INDEX(DataAll!$T$2:$T$555,MATCH(LOWER(Data!A185),LOWER(DataAll!$S$2:$S$555),0))</f>
        <v>0.30099999999999999</v>
      </c>
      <c r="I185" cm="1">
        <f t="array" ref="I185">INDEX(DataAll!$W$2:$W$555,MATCH(LOWER(Data!A185),LOWER(DataAll!$V$2:$V$555),0))</f>
        <v>21.38</v>
      </c>
      <c r="J185" cm="1">
        <f t="array" ref="J185">INDEX(DataAll!$Z$2:$Z$555,MATCH(LOWER(Data!A185),LOWER(DataAll!$Y$2:$Y$555),0))</f>
        <v>2.11</v>
      </c>
      <c r="K185" cm="1">
        <f t="array" ref="K185">INDEX(DataAll!$AM$2:$AM$555,MATCH(LOWER(Data!A185),LOWER(DataAll!$AL$2:$AL$555),0))</f>
        <v>12.13</v>
      </c>
      <c r="L185" cm="1">
        <f t="array" ref="L185">INDEX(DataAll!$AJ$2:$AJ$555,MATCH(LOWER(Data!A185),LOWER(DataAll!$AI$2:$AI$555),0))</f>
        <v>17.22</v>
      </c>
      <c r="M185" cm="1">
        <f t="array" ref="M185">INDEX(DataAll!$AP$2:$AP$555,MATCH(LOWER(Data!A185),LOWER(DataAll!$AO$2:$AO$555),0))</f>
        <v>70.5</v>
      </c>
      <c r="N185" cm="1">
        <f t="array" ref="N185">INDEX(DataAll!$AQ$2:$AQ$555,MATCH(LOWER(Data!A185),LOWER(DataAll!$AO$2:$AO$555),0))</f>
        <v>74.52</v>
      </c>
      <c r="O185" cm="1">
        <f t="array" ref="O185">INDEX(DataAll!$AT$2:$AT$555,MATCH(LOWER(Data!A185),LOWER(DataAll!$AS$2:$AS$555),0))</f>
        <v>7.5</v>
      </c>
      <c r="P185" cm="1">
        <f t="array" ref="P185">INDEX(DataAll!$AU$2:$AU$555,MATCH(LOWER(Data!A185),LOWER(DataAll!$AS$2:$AS$555),0))</f>
        <v>6.36</v>
      </c>
      <c r="Q185" cm="1">
        <f t="array" ref="Q185">INDEX(DataAll!$AX$2:$AX$556,MATCH(LOWER(Data!A185),LOWER(DataAll!$AW$2:$AW$556),0))</f>
        <v>23.61</v>
      </c>
      <c r="R185" cm="1">
        <f t="array" ref="R185">INDEX('Longitude and Latitude'!$B$2:$B$579,MATCH(LOWER(Data!A185),LOWER('Longitude and Latitude'!$A$2:$A$579),0))</f>
        <v>-6.3363149999999999</v>
      </c>
      <c r="S185" cm="1">
        <f t="array" ref="S185">INDEX('Longitude and Latitude'!$C$2:$C$579,MATCH(LOWER(Data!A185),LOWER('Longitude and Latitude'!$A$2:$A$579),0))</f>
        <v>108.325104</v>
      </c>
      <c r="T185" t="b">
        <f>IF(EXACT(A185, UPPER(A185)), TRUE, FALSE)</f>
        <v>0</v>
      </c>
    </row>
    <row r="186" spans="1:20" x14ac:dyDescent="0.35">
      <c r="A186" t="s">
        <v>186</v>
      </c>
      <c r="B186">
        <v>91.29</v>
      </c>
      <c r="C186" cm="1">
        <f t="array" ref="C186">INDEX(DataAll!$E$2:$E$555,MATCH(LOWER(Data!A186),LOWER(DataAll!$D$2:$D$555),0))</f>
        <v>71.61</v>
      </c>
      <c r="D186" cm="1">
        <f t="array" ref="D186">INDEX(DataAll!$H$2:$H$579,MATCH(LOWER(Data!A186),LOWER(DataAll!$G$2:$G$555),0))</f>
        <v>0.51100000000000001</v>
      </c>
      <c r="E186" cm="1">
        <f t="array" ref="E186">INDEX(DataAll!$K$2:$K$579,MATCH(LOWER(Data!A186),LOWER(DataAll!$J$2:$J$555),0))</f>
        <v>22</v>
      </c>
      <c r="F186" cm="1">
        <f t="array" ref="F186">INDEX(DataAll!$N$2:$N$555,MATCH(LOWER(Data!A186),LOWER(DataAll!$M$2:$M$555),0))</f>
        <v>42.72</v>
      </c>
      <c r="G186" cm="1">
        <f t="array" ref="G186">INDEX(DataAll!$Q$2:$Q$555,MATCH(LOWER(Data!A186),LOWER(DataAll!$P$2:$P$555),0))</f>
        <v>6.23</v>
      </c>
      <c r="H186" cm="1">
        <f t="array" ref="H186">INDEX(DataAll!$T$2:$T$555,MATCH(LOWER(Data!A186),LOWER(DataAll!$S$2:$S$555),0))</f>
        <v>0.309</v>
      </c>
      <c r="I186" cm="1">
        <f t="array" ref="I186">INDEX(DataAll!$W$2:$W$555,MATCH(LOWER(Data!A186),LOWER(DataAll!$V$2:$V$555),0))</f>
        <v>31.35</v>
      </c>
      <c r="J186" cm="1">
        <f t="array" ref="J186">INDEX(DataAll!$Z$2:$Z$555,MATCH(LOWER(Data!A186),LOWER(DataAll!$Y$2:$Y$555),0))</f>
        <v>2.15</v>
      </c>
      <c r="K186" cm="1">
        <f t="array" ref="K186">INDEX(DataAll!$AM$2:$AM$555,MATCH(LOWER(Data!A186),LOWER(DataAll!$AL$2:$AL$555),0))</f>
        <v>9.52</v>
      </c>
      <c r="L186" cm="1">
        <f t="array" ref="L186">INDEX(DataAll!$AJ$2:$AJ$555,MATCH(LOWER(Data!A186),LOWER(DataAll!$AI$2:$AI$555),0))</f>
        <v>16.75</v>
      </c>
      <c r="M186" cm="1">
        <f t="array" ref="M186">INDEX(DataAll!$AP$2:$AP$555,MATCH(LOWER(Data!A186),LOWER(DataAll!$AO$2:$AO$555),0))</f>
        <v>71.16</v>
      </c>
      <c r="N186" cm="1">
        <f t="array" ref="N186">INDEX(DataAll!$AQ$2:$AQ$555,MATCH(LOWER(Data!A186),LOWER(DataAll!$AO$2:$AO$555),0))</f>
        <v>75.430000000000007</v>
      </c>
      <c r="O186" cm="1">
        <f t="array" ref="O186">INDEX(DataAll!$AT$2:$AT$555,MATCH(LOWER(Data!A186),LOWER(DataAll!$AS$2:$AS$555),0))</f>
        <v>7.9</v>
      </c>
      <c r="P186" cm="1">
        <f t="array" ref="P186">INDEX(DataAll!$AU$2:$AU$555,MATCH(LOWER(Data!A186),LOWER(DataAll!$AS$2:$AS$555),0))</f>
        <v>7.12</v>
      </c>
      <c r="Q186" cm="1">
        <f t="array" ref="Q186">INDEX(DataAll!$AX$2:$AX$556,MATCH(LOWER(Data!A186),LOWER(DataAll!$AW$2:$AW$556),0))</f>
        <v>25.29</v>
      </c>
      <c r="R186" cm="1">
        <f t="array" ref="R186">INDEX('Longitude and Latitude'!$B$2:$B$579,MATCH(LOWER(Data!A186),LOWER('Longitude and Latitude'!$A$2:$A$579),0))</f>
        <v>-6.5693609999999998</v>
      </c>
      <c r="S186" cm="1">
        <f t="array" ref="S186">INDEX('Longitude and Latitude'!$C$2:$C$579,MATCH(LOWER(Data!A186),LOWER('Longitude and Latitude'!$A$2:$A$579),0))</f>
        <v>107.752403</v>
      </c>
      <c r="T186" t="b">
        <f>IF(EXACT(A186, UPPER(A186)), TRUE, FALSE)</f>
        <v>0</v>
      </c>
    </row>
    <row r="187" spans="1:20" x14ac:dyDescent="0.35">
      <c r="A187" t="s">
        <v>187</v>
      </c>
      <c r="B187">
        <v>87.08</v>
      </c>
      <c r="C187" cm="1">
        <f t="array" ref="C187">INDEX(DataAll!$E$2:$E$555,MATCH(LOWER(Data!A187),LOWER(DataAll!$D$2:$D$555),0))</f>
        <v>77.150000000000006</v>
      </c>
      <c r="D187" cm="1">
        <f t="array" ref="D187">INDEX(DataAll!$H$2:$H$579,MATCH(LOWER(Data!A187),LOWER(DataAll!$G$2:$G$555),0))</f>
        <v>0.54900000000000004</v>
      </c>
      <c r="E187" cm="1">
        <f t="array" ref="E187">INDEX(DataAll!$K$2:$K$579,MATCH(LOWER(Data!A187),LOWER(DataAll!$J$2:$J$555),0))</f>
        <v>31.11</v>
      </c>
      <c r="F187" cm="1">
        <f t="array" ref="F187">INDEX(DataAll!$N$2:$N$555,MATCH(LOWER(Data!A187),LOWER(DataAll!$M$2:$M$555),0))</f>
        <v>48.62</v>
      </c>
      <c r="G187" cm="1">
        <f t="array" ref="G187">INDEX(DataAll!$Q$2:$Q$555,MATCH(LOWER(Data!A187),LOWER(DataAll!$P$2:$P$555),0))</f>
        <v>5.07</v>
      </c>
      <c r="H187" cm="1">
        <f t="array" ref="H187">INDEX(DataAll!$T$2:$T$555,MATCH(LOWER(Data!A187),LOWER(DataAll!$S$2:$S$555),0))</f>
        <v>0.34799999999999998</v>
      </c>
      <c r="I187" cm="1">
        <f t="array" ref="I187">INDEX(DataAll!$W$2:$W$555,MATCH(LOWER(Data!A187),LOWER(DataAll!$V$2:$V$555),0))</f>
        <v>28.75</v>
      </c>
      <c r="J187" cm="1">
        <f t="array" ref="J187">INDEX(DataAll!$Z$2:$Z$555,MATCH(LOWER(Data!A187),LOWER(DataAll!$Y$2:$Y$555),0))</f>
        <v>2.35</v>
      </c>
      <c r="K187" cm="1">
        <f t="array" ref="K187">INDEX(DataAll!$AM$2:$AM$555,MATCH(LOWER(Data!A187),LOWER(DataAll!$AL$2:$AL$555),0))</f>
        <v>8.4600000000000009</v>
      </c>
      <c r="L187" cm="1">
        <f t="array" ref="L187">INDEX(DataAll!$AJ$2:$AJ$555,MATCH(LOWER(Data!A187),LOWER(DataAll!$AI$2:$AI$555),0))</f>
        <v>17.100000000000001</v>
      </c>
      <c r="M187" cm="1">
        <f t="array" ref="M187">INDEX(DataAll!$AP$2:$AP$555,MATCH(LOWER(Data!A187),LOWER(DataAll!$AO$2:$AO$555),0))</f>
        <v>69.790000000000006</v>
      </c>
      <c r="N187" cm="1">
        <f t="array" ref="N187">INDEX(DataAll!$AQ$2:$AQ$555,MATCH(LOWER(Data!A187),LOWER(DataAll!$AO$2:$AO$555),0))</f>
        <v>73.78</v>
      </c>
      <c r="O187" cm="1">
        <f t="array" ref="O187">INDEX(DataAll!$AT$2:$AT$555,MATCH(LOWER(Data!A187),LOWER(DataAll!$AS$2:$AS$555),0))</f>
        <v>8.8000000000000007</v>
      </c>
      <c r="P187" cm="1">
        <f t="array" ref="P187">INDEX(DataAll!$AU$2:$AU$555,MATCH(LOWER(Data!A187),LOWER(DataAll!$AS$2:$AS$555),0))</f>
        <v>7.69</v>
      </c>
      <c r="Q187" cm="1">
        <f t="array" ref="Q187">INDEX(DataAll!$AX$2:$AX$556,MATCH(LOWER(Data!A187),LOWER(DataAll!$AW$2:$AW$556),0))</f>
        <v>25.22</v>
      </c>
      <c r="R187" cm="1">
        <f t="array" ref="R187">INDEX('Longitude and Latitude'!$B$2:$B$579,MATCH(LOWER(Data!A187),LOWER('Longitude and Latitude'!$A$2:$A$579),0))</f>
        <v>-6.5386806000000002</v>
      </c>
      <c r="S187" cm="1">
        <f t="array" ref="S187">INDEX('Longitude and Latitude'!$C$2:$C$579,MATCH(LOWER(Data!A187),LOWER('Longitude and Latitude'!$A$2:$A$579),0))</f>
        <v>107.4499404</v>
      </c>
      <c r="T187" t="b">
        <f>IF(EXACT(A187, UPPER(A187)), TRUE, FALSE)</f>
        <v>0</v>
      </c>
    </row>
    <row r="188" spans="1:20" x14ac:dyDescent="0.35">
      <c r="A188" t="s">
        <v>188</v>
      </c>
      <c r="B188">
        <v>91.07</v>
      </c>
      <c r="C188" cm="1">
        <f t="array" ref="C188">INDEX(DataAll!$E$2:$E$555,MATCH(LOWER(Data!A188),LOWER(DataAll!$D$2:$D$555),0))</f>
        <v>70.650000000000006</v>
      </c>
      <c r="D188" cm="1">
        <f t="array" ref="D188">INDEX(DataAll!$H$2:$H$579,MATCH(LOWER(Data!A188),LOWER(DataAll!$G$2:$G$555),0))</f>
        <v>0.498</v>
      </c>
      <c r="E188" cm="1">
        <f t="array" ref="E188">INDEX(DataAll!$K$2:$K$579,MATCH(LOWER(Data!A188),LOWER(DataAll!$J$2:$J$555),0))</f>
        <v>24</v>
      </c>
      <c r="F188" cm="1">
        <f t="array" ref="F188">INDEX(DataAll!$N$2:$N$555,MATCH(LOWER(Data!A188),LOWER(DataAll!$M$2:$M$555),0))</f>
        <v>37.119999999999997</v>
      </c>
      <c r="G188" cm="1">
        <f t="array" ref="G188">INDEX(DataAll!$Q$2:$Q$555,MATCH(LOWER(Data!A188),LOWER(DataAll!$P$2:$P$555),0))</f>
        <v>5.93</v>
      </c>
      <c r="H188" cm="1">
        <f t="array" ref="H188">INDEX(DataAll!$T$2:$T$555,MATCH(LOWER(Data!A188),LOWER(DataAll!$S$2:$S$555),0))</f>
        <v>0.31900000000000001</v>
      </c>
      <c r="I188" cm="1">
        <f t="array" ref="I188">INDEX(DataAll!$W$2:$W$555,MATCH(LOWER(Data!A188),LOWER(DataAll!$V$2:$V$555),0))</f>
        <v>28.3</v>
      </c>
      <c r="J188" cm="1">
        <f t="array" ref="J188">INDEX(DataAll!$Z$2:$Z$555,MATCH(LOWER(Data!A188),LOWER(DataAll!$Y$2:$Y$555),0))</f>
        <v>2.0499999999999998</v>
      </c>
      <c r="K188" cm="1">
        <f t="array" ref="K188">INDEX(DataAll!$AM$2:$AM$555,MATCH(LOWER(Data!A188),LOWER(DataAll!$AL$2:$AL$555),0))</f>
        <v>7.87</v>
      </c>
      <c r="L188" cm="1">
        <f t="array" ref="L188">INDEX(DataAll!$AJ$2:$AJ$555,MATCH(LOWER(Data!A188),LOWER(DataAll!$AI$2:$AI$555),0))</f>
        <v>15.78</v>
      </c>
      <c r="M188" cm="1">
        <f t="array" ref="M188">INDEX(DataAll!$AP$2:$AP$555,MATCH(LOWER(Data!A188),LOWER(DataAll!$AO$2:$AO$555),0))</f>
        <v>70.930000000000007</v>
      </c>
      <c r="N188" cm="1">
        <f t="array" ref="N188">INDEX(DataAll!$AQ$2:$AQ$555,MATCH(LOWER(Data!A188),LOWER(DataAll!$AO$2:$AO$555),0))</f>
        <v>74.97</v>
      </c>
      <c r="O188" cm="1">
        <f t="array" ref="O188">INDEX(DataAll!$AT$2:$AT$555,MATCH(LOWER(Data!A188),LOWER(DataAll!$AS$2:$AS$555),0))</f>
        <v>8.48</v>
      </c>
      <c r="P188" cm="1">
        <f t="array" ref="P188">INDEX(DataAll!$AU$2:$AU$555,MATCH(LOWER(Data!A188),LOWER(DataAll!$AS$2:$AS$555),0))</f>
        <v>7.48</v>
      </c>
      <c r="Q188" cm="1">
        <f t="array" ref="Q188">INDEX(DataAll!$AX$2:$AX$556,MATCH(LOWER(Data!A188),LOWER(DataAll!$AW$2:$AW$556),0))</f>
        <v>30.18</v>
      </c>
      <c r="R188" cm="1">
        <f t="array" ref="R188">INDEX('Longitude and Latitude'!$B$2:$B$579,MATCH(LOWER(Data!A188),LOWER('Longitude and Latitude'!$A$2:$A$579),0))</f>
        <v>-6.3227302999999999</v>
      </c>
      <c r="S188" cm="1">
        <f t="array" ref="S188">INDEX('Longitude and Latitude'!$C$2:$C$579,MATCH(LOWER(Data!A188),LOWER('Longitude and Latitude'!$A$2:$A$579),0))</f>
        <v>107.3375791</v>
      </c>
      <c r="T188" t="b">
        <f>IF(EXACT(A188, UPPER(A188)), TRUE, FALSE)</f>
        <v>0</v>
      </c>
    </row>
    <row r="189" spans="1:20" x14ac:dyDescent="0.35">
      <c r="A189" t="s">
        <v>189</v>
      </c>
      <c r="B189">
        <v>89.53</v>
      </c>
      <c r="C189" cm="1">
        <f t="array" ref="C189">INDEX(DataAll!$E$2:$E$555,MATCH(LOWER(Data!A189),LOWER(DataAll!$D$2:$D$555),0))</f>
        <v>65.16</v>
      </c>
      <c r="D189" cm="1">
        <f t="array" ref="D189">INDEX(DataAll!$H$2:$H$579,MATCH(LOWER(Data!A189),LOWER(DataAll!$G$2:$G$555),0))</f>
        <v>0.443</v>
      </c>
      <c r="E189" cm="1">
        <f t="array" ref="E189">INDEX(DataAll!$K$2:$K$579,MATCH(LOWER(Data!A189),LOWER(DataAll!$J$2:$J$555),0))</f>
        <v>22</v>
      </c>
      <c r="F189" cm="1">
        <f t="array" ref="F189">INDEX(DataAll!$N$2:$N$555,MATCH(LOWER(Data!A189),LOWER(DataAll!$M$2:$M$555),0))</f>
        <v>39.46</v>
      </c>
      <c r="G189" cm="1">
        <f t="array" ref="G189">INDEX(DataAll!$Q$2:$Q$555,MATCH(LOWER(Data!A189),LOWER(DataAll!$P$2:$P$555),0))</f>
        <v>4.3600000000000003</v>
      </c>
      <c r="H189" cm="1">
        <f t="array" ref="H189">INDEX(DataAll!$T$2:$T$555,MATCH(LOWER(Data!A189),LOWER(DataAll!$S$2:$S$555),0))</f>
        <v>0.27900000000000003</v>
      </c>
      <c r="I189" cm="1">
        <f t="array" ref="I189">INDEX(DataAll!$W$2:$W$555,MATCH(LOWER(Data!A189),LOWER(DataAll!$V$2:$V$555),0))</f>
        <v>23.88</v>
      </c>
      <c r="J189" cm="1">
        <f t="array" ref="J189">INDEX(DataAll!$Z$2:$Z$555,MATCH(LOWER(Data!A189),LOWER(DataAll!$Y$2:$Y$555),0))</f>
        <v>1.97</v>
      </c>
      <c r="K189" cm="1">
        <f t="array" ref="K189">INDEX(DataAll!$AM$2:$AM$555,MATCH(LOWER(Data!A189),LOWER(DataAll!$AL$2:$AL$555),0))</f>
        <v>4.93</v>
      </c>
      <c r="L189" cm="1">
        <f t="array" ref="L189">INDEX(DataAll!$AJ$2:$AJ$555,MATCH(LOWER(Data!A189),LOWER(DataAll!$AI$2:$AI$555),0))</f>
        <v>14.12</v>
      </c>
      <c r="M189" cm="1">
        <f t="array" ref="M189">INDEX(DataAll!$AP$2:$AP$555,MATCH(LOWER(Data!A189),LOWER(DataAll!$AO$2:$AO$555),0))</f>
        <v>72.53</v>
      </c>
      <c r="N189" cm="1">
        <f t="array" ref="N189">INDEX(DataAll!$AQ$2:$AQ$555,MATCH(LOWER(Data!A189),LOWER(DataAll!$AO$2:$AO$555),0))</f>
        <v>76.23</v>
      </c>
      <c r="O189" cm="1">
        <f t="array" ref="O189">INDEX(DataAll!$AT$2:$AT$555,MATCH(LOWER(Data!A189),LOWER(DataAll!$AS$2:$AS$555),0))</f>
        <v>9.8000000000000007</v>
      </c>
      <c r="P189" cm="1">
        <f t="array" ref="P189">INDEX(DataAll!$AU$2:$AU$555,MATCH(LOWER(Data!A189),LOWER(DataAll!$AS$2:$AS$555),0))</f>
        <v>9.17</v>
      </c>
      <c r="Q189" cm="1">
        <f t="array" ref="Q189">INDEX(DataAll!$AX$2:$AX$556,MATCH(LOWER(Data!A189),LOWER(DataAll!$AW$2:$AW$556),0))</f>
        <v>47.03</v>
      </c>
      <c r="R189" cm="1">
        <f t="array" ref="R189">INDEX('Longitude and Latitude'!$B$2:$B$579,MATCH(LOWER(Data!A189),LOWER('Longitude and Latitude'!$A$2:$A$579),0))</f>
        <v>-6.2333333</v>
      </c>
      <c r="S189" cm="1">
        <f t="array" ref="S189">INDEX('Longitude and Latitude'!$C$2:$C$579,MATCH(LOWER(Data!A189),LOWER('Longitude and Latitude'!$A$2:$A$579),0))</f>
        <v>107</v>
      </c>
      <c r="T189" t="b">
        <f>IF(EXACT(A189, UPPER(A189)), TRUE, FALSE)</f>
        <v>0</v>
      </c>
    </row>
    <row r="190" spans="1:20" x14ac:dyDescent="0.35">
      <c r="A190" t="s">
        <v>190</v>
      </c>
      <c r="B190">
        <v>80.37</v>
      </c>
      <c r="C190" cm="1">
        <f t="array" ref="C190">INDEX(DataAll!$E$2:$E$555,MATCH(LOWER(Data!A190),LOWER(DataAll!$D$2:$D$555),0))</f>
        <v>66.97</v>
      </c>
      <c r="D190" cm="1">
        <f t="array" ref="D190">INDEX(DataAll!$H$2:$H$579,MATCH(LOWER(Data!A190),LOWER(DataAll!$G$2:$G$555),0))</f>
        <v>0.56399999999999995</v>
      </c>
      <c r="E190" cm="1">
        <f t="array" ref="E190">INDEX(DataAll!$K$2:$K$579,MATCH(LOWER(Data!A190),LOWER(DataAll!$J$2:$J$555),0))</f>
        <v>12</v>
      </c>
      <c r="F190" cm="1">
        <f t="array" ref="F190">INDEX(DataAll!$N$2:$N$555,MATCH(LOWER(Data!A190),LOWER(DataAll!$M$2:$M$555),0))</f>
        <v>46.28</v>
      </c>
      <c r="G190" cm="1">
        <f t="array" ref="G190">INDEX(DataAll!$Q$2:$Q$555,MATCH(LOWER(Data!A190),LOWER(DataAll!$P$2:$P$555),0))</f>
        <v>7.48</v>
      </c>
      <c r="H190" cm="1">
        <f t="array" ref="H190">INDEX(DataAll!$T$2:$T$555,MATCH(LOWER(Data!A190),LOWER(DataAll!$S$2:$S$555),0))</f>
        <v>0.40300000000000002</v>
      </c>
      <c r="I190" cm="1">
        <f t="array" ref="I190">INDEX(DataAll!$W$2:$W$555,MATCH(LOWER(Data!A190),LOWER(DataAll!$V$2:$V$555),0))</f>
        <v>34.17</v>
      </c>
      <c r="J190" cm="1">
        <f t="array" ref="J190">INDEX(DataAll!$Z$2:$Z$555,MATCH(LOWER(Data!A190),LOWER(DataAll!$Y$2:$Y$555),0))</f>
        <v>2.2400000000000002</v>
      </c>
      <c r="K190" cm="1">
        <f t="array" ref="K190">INDEX(DataAll!$AM$2:$AM$555,MATCH(LOWER(Data!A190),LOWER(DataAll!$AL$2:$AL$555),0))</f>
        <v>10.52</v>
      </c>
      <c r="L190" cm="1">
        <f t="array" ref="L190">INDEX(DataAll!$AJ$2:$AJ$555,MATCH(LOWER(Data!A190),LOWER(DataAll!$AI$2:$AI$555),0))</f>
        <v>16.47</v>
      </c>
      <c r="M190" cm="1">
        <f t="array" ref="M190">INDEX(DataAll!$AP$2:$AP$555,MATCH(LOWER(Data!A190),LOWER(DataAll!$AO$2:$AO$555),0))</f>
        <v>71.069999999999993</v>
      </c>
      <c r="N190" cm="1">
        <f t="array" ref="N190">INDEX(DataAll!$AQ$2:$AQ$555,MATCH(LOWER(Data!A190),LOWER(DataAll!$AO$2:$AO$555),0))</f>
        <v>75.23</v>
      </c>
      <c r="O190" cm="1">
        <f t="array" ref="O190">INDEX(DataAll!$AT$2:$AT$555,MATCH(LOWER(Data!A190),LOWER(DataAll!$AS$2:$AS$555),0))</f>
        <v>8.75</v>
      </c>
      <c r="P190" cm="1">
        <f t="array" ref="P190">INDEX(DataAll!$AU$2:$AU$555,MATCH(LOWER(Data!A190),LOWER(DataAll!$AS$2:$AS$555),0))</f>
        <v>7.86</v>
      </c>
      <c r="Q190" cm="1">
        <f t="array" ref="Q190">INDEX(DataAll!$AX$2:$AX$556,MATCH(LOWER(Data!A190),LOWER(DataAll!$AW$2:$AW$556),0))</f>
        <v>20.59</v>
      </c>
      <c r="R190" cm="1">
        <f t="array" ref="R190">INDEX('Longitude and Latitude'!$B$2:$B$579,MATCH(LOWER(Data!A190),LOWER('Longitude and Latitude'!$A$2:$A$579),0))</f>
        <v>-6.8937121000000001</v>
      </c>
      <c r="S190" cm="1">
        <f t="array" ref="S190">INDEX('Longitude and Latitude'!$C$2:$C$579,MATCH(LOWER(Data!A190),LOWER('Longitude and Latitude'!$A$2:$A$579),0))</f>
        <v>107.4321959</v>
      </c>
      <c r="T190" t="b">
        <f>IF(EXACT(A190, UPPER(A190)), TRUE, FALSE)</f>
        <v>0</v>
      </c>
    </row>
    <row r="191" spans="1:20" x14ac:dyDescent="0.35">
      <c r="A191" t="s">
        <v>191</v>
      </c>
      <c r="B191">
        <v>90.04</v>
      </c>
      <c r="C191" cm="1">
        <f t="array" ref="C191">INDEX(DataAll!$E$2:$E$555,MATCH(LOWER(Data!A191),LOWER(DataAll!$D$2:$D$555),0))</f>
        <v>76.53</v>
      </c>
      <c r="D191" cm="1">
        <f t="array" ref="D191">INDEX(DataAll!$H$2:$H$579,MATCH(LOWER(Data!A191),LOWER(DataAll!$G$2:$G$555),0))</f>
        <v>0.41599999999999998</v>
      </c>
      <c r="E191" cm="1">
        <f t="array" ref="E191">INDEX(DataAll!$K$2:$K$579,MATCH(LOWER(Data!A191),LOWER(DataAll!$J$2:$J$555),0))</f>
        <v>25</v>
      </c>
      <c r="F191" cm="1">
        <f t="array" ref="F191">INDEX(DataAll!$N$2:$N$555,MATCH(LOWER(Data!A191),LOWER(DataAll!$M$2:$M$555),0))</f>
        <v>46.04</v>
      </c>
      <c r="G191" cm="1">
        <f t="array" ref="G191">INDEX(DataAll!$Q$2:$Q$555,MATCH(LOWER(Data!A191),LOWER(DataAll!$P$2:$P$555),0))</f>
        <v>6.04</v>
      </c>
      <c r="H191" cm="1">
        <f t="array" ref="H191">INDEX(DataAll!$T$2:$T$555,MATCH(LOWER(Data!A191),LOWER(DataAll!$S$2:$S$555),0))</f>
        <v>0.33</v>
      </c>
      <c r="I191" cm="1">
        <f t="array" ref="I191">INDEX(DataAll!$W$2:$W$555,MATCH(LOWER(Data!A191),LOWER(DataAll!$V$2:$V$555),0))</f>
        <v>36.15</v>
      </c>
      <c r="J191" cm="1">
        <f t="array" ref="J191">INDEX(DataAll!$Z$2:$Z$555,MATCH(LOWER(Data!A191),LOWER(DataAll!$Y$2:$Y$555),0))</f>
        <v>2.2200000000000002</v>
      </c>
      <c r="K191" cm="1">
        <f t="array" ref="K191">INDEX(DataAll!$AM$2:$AM$555,MATCH(LOWER(Data!A191),LOWER(DataAll!$AL$2:$AL$555),0))</f>
        <v>8.98</v>
      </c>
      <c r="L191" cm="1">
        <f t="array" ref="L191">INDEX(DataAll!$AJ$2:$AJ$555,MATCH(LOWER(Data!A191),LOWER(DataAll!$AI$2:$AI$555),0))</f>
        <v>16.489999999999998</v>
      </c>
      <c r="M191" cm="1">
        <f t="array" ref="M191">INDEX(DataAll!$AP$2:$AP$555,MATCH(LOWER(Data!A191),LOWER(DataAll!$AO$2:$AO$555),0))</f>
        <v>70.22</v>
      </c>
      <c r="N191" cm="1">
        <f t="array" ref="N191">INDEX(DataAll!$AQ$2:$AQ$555,MATCH(LOWER(Data!A191),LOWER(DataAll!$AO$2:$AO$555),0))</f>
        <v>74.22</v>
      </c>
      <c r="O191" cm="1">
        <f t="array" ref="O191">INDEX(DataAll!$AT$2:$AT$555,MATCH(LOWER(Data!A191),LOWER(DataAll!$AS$2:$AS$555),0))</f>
        <v>8.4</v>
      </c>
      <c r="P191" cm="1">
        <f t="array" ref="P191">INDEX(DataAll!$AU$2:$AU$555,MATCH(LOWER(Data!A191),LOWER(DataAll!$AS$2:$AS$555),0))</f>
        <v>7.77</v>
      </c>
      <c r="Q191" cm="1">
        <f t="array" ref="Q191">INDEX(DataAll!$AX$2:$AX$556,MATCH(LOWER(Data!A191),LOWER(DataAll!$AW$2:$AW$556),0))</f>
        <v>20.83</v>
      </c>
      <c r="R191" cm="1">
        <f t="array" ref="R191">INDEX('Longitude and Latitude'!$B$2:$B$579,MATCH(LOWER(Data!A191),LOWER('Longitude and Latitude'!$A$2:$A$579),0))</f>
        <v>-7.7016549999999997</v>
      </c>
      <c r="S191" cm="1">
        <f t="array" ref="S191">INDEX('Longitude and Latitude'!$C$2:$C$579,MATCH(LOWER(Data!A191),LOWER('Longitude and Latitude'!$A$2:$A$579),0))</f>
        <v>108.49422</v>
      </c>
      <c r="T191" t="b">
        <f>IF(EXACT(A191, UPPER(A191)), TRUE, FALSE)</f>
        <v>0</v>
      </c>
    </row>
    <row r="192" spans="1:20" x14ac:dyDescent="0.35">
      <c r="A192" t="s">
        <v>192</v>
      </c>
      <c r="B192">
        <v>91.11</v>
      </c>
      <c r="C192" cm="1">
        <f t="array" ref="C192">INDEX(DataAll!$E$2:$E$555,MATCH(LOWER(Data!A192),LOWER(DataAll!$D$2:$D$555),0))</f>
        <v>71.13</v>
      </c>
      <c r="D192" cm="1">
        <f t="array" ref="D192">INDEX(DataAll!$H$2:$H$579,MATCH(LOWER(Data!A192),LOWER(DataAll!$G$2:$G$555),0))</f>
        <v>0.34300000000000003</v>
      </c>
      <c r="E192" cm="1">
        <f t="array" ref="E192">INDEX(DataAll!$K$2:$K$579,MATCH(LOWER(Data!A192),LOWER(DataAll!$J$2:$J$555),0))</f>
        <v>20</v>
      </c>
      <c r="F192" cm="1">
        <f t="array" ref="F192">INDEX(DataAll!$N$2:$N$555,MATCH(LOWER(Data!A192),LOWER(DataAll!$M$2:$M$555),0))</f>
        <v>41.95</v>
      </c>
      <c r="G192" cm="1">
        <f t="array" ref="G192">INDEX(DataAll!$Q$2:$Q$555,MATCH(LOWER(Data!A192),LOWER(DataAll!$P$2:$P$555),0))</f>
        <v>4.8600000000000003</v>
      </c>
      <c r="H192" cm="1">
        <f t="array" ref="H192">INDEX(DataAll!$T$2:$T$555,MATCH(LOWER(Data!A192),LOWER(DataAll!$S$2:$S$555),0))</f>
        <v>0.21</v>
      </c>
      <c r="I192" cm="1">
        <f t="array" ref="I192">INDEX(DataAll!$W$2:$W$555,MATCH(LOWER(Data!A192),LOWER(DataAll!$V$2:$V$555),0))</f>
        <v>30.19</v>
      </c>
      <c r="J192" cm="1">
        <f t="array" ref="J192">INDEX(DataAll!$Z$2:$Z$555,MATCH(LOWER(Data!A192),LOWER(DataAll!$Y$2:$Y$555),0))</f>
        <v>1.87</v>
      </c>
      <c r="K192" cm="1">
        <f t="array" ref="K192">INDEX(DataAll!$AM$2:$AM$555,MATCH(LOWER(Data!A192),LOWER(DataAll!$AL$2:$AL$555),0))</f>
        <v>6.67</v>
      </c>
      <c r="L192" cm="1">
        <f t="array" ref="L192">INDEX(DataAll!$AJ$2:$AJ$555,MATCH(LOWER(Data!A192),LOWER(DataAll!$AI$2:$AI$555),0))</f>
        <v>13.3</v>
      </c>
      <c r="M192" cm="1">
        <f t="array" ref="M192">INDEX(DataAll!$AP$2:$AP$555,MATCH(LOWER(Data!A192),LOWER(DataAll!$AO$2:$AO$555),0))</f>
        <v>72.69</v>
      </c>
      <c r="N192" cm="1">
        <f t="array" ref="N192">INDEX(DataAll!$AQ$2:$AQ$555,MATCH(LOWER(Data!A192),LOWER(DataAll!$AO$2:$AO$555),0))</f>
        <v>76.37</v>
      </c>
      <c r="O192" cm="1">
        <f t="array" ref="O192">INDEX(DataAll!$AT$2:$AT$555,MATCH(LOWER(Data!A192),LOWER(DataAll!$AS$2:$AS$555),0))</f>
        <v>11.04</v>
      </c>
      <c r="P192" cm="1">
        <f t="array" ref="P192">INDEX(DataAll!$AU$2:$AU$555,MATCH(LOWER(Data!A192),LOWER(DataAll!$AS$2:$AS$555),0))</f>
        <v>10.24</v>
      </c>
      <c r="Q192" cm="1">
        <f t="array" ref="Q192">INDEX(DataAll!$AX$2:$AX$556,MATCH(LOWER(Data!A192),LOWER(DataAll!$AW$2:$AW$556),0))</f>
        <v>48.51</v>
      </c>
      <c r="R192" cm="1">
        <f t="array" ref="R192">INDEX('Longitude and Latitude'!$B$2:$B$579,MATCH(LOWER(Data!A192),LOWER('Longitude and Latitude'!$A$2:$A$579),0))</f>
        <v>-6.6</v>
      </c>
      <c r="S192" cm="1">
        <f t="array" ref="S192">INDEX('Longitude and Latitude'!$C$2:$C$579,MATCH(LOWER(Data!A192),LOWER('Longitude and Latitude'!$A$2:$A$579),0))</f>
        <v>106.8</v>
      </c>
      <c r="T192" t="b">
        <f>IF(EXACT(A192, UPPER(A192)), TRUE, FALSE)</f>
        <v>0</v>
      </c>
    </row>
    <row r="193" spans="1:20" x14ac:dyDescent="0.35">
      <c r="A193" t="s">
        <v>193</v>
      </c>
      <c r="B193">
        <v>92.35</v>
      </c>
      <c r="C193" cm="1">
        <f t="array" ref="C193">INDEX(DataAll!$E$2:$E$555,MATCH(LOWER(Data!A193),LOWER(DataAll!$D$2:$D$555),0))</f>
        <v>69.12</v>
      </c>
      <c r="D193" cm="1">
        <f t="array" ref="D193">INDEX(DataAll!$H$2:$H$579,MATCH(LOWER(Data!A193),LOWER(DataAll!$G$2:$G$555),0))</f>
        <v>0.221</v>
      </c>
      <c r="E193" cm="1">
        <f t="array" ref="E193">INDEX(DataAll!$K$2:$K$579,MATCH(LOWER(Data!A193),LOWER(DataAll!$J$2:$J$555),0))</f>
        <v>20</v>
      </c>
      <c r="F193" cm="1">
        <f t="array" ref="F193">INDEX(DataAll!$N$2:$N$555,MATCH(LOWER(Data!A193),LOWER(DataAll!$M$2:$M$555),0))</f>
        <v>41.98</v>
      </c>
      <c r="G193" cm="1">
        <f t="array" ref="G193">INDEX(DataAll!$Q$2:$Q$555,MATCH(LOWER(Data!A193),LOWER(DataAll!$P$2:$P$555),0))</f>
        <v>5.23</v>
      </c>
      <c r="H193" cm="1">
        <f t="array" ref="H193">INDEX(DataAll!$T$2:$T$555,MATCH(LOWER(Data!A193),LOWER(DataAll!$S$2:$S$555),0))</f>
        <v>0.23400000000000001</v>
      </c>
      <c r="I193" cm="1">
        <f t="array" ref="I193">INDEX(DataAll!$W$2:$W$555,MATCH(LOWER(Data!A193),LOWER(DataAll!$V$2:$V$555),0))</f>
        <v>28.7</v>
      </c>
      <c r="J193" cm="1">
        <f t="array" ref="J193">INDEX(DataAll!$Z$2:$Z$555,MATCH(LOWER(Data!A193),LOWER(DataAll!$Y$2:$Y$555),0))</f>
        <v>2.16</v>
      </c>
      <c r="K193" cm="1">
        <f t="array" ref="K193">INDEX(DataAll!$AM$2:$AM$555,MATCH(LOWER(Data!A193),LOWER(DataAll!$AL$2:$AL$555),0))</f>
        <v>7.5</v>
      </c>
      <c r="L193" cm="1">
        <f t="array" ref="L193">INDEX(DataAll!$AJ$2:$AJ$555,MATCH(LOWER(Data!A193),LOWER(DataAll!$AI$2:$AI$555),0))</f>
        <v>15.6</v>
      </c>
      <c r="M193" cm="1">
        <f t="array" ref="M193">INDEX(DataAll!$AP$2:$AP$555,MATCH(LOWER(Data!A193),LOWER(DataAll!$AO$2:$AO$555),0))</f>
        <v>71.08</v>
      </c>
      <c r="N193" cm="1">
        <f t="array" ref="N193">INDEX(DataAll!$AQ$2:$AQ$555,MATCH(LOWER(Data!A193),LOWER(DataAll!$AO$2:$AO$555),0))</f>
        <v>75.25</v>
      </c>
      <c r="O193" cm="1">
        <f t="array" ref="O193">INDEX(DataAll!$AT$2:$AT$555,MATCH(LOWER(Data!A193),LOWER(DataAll!$AS$2:$AS$555),0))</f>
        <v>10.7</v>
      </c>
      <c r="P193" cm="1">
        <f t="array" ref="P193">INDEX(DataAll!$AU$2:$AU$555,MATCH(LOWER(Data!A193),LOWER(DataAll!$AS$2:$AS$555),0))</f>
        <v>10.09</v>
      </c>
      <c r="Q193" cm="1">
        <f t="array" ref="Q193">INDEX(DataAll!$AX$2:$AX$556,MATCH(LOWER(Data!A193),LOWER(DataAll!$AW$2:$AW$556),0))</f>
        <v>50.13</v>
      </c>
      <c r="R193" cm="1">
        <f t="array" ref="R193">INDEX('Longitude and Latitude'!$B$2:$B$579,MATCH(LOWER(Data!A193),LOWER('Longitude and Latitude'!$A$2:$A$579),0))</f>
        <v>-6.9240500000000003</v>
      </c>
      <c r="S193" cm="1">
        <f t="array" ref="S193">INDEX('Longitude and Latitude'!$C$2:$C$579,MATCH(LOWER(Data!A193),LOWER('Longitude and Latitude'!$A$2:$A$579),0))</f>
        <v>106.922203</v>
      </c>
      <c r="T193" t="b">
        <f>IF(EXACT(A193, UPPER(A193)), TRUE, FALSE)</f>
        <v>0</v>
      </c>
    </row>
    <row r="194" spans="1:20" x14ac:dyDescent="0.35">
      <c r="A194" t="s">
        <v>194</v>
      </c>
      <c r="B194">
        <v>94.71</v>
      </c>
      <c r="C194" cm="1">
        <f t="array" ref="C194">INDEX(DataAll!$E$2:$E$555,MATCH(LOWER(Data!A194),LOWER(DataAll!$D$2:$D$555),0))</f>
        <v>73.010000000000005</v>
      </c>
      <c r="D194" cm="1">
        <f t="array" ref="D194">INDEX(DataAll!$H$2:$H$579,MATCH(LOWER(Data!A194),LOWER(DataAll!$G$2:$G$555),0))</f>
        <v>0.27500000000000002</v>
      </c>
      <c r="E194" cm="1">
        <f t="array" ref="E194">INDEX(DataAll!$K$2:$K$579,MATCH(LOWER(Data!A194),LOWER(DataAll!$J$2:$J$555),0))</f>
        <v>18</v>
      </c>
      <c r="F194" cm="1">
        <f t="array" ref="F194">INDEX(DataAll!$N$2:$N$555,MATCH(LOWER(Data!A194),LOWER(DataAll!$M$2:$M$555),0))</f>
        <v>45.93</v>
      </c>
      <c r="G194" cm="1">
        <f t="array" ref="G194">INDEX(DataAll!$Q$2:$Q$555,MATCH(LOWER(Data!A194),LOWER(DataAll!$P$2:$P$555),0))</f>
        <v>3.64</v>
      </c>
      <c r="H194" cm="1">
        <f t="array" ref="H194">INDEX(DataAll!$T$2:$T$555,MATCH(LOWER(Data!A194),LOWER(DataAll!$S$2:$S$555),0))</f>
        <v>0.184</v>
      </c>
      <c r="I194" cm="1">
        <f t="array" ref="I194">INDEX(DataAll!$W$2:$W$555,MATCH(LOWER(Data!A194),LOWER(DataAll!$V$2:$V$555),0))</f>
        <v>35.68</v>
      </c>
      <c r="J194" cm="1">
        <f t="array" ref="J194">INDEX(DataAll!$Z$2:$Z$555,MATCH(LOWER(Data!A194),LOWER(DataAll!$Y$2:$Y$555),0))</f>
        <v>1.83</v>
      </c>
      <c r="K194" cm="1">
        <f t="array" ref="K194">INDEX(DataAll!$AM$2:$AM$555,MATCH(LOWER(Data!A194),LOWER(DataAll!$AL$2:$AL$555),0))</f>
        <v>3.96</v>
      </c>
      <c r="L194" cm="1">
        <f t="array" ref="L194">INDEX(DataAll!$AJ$2:$AJ$555,MATCH(LOWER(Data!A194),LOWER(DataAll!$AI$2:$AI$555),0))</f>
        <v>12.96</v>
      </c>
      <c r="M194" cm="1">
        <f t="array" ref="M194">INDEX(DataAll!$AP$2:$AP$555,MATCH(LOWER(Data!A194),LOWER(DataAll!$AO$2:$AO$555),0))</f>
        <v>73.3</v>
      </c>
      <c r="N194" cm="1">
        <f t="array" ref="N194">INDEX(DataAll!$AQ$2:$AQ$555,MATCH(LOWER(Data!A194),LOWER(DataAll!$AO$2:$AO$555),0))</f>
        <v>76.930000000000007</v>
      </c>
      <c r="O194" cm="1">
        <f t="array" ref="O194">INDEX(DataAll!$AT$2:$AT$555,MATCH(LOWER(Data!A194),LOWER(DataAll!$AS$2:$AS$555),0))</f>
        <v>11.42</v>
      </c>
      <c r="P194" cm="1">
        <f t="array" ref="P194">INDEX(DataAll!$AU$2:$AU$555,MATCH(LOWER(Data!A194),LOWER(DataAll!$AS$2:$AS$555),0))</f>
        <v>10.71</v>
      </c>
      <c r="Q194" cm="1">
        <f t="array" ref="Q194">INDEX(DataAll!$AX$2:$AX$556,MATCH(LOWER(Data!A194),LOWER(DataAll!$AW$2:$AW$556),0))</f>
        <v>57.03</v>
      </c>
      <c r="R194" cm="1">
        <f t="array" ref="R194">INDEX('Longitude and Latitude'!$B$2:$B$579,MATCH(LOWER(Data!A194),LOWER('Longitude and Latitude'!$A$2:$A$579),0))</f>
        <v>-6.9147444</v>
      </c>
      <c r="S194" cm="1">
        <f t="array" ref="S194">INDEX('Longitude and Latitude'!$C$2:$C$579,MATCH(LOWER(Data!A194),LOWER('Longitude and Latitude'!$A$2:$A$579),0))</f>
        <v>107.6098111</v>
      </c>
      <c r="T194" t="b">
        <f>IF(EXACT(A194, UPPER(A194)), TRUE, FALSE)</f>
        <v>0</v>
      </c>
    </row>
    <row r="195" spans="1:20" x14ac:dyDescent="0.35">
      <c r="A195" t="s">
        <v>195</v>
      </c>
      <c r="B195">
        <v>95.55</v>
      </c>
      <c r="C195" cm="1">
        <f t="array" ref="C195">INDEX(DataAll!$E$2:$E$555,MATCH(LOWER(Data!A195),LOWER(DataAll!$D$2:$D$555),0))</f>
        <v>77.03</v>
      </c>
      <c r="D195" cm="1">
        <f t="array" ref="D195">INDEX(DataAll!$H$2:$H$579,MATCH(LOWER(Data!A195),LOWER(DataAll!$G$2:$G$555),0))</f>
        <v>0.40899999999999997</v>
      </c>
      <c r="E195" cm="1">
        <f t="array" ref="E195">INDEX(DataAll!$K$2:$K$579,MATCH(LOWER(Data!A195),LOWER(DataAll!$J$2:$J$555),0))</f>
        <v>25.71</v>
      </c>
      <c r="F195" cm="1">
        <f t="array" ref="F195">INDEX(DataAll!$N$2:$N$555,MATCH(LOWER(Data!A195),LOWER(DataAll!$M$2:$M$555),0))</f>
        <v>50.79</v>
      </c>
      <c r="G195" cm="1">
        <f t="array" ref="G195">INDEX(DataAll!$Q$2:$Q$555,MATCH(LOWER(Data!A195),LOWER(DataAll!$P$2:$P$555),0))</f>
        <v>6.85</v>
      </c>
      <c r="H195" cm="1">
        <f t="array" ref="H195">INDEX(DataAll!$T$2:$T$555,MATCH(LOWER(Data!A195),LOWER(DataAll!$S$2:$S$555),0))</f>
        <v>0.16900000000000001</v>
      </c>
      <c r="I195" cm="1">
        <f t="array" ref="I195">INDEX(DataAll!$W$2:$W$555,MATCH(LOWER(Data!A195),LOWER(DataAll!$V$2:$V$555),0))</f>
        <v>32.28</v>
      </c>
      <c r="J195" cm="1">
        <f t="array" ref="J195">INDEX(DataAll!$Z$2:$Z$555,MATCH(LOWER(Data!A195),LOWER(DataAll!$Y$2:$Y$555),0))</f>
        <v>2.0299999999999998</v>
      </c>
      <c r="K195" cm="1">
        <f t="array" ref="K195">INDEX(DataAll!$AM$2:$AM$555,MATCH(LOWER(Data!A195),LOWER(DataAll!$AL$2:$AL$555),0))</f>
        <v>9.16</v>
      </c>
      <c r="L195" cm="1">
        <f t="array" ref="L195">INDEX(DataAll!$AJ$2:$AJ$555,MATCH(LOWER(Data!A195),LOWER(DataAll!$AI$2:$AI$555),0))</f>
        <v>14.63</v>
      </c>
      <c r="M195" cm="1">
        <f t="array" ref="M195">INDEX(DataAll!$AP$2:$AP$555,MATCH(LOWER(Data!A195),LOWER(DataAll!$AO$2:$AO$555),0))</f>
        <v>71.06</v>
      </c>
      <c r="N195" cm="1">
        <f t="array" ref="N195">INDEX(DataAll!$AQ$2:$AQ$555,MATCH(LOWER(Data!A195),LOWER(DataAll!$AO$2:$AO$555),0))</f>
        <v>75.2</v>
      </c>
      <c r="O195" cm="1">
        <f t="array" ref="O195">INDEX(DataAll!$AT$2:$AT$555,MATCH(LOWER(Data!A195),LOWER(DataAll!$AS$2:$AS$555),0))</f>
        <v>10.67</v>
      </c>
      <c r="P195" cm="1">
        <f t="array" ref="P195">INDEX(DataAll!$AU$2:$AU$555,MATCH(LOWER(Data!A195),LOWER(DataAll!$AS$2:$AS$555),0))</f>
        <v>10.119999999999999</v>
      </c>
      <c r="Q195" cm="1">
        <f t="array" ref="Q195">INDEX(DataAll!$AX$2:$AX$556,MATCH(LOWER(Data!A195),LOWER(DataAll!$AW$2:$AW$556),0))</f>
        <v>53.58</v>
      </c>
      <c r="R195" cm="1">
        <f t="array" ref="R195">INDEX('Longitude and Latitude'!$B$2:$B$579,MATCH(LOWER(Data!A195),LOWER('Longitude and Latitude'!$A$2:$A$579),0))</f>
        <v>-6.7155339999999999</v>
      </c>
      <c r="S195" cm="1">
        <f t="array" ref="S195">INDEX('Longitude and Latitude'!$C$2:$C$579,MATCH(LOWER(Data!A195),LOWER('Longitude and Latitude'!$A$2:$A$579),0))</f>
        <v>108.564003</v>
      </c>
      <c r="T195" t="b">
        <f>IF(EXACT(A195, UPPER(A195)), TRUE, FALSE)</f>
        <v>0</v>
      </c>
    </row>
    <row r="196" spans="1:20" x14ac:dyDescent="0.35">
      <c r="A196" t="s">
        <v>196</v>
      </c>
      <c r="B196">
        <v>93.52</v>
      </c>
      <c r="C196" cm="1">
        <f t="array" ref="C196">INDEX(DataAll!$E$2:$E$555,MATCH(LOWER(Data!A196),LOWER(DataAll!$D$2:$D$555),0))</f>
        <v>67.739999999999995</v>
      </c>
      <c r="D196" cm="1">
        <f t="array" ref="D196">INDEX(DataAll!$H$2:$H$579,MATCH(LOWER(Data!A196),LOWER(DataAll!$G$2:$G$555),0))</f>
        <v>0.253</v>
      </c>
      <c r="E196" cm="1">
        <f t="array" ref="E196">INDEX(DataAll!$K$2:$K$579,MATCH(LOWER(Data!A196),LOWER(DataAll!$J$2:$J$555),0))</f>
        <v>18</v>
      </c>
      <c r="F196" cm="1">
        <f t="array" ref="F196">INDEX(DataAll!$N$2:$N$555,MATCH(LOWER(Data!A196),LOWER(DataAll!$M$2:$M$555),0))</f>
        <v>43.58</v>
      </c>
      <c r="G196" cm="1">
        <f t="array" ref="G196">INDEX(DataAll!$Q$2:$Q$555,MATCH(LOWER(Data!A196),LOWER(DataAll!$P$2:$P$555),0))</f>
        <v>2.27</v>
      </c>
      <c r="H196" cm="1">
        <f t="array" ref="H196">INDEX(DataAll!$T$2:$T$555,MATCH(LOWER(Data!A196),LOWER(DataAll!$S$2:$S$555),0))</f>
        <v>0.155</v>
      </c>
      <c r="I196" cm="1">
        <f t="array" ref="I196">INDEX(DataAll!$W$2:$W$555,MATCH(LOWER(Data!A196),LOWER(DataAll!$V$2:$V$555),0))</f>
        <v>29.77</v>
      </c>
      <c r="J196" cm="1">
        <f t="array" ref="J196">INDEX(DataAll!$Z$2:$Z$555,MATCH(LOWER(Data!A196),LOWER(DataAll!$Y$2:$Y$555),0))</f>
        <v>1.85</v>
      </c>
      <c r="K196" cm="1">
        <f t="array" ref="K196">INDEX(DataAll!$AM$2:$AM$555,MATCH(LOWER(Data!A196),LOWER(DataAll!$AL$2:$AL$555),0))</f>
        <v>4.0999999999999996</v>
      </c>
      <c r="L196" cm="1">
        <f t="array" ref="L196">INDEX(DataAll!$AJ$2:$AJ$555,MATCH(LOWER(Data!A196),LOWER(DataAll!$AI$2:$AI$555),0))</f>
        <v>12.53</v>
      </c>
      <c r="M196" cm="1">
        <f t="array" ref="M196">INDEX(DataAll!$AP$2:$AP$555,MATCH(LOWER(Data!A196),LOWER(DataAll!$AO$2:$AO$555),0))</f>
        <v>74.099999999999994</v>
      </c>
      <c r="N196" cm="1">
        <f t="array" ref="N196">INDEX(DataAll!$AQ$2:$AQ$555,MATCH(LOWER(Data!A196),LOWER(DataAll!$AO$2:$AO$555),0))</f>
        <v>77.45</v>
      </c>
      <c r="O196" cm="1">
        <f t="array" ref="O196">INDEX(DataAll!$AT$2:$AT$555,MATCH(LOWER(Data!A196),LOWER(DataAll!$AS$2:$AS$555),0))</f>
        <v>12.15</v>
      </c>
      <c r="P196" cm="1">
        <f t="array" ref="P196">INDEX(DataAll!$AU$2:$AU$555,MATCH(LOWER(Data!A196),LOWER(DataAll!$AS$2:$AS$555),0))</f>
        <v>11.66</v>
      </c>
      <c r="Q196" cm="1">
        <f t="array" ref="Q196">INDEX(DataAll!$AX$2:$AX$556,MATCH(LOWER(Data!A196),LOWER(DataAll!$AW$2:$AW$556),0))</f>
        <v>72.400000000000006</v>
      </c>
      <c r="R196" cm="1">
        <f t="array" ref="R196">INDEX('Longitude and Latitude'!$B$2:$B$579,MATCH(LOWER(Data!A196),LOWER('Longitude and Latitude'!$A$2:$A$579),0))</f>
        <v>-6.2333333</v>
      </c>
      <c r="S196" cm="1">
        <f t="array" ref="S196">INDEX('Longitude and Latitude'!$C$2:$C$579,MATCH(LOWER(Data!A196),LOWER('Longitude and Latitude'!$A$2:$A$579),0))</f>
        <v>107</v>
      </c>
      <c r="T196" t="b">
        <f>IF(EXACT(A196, UPPER(A196)), TRUE, FALSE)</f>
        <v>0</v>
      </c>
    </row>
    <row r="197" spans="1:20" x14ac:dyDescent="0.35">
      <c r="A197" t="s">
        <v>197</v>
      </c>
      <c r="B197">
        <v>93.44</v>
      </c>
      <c r="C197" cm="1">
        <f t="array" ref="C197">INDEX(DataAll!$E$2:$E$555,MATCH(LOWER(Data!A197),LOWER(DataAll!$D$2:$D$555),0))</f>
        <v>76.819999999999993</v>
      </c>
      <c r="D197" cm="1">
        <f t="array" ref="D197">INDEX(DataAll!$H$2:$H$579,MATCH(LOWER(Data!A197),LOWER(DataAll!$G$2:$G$555),0))</f>
        <v>0.152</v>
      </c>
      <c r="E197" cm="1">
        <f t="array" ref="E197">INDEX(DataAll!$K$2:$K$579,MATCH(LOWER(Data!A197),LOWER(DataAll!$J$2:$J$555),0))</f>
        <v>28</v>
      </c>
      <c r="F197" cm="1">
        <f t="array" ref="F197">INDEX(DataAll!$N$2:$N$555,MATCH(LOWER(Data!A197),LOWER(DataAll!$M$2:$M$555),0))</f>
        <v>42.4</v>
      </c>
      <c r="G197" cm="1">
        <f t="array" ref="G197">INDEX(DataAll!$Q$2:$Q$555,MATCH(LOWER(Data!A197),LOWER(DataAll!$P$2:$P$555),0))</f>
        <v>1.99</v>
      </c>
      <c r="H197" cm="1">
        <f t="array" ref="H197">INDEX(DataAll!$T$2:$T$555,MATCH(LOWER(Data!A197),LOWER(DataAll!$S$2:$S$555),0))</f>
        <v>0.13900000000000001</v>
      </c>
      <c r="I197" cm="1">
        <f t="array" ref="I197">INDEX(DataAll!$W$2:$W$555,MATCH(LOWER(Data!A197),LOWER(DataAll!$V$2:$V$555),0))</f>
        <v>32.21</v>
      </c>
      <c r="J197" cm="1">
        <f t="array" ref="J197">INDEX(DataAll!$Z$2:$Z$555,MATCH(LOWER(Data!A197),LOWER(DataAll!$Y$2:$Y$555),0))</f>
        <v>1.99</v>
      </c>
      <c r="K197" cm="1">
        <f t="array" ref="K197">INDEX(DataAll!$AM$2:$AM$555,MATCH(LOWER(Data!A197),LOWER(DataAll!$AL$2:$AL$555),0))</f>
        <v>2.38</v>
      </c>
      <c r="L197" cm="1">
        <f t="array" ref="L197">INDEX(DataAll!$AJ$2:$AJ$555,MATCH(LOWER(Data!A197),LOWER(DataAll!$AI$2:$AI$555),0))</f>
        <v>13</v>
      </c>
      <c r="M197" cm="1">
        <f t="array" ref="M197">INDEX(DataAll!$AP$2:$AP$555,MATCH(LOWER(Data!A197),LOWER(DataAll!$AO$2:$AO$555),0))</f>
        <v>73.489999999999995</v>
      </c>
      <c r="N197" cm="1">
        <f t="array" ref="N197">INDEX(DataAll!$AQ$2:$AQ$555,MATCH(LOWER(Data!A197),LOWER(DataAll!$AO$2:$AO$555),0))</f>
        <v>77.11</v>
      </c>
      <c r="O197" cm="1">
        <f t="array" ref="O197">INDEX(DataAll!$AT$2:$AT$555,MATCH(LOWER(Data!A197),LOWER(DataAll!$AS$2:$AS$555),0))</f>
        <v>11.89</v>
      </c>
      <c r="P197" cm="1">
        <f t="array" ref="P197">INDEX(DataAll!$AU$2:$AU$555,MATCH(LOWER(Data!A197),LOWER(DataAll!$AS$2:$AS$555),0))</f>
        <v>11.28</v>
      </c>
      <c r="Q197" cm="1">
        <f t="array" ref="Q197">INDEX(DataAll!$AX$2:$AX$556,MATCH(LOWER(Data!A197),LOWER(DataAll!$AW$2:$AW$556),0))</f>
        <v>66.540000000000006</v>
      </c>
      <c r="R197" cm="1">
        <f t="array" ref="R197">INDEX('Longitude and Latitude'!$B$2:$B$579,MATCH(LOWER(Data!A197),LOWER('Longitude and Latitude'!$A$2:$A$579),0))</f>
        <v>-6.39</v>
      </c>
      <c r="S197" cm="1">
        <f t="array" ref="S197">INDEX('Longitude and Latitude'!$C$2:$C$579,MATCH(LOWER(Data!A197),LOWER('Longitude and Latitude'!$A$2:$A$579),0))</f>
        <v>106.83</v>
      </c>
      <c r="T197" t="b">
        <f>IF(EXACT(A197, UPPER(A197)), TRUE, FALSE)</f>
        <v>0</v>
      </c>
    </row>
    <row r="198" spans="1:20" x14ac:dyDescent="0.35">
      <c r="A198" t="s">
        <v>198</v>
      </c>
      <c r="B198">
        <v>92</v>
      </c>
      <c r="C198" cm="1">
        <f t="array" ref="C198">INDEX(DataAll!$E$2:$E$555,MATCH(LOWER(Data!A198),LOWER(DataAll!$D$2:$D$555),0))</f>
        <v>75.62</v>
      </c>
      <c r="D198" cm="1">
        <f t="array" ref="D198">INDEX(DataAll!$H$2:$H$579,MATCH(LOWER(Data!A198),LOWER(DataAll!$G$2:$G$555),0))</f>
        <v>0.27600000000000002</v>
      </c>
      <c r="E198" cm="1">
        <f t="array" ref="E198">INDEX(DataAll!$K$2:$K$579,MATCH(LOWER(Data!A198),LOWER(DataAll!$J$2:$J$555),0))</f>
        <v>26.67</v>
      </c>
      <c r="F198" cm="1">
        <f t="array" ref="F198">INDEX(DataAll!$N$2:$N$555,MATCH(LOWER(Data!A198),LOWER(DataAll!$M$2:$M$555),0))</f>
        <v>50.99</v>
      </c>
      <c r="G198" cm="1">
        <f t="array" ref="G198">INDEX(DataAll!$Q$2:$Q$555,MATCH(LOWER(Data!A198),LOWER(DataAll!$P$2:$P$555),0))</f>
        <v>2.98</v>
      </c>
      <c r="H198" cm="1">
        <f t="array" ref="H198">INDEX(DataAll!$T$2:$T$555,MATCH(LOWER(Data!A198),LOWER(DataAll!$S$2:$S$555),0))</f>
        <v>0.13200000000000001</v>
      </c>
      <c r="I198" cm="1">
        <f t="array" ref="I198">INDEX(DataAll!$W$2:$W$555,MATCH(LOWER(Data!A198),LOWER(DataAll!$V$2:$V$555),0))</f>
        <v>30.19</v>
      </c>
      <c r="J198" cm="1">
        <f t="array" ref="J198">INDEX(DataAll!$Z$2:$Z$555,MATCH(LOWER(Data!A198),LOWER(DataAll!$Y$2:$Y$555),0))</f>
        <v>2.0499999999999998</v>
      </c>
      <c r="K198" cm="1">
        <f t="array" ref="K198">INDEX(DataAll!$AM$2:$AM$555,MATCH(LOWER(Data!A198),LOWER(DataAll!$AL$2:$AL$555),0))</f>
        <v>4.66</v>
      </c>
      <c r="L198" cm="1">
        <f t="array" ref="L198">INDEX(DataAll!$AJ$2:$AJ$555,MATCH(LOWER(Data!A198),LOWER(DataAll!$AI$2:$AI$555),0))</f>
        <v>14.06</v>
      </c>
      <c r="M198" cm="1">
        <f t="array" ref="M198">INDEX(DataAll!$AP$2:$AP$555,MATCH(LOWER(Data!A198),LOWER(DataAll!$AO$2:$AO$555),0))</f>
        <v>73.05</v>
      </c>
      <c r="N198" cm="1">
        <f t="array" ref="N198">INDEX(DataAll!$AQ$2:$AQ$555,MATCH(LOWER(Data!A198),LOWER(DataAll!$AO$2:$AO$555),0))</f>
        <v>76.7</v>
      </c>
      <c r="O198" cm="1">
        <f t="array" ref="O198">INDEX(DataAll!$AT$2:$AT$555,MATCH(LOWER(Data!A198),LOWER(DataAll!$AS$2:$AS$555),0))</f>
        <v>11.65</v>
      </c>
      <c r="P198" cm="1">
        <f t="array" ref="P198">INDEX(DataAll!$AU$2:$AU$555,MATCH(LOWER(Data!A198),LOWER(DataAll!$AS$2:$AS$555),0))</f>
        <v>10.98</v>
      </c>
      <c r="Q198" cm="1">
        <f t="array" ref="Q198">INDEX(DataAll!$AX$2:$AX$556,MATCH(LOWER(Data!A198),LOWER(DataAll!$AW$2:$AW$556),0))</f>
        <v>58.92</v>
      </c>
      <c r="R198" cm="1">
        <f t="array" ref="R198">INDEX('Longitude and Latitude'!$B$2:$B$579,MATCH(LOWER(Data!A198),LOWER('Longitude and Latitude'!$A$2:$A$579),0))</f>
        <v>-6.8802390000000004</v>
      </c>
      <c r="S198" cm="1">
        <f t="array" ref="S198">INDEX('Longitude and Latitude'!$C$2:$C$579,MATCH(LOWER(Data!A198),LOWER('Longitude and Latitude'!$A$2:$A$579),0))</f>
        <v>107.5355</v>
      </c>
      <c r="T198" t="b">
        <f>IF(EXACT(A198, UPPER(A198)), TRUE, FALSE)</f>
        <v>0</v>
      </c>
    </row>
    <row r="199" spans="1:20" x14ac:dyDescent="0.35">
      <c r="A199" t="s">
        <v>199</v>
      </c>
      <c r="B199">
        <v>92.13</v>
      </c>
      <c r="C199" cm="1">
        <f t="array" ref="C199">INDEX(DataAll!$E$2:$E$555,MATCH(LOWER(Data!A199),LOWER(DataAll!$D$2:$D$555),0))</f>
        <v>59.81</v>
      </c>
      <c r="D199" cm="1">
        <f t="array" ref="D199">INDEX(DataAll!$H$2:$H$579,MATCH(LOWER(Data!A199),LOWER(DataAll!$G$2:$G$555),0))</f>
        <v>0.39</v>
      </c>
      <c r="E199" cm="1">
        <f t="array" ref="E199">INDEX(DataAll!$K$2:$K$579,MATCH(LOWER(Data!A199),LOWER(DataAll!$J$2:$J$555),0))</f>
        <v>6.67</v>
      </c>
      <c r="F199" cm="1">
        <f t="array" ref="F199">INDEX(DataAll!$N$2:$N$555,MATCH(LOWER(Data!A199),LOWER(DataAll!$M$2:$M$555),0))</f>
        <v>47.06</v>
      </c>
      <c r="G199" cm="1">
        <f t="array" ref="G199">INDEX(DataAll!$Q$2:$Q$555,MATCH(LOWER(Data!A199),LOWER(DataAll!$P$2:$P$555),0))</f>
        <v>5.14</v>
      </c>
      <c r="H199" cm="1">
        <f t="array" ref="H199">INDEX(DataAll!$T$2:$T$555,MATCH(LOWER(Data!A199),LOWER(DataAll!$S$2:$S$555),0))</f>
        <v>0.20100000000000001</v>
      </c>
      <c r="I199" cm="1">
        <f t="array" ref="I199">INDEX(DataAll!$W$2:$W$555,MATCH(LOWER(Data!A199),LOWER(DataAll!$V$2:$V$555),0))</f>
        <v>33.729999999999997</v>
      </c>
      <c r="J199" cm="1">
        <f t="array" ref="J199">INDEX(DataAll!$Z$2:$Z$555,MATCH(LOWER(Data!A199),LOWER(DataAll!$Y$2:$Y$555),0))</f>
        <v>2.19</v>
      </c>
      <c r="K199" cm="1">
        <f t="array" ref="K199">INDEX(DataAll!$AM$2:$AM$555,MATCH(LOWER(Data!A199),LOWER(DataAll!$AL$2:$AL$555),0))</f>
        <v>11.53</v>
      </c>
      <c r="L199" cm="1">
        <f t="array" ref="L199">INDEX(DataAll!$AJ$2:$AJ$555,MATCH(LOWER(Data!A199),LOWER(DataAll!$AI$2:$AI$555),0))</f>
        <v>15.08</v>
      </c>
      <c r="M199" cm="1">
        <f t="array" ref="M199">INDEX(DataAll!$AP$2:$AP$555,MATCH(LOWER(Data!A199),LOWER(DataAll!$AO$2:$AO$555),0))</f>
        <v>70.95</v>
      </c>
      <c r="N199" cm="1">
        <f t="array" ref="N199">INDEX(DataAll!$AQ$2:$AQ$555,MATCH(LOWER(Data!A199),LOWER(DataAll!$AO$2:$AO$555),0))</f>
        <v>74.989999999999995</v>
      </c>
      <c r="O199" cm="1">
        <f t="array" ref="O199">INDEX(DataAll!$AT$2:$AT$555,MATCH(LOWER(Data!A199),LOWER(DataAll!$AS$2:$AS$555),0))</f>
        <v>9.66</v>
      </c>
      <c r="P199" cm="1">
        <f t="array" ref="P199">INDEX(DataAll!$AU$2:$AU$555,MATCH(LOWER(Data!A199),LOWER(DataAll!$AS$2:$AS$555),0))</f>
        <v>9.31</v>
      </c>
      <c r="Q199" cm="1">
        <f t="array" ref="Q199">INDEX(DataAll!$AX$2:$AX$556,MATCH(LOWER(Data!A199),LOWER(DataAll!$AW$2:$AW$556),0))</f>
        <v>39.07</v>
      </c>
      <c r="R199" cm="1">
        <f t="array" ref="R199">INDEX('Longitude and Latitude'!$B$2:$B$579,MATCH(LOWER(Data!A199),LOWER('Longitude and Latitude'!$A$2:$A$579),0))</f>
        <v>-7.3279540000000001</v>
      </c>
      <c r="S199" cm="1">
        <f t="array" ref="S199">INDEX('Longitude and Latitude'!$C$2:$C$579,MATCH(LOWER(Data!A199),LOWER('Longitude and Latitude'!$A$2:$A$579),0))</f>
        <v>108.21410400000001</v>
      </c>
      <c r="T199" t="b">
        <f>IF(EXACT(A199, UPPER(A199)), TRUE, FALSE)</f>
        <v>0</v>
      </c>
    </row>
    <row r="200" spans="1:20" x14ac:dyDescent="0.35">
      <c r="A200" t="s">
        <v>200</v>
      </c>
      <c r="B200">
        <v>87.85</v>
      </c>
      <c r="C200" cm="1">
        <f t="array" ref="C200">INDEX(DataAll!$E$2:$E$555,MATCH(LOWER(Data!A200),LOWER(DataAll!$D$2:$D$555),0))</f>
        <v>55.58</v>
      </c>
      <c r="D200" cm="1">
        <f t="array" ref="D200">INDEX(DataAll!$H$2:$H$579,MATCH(LOWER(Data!A200),LOWER(DataAll!$G$2:$G$555),0))</f>
        <v>0.28799999999999998</v>
      </c>
      <c r="E200" cm="1">
        <f t="array" ref="E200">INDEX(DataAll!$K$2:$K$579,MATCH(LOWER(Data!A200),LOWER(DataAll!$J$2:$J$555),0))</f>
        <v>6.67</v>
      </c>
      <c r="F200" cm="1">
        <f t="array" ref="F200">INDEX(DataAll!$N$2:$N$555,MATCH(LOWER(Data!A200),LOWER(DataAll!$M$2:$M$555),0))</f>
        <v>46.82</v>
      </c>
      <c r="G200" cm="1">
        <f t="array" ref="G200">INDEX(DataAll!$Q$2:$Q$555,MATCH(LOWER(Data!A200),LOWER(DataAll!$P$2:$P$555),0))</f>
        <v>5.55</v>
      </c>
      <c r="H200" cm="1">
        <f t="array" ref="H200">INDEX(DataAll!$T$2:$T$555,MATCH(LOWER(Data!A200),LOWER(DataAll!$S$2:$S$555),0))</f>
        <v>0.24399999999999999</v>
      </c>
      <c r="I200" cm="1">
        <f t="array" ref="I200">INDEX(DataAll!$W$2:$W$555,MATCH(LOWER(Data!A200),LOWER(DataAll!$V$2:$V$555),0))</f>
        <v>28.76</v>
      </c>
      <c r="J200" cm="1">
        <f t="array" ref="J200">INDEX(DataAll!$Z$2:$Z$555,MATCH(LOWER(Data!A200),LOWER(DataAll!$Y$2:$Y$555),0))</f>
        <v>2.23</v>
      </c>
      <c r="K200" cm="1">
        <f t="array" ref="K200">INDEX(DataAll!$AM$2:$AM$555,MATCH(LOWER(Data!A200),LOWER(DataAll!$AL$2:$AL$555),0))</f>
        <v>6.14</v>
      </c>
      <c r="L200" cm="1">
        <f t="array" ref="L200">INDEX(DataAll!$AJ$2:$AJ$555,MATCH(LOWER(Data!A200),LOWER(DataAll!$AI$2:$AI$555),0))</f>
        <v>16.73</v>
      </c>
      <c r="M200" cm="1">
        <f t="array" ref="M200">INDEX(DataAll!$AP$2:$AP$555,MATCH(LOWER(Data!A200),LOWER(DataAll!$AO$2:$AO$555),0))</f>
        <v>69.849999999999994</v>
      </c>
      <c r="N200" cm="1">
        <f t="array" ref="N200">INDEX(DataAll!$AQ$2:$AQ$555,MATCH(LOWER(Data!A200),LOWER(DataAll!$AO$2:$AO$555),0))</f>
        <v>73.84</v>
      </c>
      <c r="O200" cm="1">
        <f t="array" ref="O200">INDEX(DataAll!$AT$2:$AT$555,MATCH(LOWER(Data!A200),LOWER(DataAll!$AS$2:$AS$555),0))</f>
        <v>9.23</v>
      </c>
      <c r="P200" cm="1">
        <f t="array" ref="P200">INDEX(DataAll!$AU$2:$AU$555,MATCH(LOWER(Data!A200),LOWER(DataAll!$AS$2:$AS$555),0))</f>
        <v>8.52</v>
      </c>
      <c r="Q200" cm="1">
        <f t="array" ref="Q200">INDEX(DataAll!$AX$2:$AX$556,MATCH(LOWER(Data!A200),LOWER(DataAll!$AW$2:$AW$556),0))</f>
        <v>32.619999999999997</v>
      </c>
      <c r="R200" cm="1">
        <f t="array" ref="R200">INDEX('Longitude and Latitude'!$B$2:$B$579,MATCH(LOWER(Data!A200),LOWER('Longitude and Latitude'!$A$2:$A$579),0))</f>
        <v>-7.3666666999999997</v>
      </c>
      <c r="S200" cm="1">
        <f t="array" ref="S200">INDEX('Longitude and Latitude'!$C$2:$C$579,MATCH(LOWER(Data!A200),LOWER('Longitude and Latitude'!$A$2:$A$579),0))</f>
        <v>108.5333333</v>
      </c>
      <c r="T200" t="b">
        <f>IF(EXACT(A200, UPPER(A200)), TRUE, FALSE)</f>
        <v>0</v>
      </c>
    </row>
    <row r="201" spans="1:20" x14ac:dyDescent="0.35">
      <c r="A201" t="s">
        <v>201</v>
      </c>
      <c r="B201">
        <v>92.87</v>
      </c>
      <c r="C201" cm="1">
        <f t="array" ref="C201">INDEX(DataAll!$E$2:$E$555,MATCH(LOWER(Data!A201),LOWER(DataAll!$D$2:$D$555),0))</f>
        <v>74.180000000000007</v>
      </c>
      <c r="D201" cm="1">
        <f t="array" ref="D201">INDEX(DataAll!$H$2:$H$579,MATCH(LOWER(Data!A201),LOWER(DataAll!$G$2:$G$555),0))</f>
        <v>0.33600000000000002</v>
      </c>
      <c r="E201" cm="1">
        <f t="array" ref="E201">INDEX(DataAll!$K$2:$K$579,MATCH(LOWER(Data!A201),LOWER(DataAll!$J$2:$J$555),0))</f>
        <v>20.170000000000002</v>
      </c>
      <c r="F201" cm="1">
        <f t="array" ref="F201">INDEX(DataAll!$N$2:$N$555,MATCH(LOWER(Data!A201),LOWER(DataAll!$M$2:$M$555),0))</f>
        <v>51</v>
      </c>
      <c r="G201" t="e" cm="1">
        <f t="array" ref="G201">INDEX(DataAll!$Q$2:$Q$555,MATCH(LOWER(Data!A201),LOWER(DataAll!$P$2:$P$555),0))</f>
        <v>#N/A</v>
      </c>
      <c r="H201" cm="1">
        <f t="array" ref="H201">INDEX(DataAll!$T$2:$T$555,MATCH(LOWER(Data!A201),LOWER(DataAll!$S$2:$S$555),0))</f>
        <v>0.26</v>
      </c>
      <c r="I201" cm="1">
        <f t="array" ref="I201">INDEX(DataAll!$W$2:$W$555,MATCH(LOWER(Data!A201),LOWER(DataAll!$V$2:$V$555),0))</f>
        <v>35.21</v>
      </c>
      <c r="J201" cm="1">
        <f t="array" ref="J201">INDEX(DataAll!$Z$2:$Z$555,MATCH(LOWER(Data!A201),LOWER(DataAll!$Y$2:$Y$555),0))</f>
        <v>2.09</v>
      </c>
      <c r="K201" cm="1">
        <f t="array" ref="K201">INDEX(DataAll!$AM$2:$AM$555,MATCH(LOWER(Data!A201),LOWER(DataAll!$AL$2:$AL$555),0))</f>
        <v>10.77</v>
      </c>
      <c r="L201" cm="1">
        <f t="array" ref="L201">INDEX(DataAll!$AJ$2:$AJ$555,MATCH(LOWER(Data!A201),LOWER(DataAll!$AI$2:$AI$555),0))</f>
        <v>14.81</v>
      </c>
      <c r="M201" cm="1">
        <f t="array" ref="M201">INDEX(DataAll!$AP$2:$AP$555,MATCH(LOWER(Data!A201),LOWER(DataAll!$AO$2:$AO$555),0))</f>
        <v>72.95</v>
      </c>
      <c r="N201" cm="1">
        <f t="array" ref="N201">INDEX(DataAll!$AQ$2:$AQ$555,MATCH(LOWER(Data!A201),LOWER(DataAll!$AO$2:$AO$555),0))</f>
        <v>76.62</v>
      </c>
      <c r="O201" cm="1">
        <f t="array" ref="O201">INDEX(DataAll!$AT$2:$AT$555,MATCH(LOWER(Data!A201),LOWER(DataAll!$AS$2:$AS$555),0))</f>
        <v>8.42</v>
      </c>
      <c r="P201" cm="1">
        <f t="array" ref="P201">INDEX(DataAll!$AU$2:$AU$555,MATCH(LOWER(Data!A201),LOWER(DataAll!$AS$2:$AS$555),0))</f>
        <v>7.62</v>
      </c>
      <c r="Q201" cm="1">
        <f t="array" ref="Q201">INDEX(DataAll!$AX$2:$AX$556,MATCH(LOWER(Data!A201),LOWER(DataAll!$AW$2:$AW$556),0))</f>
        <v>29.2</v>
      </c>
      <c r="R201" cm="1">
        <f t="array" ref="R201">INDEX('Longitude and Latitude'!$B$2:$B$579,MATCH(LOWER(Data!A201),LOWER('Longitude and Latitude'!$A$2:$A$579),0))</f>
        <v>-7.1509749999999999</v>
      </c>
      <c r="S201" cm="1">
        <f t="array" ref="S201">INDEX('Longitude and Latitude'!$C$2:$C$579,MATCH(LOWER(Data!A201),LOWER('Longitude and Latitude'!$A$2:$A$579),0))</f>
        <v>110.14025940000001</v>
      </c>
      <c r="T201" t="b">
        <f>IF(EXACT(A201, UPPER(A201)), TRUE, FALSE)</f>
        <v>1</v>
      </c>
    </row>
    <row r="202" spans="1:20" x14ac:dyDescent="0.35">
      <c r="A202" t="s">
        <v>202</v>
      </c>
      <c r="B202">
        <v>87.34</v>
      </c>
      <c r="C202" cm="1">
        <f t="array" ref="C202">INDEX(DataAll!$E$2:$E$555,MATCH(LOWER(Data!A202),LOWER(DataAll!$D$2:$D$555),0))</f>
        <v>70.38</v>
      </c>
      <c r="D202" cm="1">
        <f t="array" ref="D202">INDEX(DataAll!$H$2:$H$579,MATCH(LOWER(Data!A202),LOWER(DataAll!$G$2:$G$555),0))</f>
        <v>0.433</v>
      </c>
      <c r="E202" cm="1">
        <f t="array" ref="E202">INDEX(DataAll!$K$2:$K$579,MATCH(LOWER(Data!A202),LOWER(DataAll!$J$2:$J$555),0))</f>
        <v>26</v>
      </c>
      <c r="F202" cm="1">
        <f t="array" ref="F202">INDEX(DataAll!$N$2:$N$555,MATCH(LOWER(Data!A202),LOWER(DataAll!$M$2:$M$555),0))</f>
        <v>40.97</v>
      </c>
      <c r="G202" cm="1">
        <f t="array" ref="G202">INDEX(DataAll!$Q$2:$Q$555,MATCH(LOWER(Data!A202),LOWER(DataAll!$P$2:$P$555),0))</f>
        <v>12.29</v>
      </c>
      <c r="H202" cm="1">
        <f t="array" ref="H202">INDEX(DataAll!$T$2:$T$555,MATCH(LOWER(Data!A202),LOWER(DataAll!$S$2:$S$555),0))</f>
        <v>0.255</v>
      </c>
      <c r="I202" cm="1">
        <f t="array" ref="I202">INDEX(DataAll!$W$2:$W$555,MATCH(LOWER(Data!A202),LOWER(DataAll!$V$2:$V$555),0))</f>
        <v>26.42</v>
      </c>
      <c r="J202" cm="1">
        <f t="array" ref="J202">INDEX(DataAll!$Z$2:$Z$555,MATCH(LOWER(Data!A202),LOWER(DataAll!$Y$2:$Y$555),0))</f>
        <v>2.1800000000000002</v>
      </c>
      <c r="K202" cm="1">
        <f t="array" ref="K202">INDEX(DataAll!$AM$2:$AM$555,MATCH(LOWER(Data!A202),LOWER(DataAll!$AL$2:$AL$555),0))</f>
        <v>10.99</v>
      </c>
      <c r="L202" cm="1">
        <f t="array" ref="L202">INDEX(DataAll!$AJ$2:$AJ$555,MATCH(LOWER(Data!A202),LOWER(DataAll!$AI$2:$AI$555),0))</f>
        <v>15.3</v>
      </c>
      <c r="M202" cm="1">
        <f t="array" ref="M202">INDEX(DataAll!$AP$2:$AP$555,MATCH(LOWER(Data!A202),LOWER(DataAll!$AO$2:$AO$555),0))</f>
        <v>72.48</v>
      </c>
      <c r="N202" cm="1">
        <f t="array" ref="N202">INDEX(DataAll!$AQ$2:$AQ$555,MATCH(LOWER(Data!A202),LOWER(DataAll!$AO$2:$AO$555),0))</f>
        <v>76.2</v>
      </c>
      <c r="O202" cm="1">
        <f t="array" ref="O202">INDEX(DataAll!$AT$2:$AT$555,MATCH(LOWER(Data!A202),LOWER(DataAll!$AS$2:$AS$555),0))</f>
        <v>7.87</v>
      </c>
      <c r="P202" cm="1">
        <f t="array" ref="P202">INDEX(DataAll!$AU$2:$AU$555,MATCH(LOWER(Data!A202),LOWER(DataAll!$AS$2:$AS$555),0))</f>
        <v>6.97</v>
      </c>
      <c r="Q202" cm="1">
        <f t="array" ref="Q202">INDEX(DataAll!$AX$2:$AX$556,MATCH(LOWER(Data!A202),LOWER(DataAll!$AW$2:$AW$556),0))</f>
        <v>23.22</v>
      </c>
      <c r="R202" cm="1">
        <f t="array" ref="R202">INDEX('Longitude and Latitude'!$B$2:$B$579,MATCH(LOWER(Data!A202),LOWER('Longitude and Latitude'!$A$2:$A$579),0))</f>
        <v>-7.733333</v>
      </c>
      <c r="S202" cm="1">
        <f t="array" ref="S202">INDEX('Longitude and Latitude'!$C$2:$C$579,MATCH(LOWER(Data!A202),LOWER('Longitude and Latitude'!$A$2:$A$579),0))</f>
        <v>109</v>
      </c>
      <c r="T202" t="b">
        <f>IF(EXACT(A202, UPPER(A202)), TRUE, FALSE)</f>
        <v>0</v>
      </c>
    </row>
    <row r="203" spans="1:20" x14ac:dyDescent="0.35">
      <c r="A203" t="s">
        <v>203</v>
      </c>
      <c r="B203">
        <v>89.14</v>
      </c>
      <c r="C203" cm="1">
        <f t="array" ref="C203">INDEX(DataAll!$E$2:$E$555,MATCH(LOWER(Data!A203),LOWER(DataAll!$D$2:$D$555),0))</f>
        <v>73.16</v>
      </c>
      <c r="D203" cm="1">
        <f t="array" ref="D203">INDEX(DataAll!$H$2:$H$579,MATCH(LOWER(Data!A203),LOWER(DataAll!$G$2:$G$555),0))</f>
        <v>0.193</v>
      </c>
      <c r="E203" cm="1">
        <f t="array" ref="E203">INDEX(DataAll!$K$2:$K$579,MATCH(LOWER(Data!A203),LOWER(DataAll!$J$2:$J$555),0))</f>
        <v>22</v>
      </c>
      <c r="F203" cm="1">
        <f t="array" ref="F203">INDEX(DataAll!$N$2:$N$555,MATCH(LOWER(Data!A203),LOWER(DataAll!$M$2:$M$555),0))</f>
        <v>51.06</v>
      </c>
      <c r="G203" cm="1">
        <f t="array" ref="G203">INDEX(DataAll!$Q$2:$Q$555,MATCH(LOWER(Data!A203),LOWER(DataAll!$P$2:$P$555),0))</f>
        <v>10.84</v>
      </c>
      <c r="H203" cm="1">
        <f t="array" ref="H203">INDEX(DataAll!$T$2:$T$555,MATCH(LOWER(Data!A203),LOWER(DataAll!$S$2:$S$555),0))</f>
        <v>0.185</v>
      </c>
      <c r="I203" cm="1">
        <f t="array" ref="I203">INDEX(DataAll!$W$2:$W$555,MATCH(LOWER(Data!A203),LOWER(DataAll!$V$2:$V$555),0))</f>
        <v>31.7</v>
      </c>
      <c r="J203" cm="1">
        <f t="array" ref="J203">INDEX(DataAll!$Z$2:$Z$555,MATCH(LOWER(Data!A203),LOWER(DataAll!$Y$2:$Y$555),0))</f>
        <v>2.17</v>
      </c>
      <c r="K203" cm="1">
        <f t="array" ref="K203">INDEX(DataAll!$AM$2:$AM$555,MATCH(LOWER(Data!A203),LOWER(DataAll!$AL$2:$AL$555),0))</f>
        <v>12.53</v>
      </c>
      <c r="L203" cm="1">
        <f t="array" ref="L203">INDEX(DataAll!$AJ$2:$AJ$555,MATCH(LOWER(Data!A203),LOWER(DataAll!$AI$2:$AI$555),0))</f>
        <v>16.510000000000002</v>
      </c>
      <c r="M203" cm="1">
        <f t="array" ref="M203">INDEX(DataAll!$AP$2:$AP$555,MATCH(LOWER(Data!A203),LOWER(DataAll!$AO$2:$AO$555),0))</f>
        <v>72.2</v>
      </c>
      <c r="N203" cm="1">
        <f t="array" ref="N203">INDEX(DataAll!$AQ$2:$AQ$555,MATCH(LOWER(Data!A203),LOWER(DataAll!$AO$2:$AO$555),0))</f>
        <v>75.94</v>
      </c>
      <c r="O203" cm="1">
        <f t="array" ref="O203">INDEX(DataAll!$AT$2:$AT$555,MATCH(LOWER(Data!A203),LOWER(DataAll!$AS$2:$AS$555),0))</f>
        <v>8.19</v>
      </c>
      <c r="P203" cm="1">
        <f t="array" ref="P203">INDEX(DataAll!$AU$2:$AU$555,MATCH(LOWER(Data!A203),LOWER(DataAll!$AS$2:$AS$555),0))</f>
        <v>7.54</v>
      </c>
      <c r="Q203" cm="1">
        <f t="array" ref="Q203">INDEX(DataAll!$AX$2:$AX$556,MATCH(LOWER(Data!A203),LOWER(DataAll!$AW$2:$AW$556),0))</f>
        <v>30.38</v>
      </c>
      <c r="R203" cm="1">
        <f t="array" ref="R203">INDEX('Longitude and Latitude'!$B$2:$B$579,MATCH(LOWER(Data!A203),LOWER('Longitude and Latitude'!$A$2:$A$579),0))</f>
        <v>-7.4832133000000001</v>
      </c>
      <c r="S203" cm="1">
        <f t="array" ref="S203">INDEX('Longitude and Latitude'!$C$2:$C$579,MATCH(LOWER(Data!A203),LOWER('Longitude and Latitude'!$A$2:$A$579),0))</f>
        <v>109.140438</v>
      </c>
      <c r="T203" t="b">
        <f>IF(EXACT(A203, UPPER(A203)), TRUE, FALSE)</f>
        <v>0</v>
      </c>
    </row>
    <row r="204" spans="1:20" x14ac:dyDescent="0.35">
      <c r="A204" t="s">
        <v>204</v>
      </c>
      <c r="B204">
        <v>93.51</v>
      </c>
      <c r="C204" cm="1">
        <f t="array" ref="C204">INDEX(DataAll!$E$2:$E$555,MATCH(LOWER(Data!A204),LOWER(DataAll!$D$2:$D$555),0))</f>
        <v>71.94</v>
      </c>
      <c r="D204" cm="1">
        <f t="array" ref="D204">INDEX(DataAll!$H$2:$H$579,MATCH(LOWER(Data!A204),LOWER(DataAll!$G$2:$G$555),0))</f>
        <v>0.311</v>
      </c>
      <c r="E204" cm="1">
        <f t="array" ref="E204">INDEX(DataAll!$K$2:$K$579,MATCH(LOWER(Data!A204),LOWER(DataAll!$J$2:$J$555),0))</f>
        <v>22.22</v>
      </c>
      <c r="F204" cm="1">
        <f t="array" ref="F204">INDEX(DataAll!$N$2:$N$555,MATCH(LOWER(Data!A204),LOWER(DataAll!$M$2:$M$555),0))</f>
        <v>54.23</v>
      </c>
      <c r="G204" cm="1">
        <f t="array" ref="G204">INDEX(DataAll!$Q$2:$Q$555,MATCH(LOWER(Data!A204),LOWER(DataAll!$P$2:$P$555),0))</f>
        <v>10.08</v>
      </c>
      <c r="H204" cm="1">
        <f t="array" ref="H204">INDEX(DataAll!$T$2:$T$555,MATCH(LOWER(Data!A204),LOWER(DataAll!$S$2:$S$555),0))</f>
        <v>0.32600000000000001</v>
      </c>
      <c r="I204" cm="1">
        <f t="array" ref="I204">INDEX(DataAll!$W$2:$W$555,MATCH(LOWER(Data!A204),LOWER(DataAll!$V$2:$V$555),0))</f>
        <v>31.05</v>
      </c>
      <c r="J204" cm="1">
        <f t="array" ref="J204">INDEX(DataAll!$Z$2:$Z$555,MATCH(LOWER(Data!A204),LOWER(DataAll!$Y$2:$Y$555),0))</f>
        <v>2.2200000000000002</v>
      </c>
      <c r="K204" cm="1">
        <f t="array" ref="K204">INDEX(DataAll!$AM$2:$AM$555,MATCH(LOWER(Data!A204),LOWER(DataAll!$AL$2:$AL$555),0))</f>
        <v>14.99</v>
      </c>
      <c r="L204" cm="1">
        <f t="array" ref="L204">INDEX(DataAll!$AJ$2:$AJ$555,MATCH(LOWER(Data!A204),LOWER(DataAll!$AI$2:$AI$555),0))</f>
        <v>17.760000000000002</v>
      </c>
      <c r="M204" cm="1">
        <f t="array" ref="M204">INDEX(DataAll!$AP$2:$AP$555,MATCH(LOWER(Data!A204),LOWER(DataAll!$AO$2:$AO$555),0))</f>
        <v>71.569999999999993</v>
      </c>
      <c r="N204" cm="1">
        <f t="array" ref="N204">INDEX(DataAll!$AQ$2:$AQ$555,MATCH(LOWER(Data!A204),LOWER(DataAll!$AO$2:$AO$555),0))</f>
        <v>75.36</v>
      </c>
      <c r="O204" cm="1">
        <f t="array" ref="O204">INDEX(DataAll!$AT$2:$AT$555,MATCH(LOWER(Data!A204),LOWER(DataAll!$AS$2:$AS$555),0))</f>
        <v>7.58</v>
      </c>
      <c r="P204" cm="1">
        <f t="array" ref="P204">INDEX(DataAll!$AU$2:$AU$555,MATCH(LOWER(Data!A204),LOWER(DataAll!$AS$2:$AS$555),0))</f>
        <v>7.11</v>
      </c>
      <c r="Q204" cm="1">
        <f t="array" ref="Q204">INDEX(DataAll!$AX$2:$AX$556,MATCH(LOWER(Data!A204),LOWER(DataAll!$AW$2:$AW$556),0))</f>
        <v>21.43</v>
      </c>
      <c r="R204" cm="1">
        <f t="array" ref="R204">INDEX('Longitude and Latitude'!$B$2:$B$579,MATCH(LOWER(Data!A204),LOWER('Longitude and Latitude'!$A$2:$A$579),0))</f>
        <v>-7.3907470000000002</v>
      </c>
      <c r="S204" cm="1">
        <f t="array" ref="S204">INDEX('Longitude and Latitude'!$C$2:$C$579,MATCH(LOWER(Data!A204),LOWER('Longitude and Latitude'!$A$2:$A$579),0))</f>
        <v>109.3638</v>
      </c>
      <c r="T204" t="b">
        <f>IF(EXACT(A204, UPPER(A204)), TRUE, FALSE)</f>
        <v>0</v>
      </c>
    </row>
    <row r="205" spans="1:20" x14ac:dyDescent="0.35">
      <c r="A205" t="s">
        <v>205</v>
      </c>
      <c r="B205">
        <v>95.09</v>
      </c>
      <c r="C205" cm="1">
        <f t="array" ref="C205">INDEX(DataAll!$E$2:$E$555,MATCH(LOWER(Data!A205),LOWER(DataAll!$D$2:$D$555),0))</f>
        <v>74.3</v>
      </c>
      <c r="D205" cm="1">
        <f t="array" ref="D205">INDEX(DataAll!$H$2:$H$579,MATCH(LOWER(Data!A205),LOWER(DataAll!$G$2:$G$555),0))</f>
        <v>0.23599999999999999</v>
      </c>
      <c r="E205" cm="1">
        <f t="array" ref="E205">INDEX(DataAll!$K$2:$K$579,MATCH(LOWER(Data!A205),LOWER(DataAll!$J$2:$J$555),0))</f>
        <v>26</v>
      </c>
      <c r="F205" cm="1">
        <f t="array" ref="F205">INDEX(DataAll!$N$2:$N$555,MATCH(LOWER(Data!A205),LOWER(DataAll!$M$2:$M$555),0))</f>
        <v>48.49</v>
      </c>
      <c r="G205" cm="1">
        <f t="array" ref="G205">INDEX(DataAll!$Q$2:$Q$555,MATCH(LOWER(Data!A205),LOWER(DataAll!$P$2:$P$555),0))</f>
        <v>12.14</v>
      </c>
      <c r="H205" cm="1">
        <f t="array" ref="H205">INDEX(DataAll!$T$2:$T$555,MATCH(LOWER(Data!A205),LOWER(DataAll!$S$2:$S$555),0))</f>
        <v>0.41799999999999998</v>
      </c>
      <c r="I205" cm="1">
        <f t="array" ref="I205">INDEX(DataAll!$W$2:$W$555,MATCH(LOWER(Data!A205),LOWER(DataAll!$V$2:$V$555),0))</f>
        <v>29.19</v>
      </c>
      <c r="J205" cm="1">
        <f t="array" ref="J205">INDEX(DataAll!$Z$2:$Z$555,MATCH(LOWER(Data!A205),LOWER(DataAll!$Y$2:$Y$555),0))</f>
        <v>2.25</v>
      </c>
      <c r="K205" cm="1">
        <f t="array" ref="K205">INDEX(DataAll!$AM$2:$AM$555,MATCH(LOWER(Data!A205),LOWER(DataAll!$AL$2:$AL$555),0))</f>
        <v>14.9</v>
      </c>
      <c r="L205" cm="1">
        <f t="array" ref="L205">INDEX(DataAll!$AJ$2:$AJ$555,MATCH(LOWER(Data!A205),LOWER(DataAll!$AI$2:$AI$555),0))</f>
        <v>15.62</v>
      </c>
      <c r="M205" cm="1">
        <f t="array" ref="M205">INDEX(DataAll!$AP$2:$AP$555,MATCH(LOWER(Data!A205),LOWER(DataAll!$AO$2:$AO$555),0))</f>
        <v>72.709999999999994</v>
      </c>
      <c r="N205" cm="1">
        <f t="array" ref="N205">INDEX(DataAll!$AQ$2:$AQ$555,MATCH(LOWER(Data!A205),LOWER(DataAll!$AO$2:$AO$555),0))</f>
        <v>76.41</v>
      </c>
      <c r="O205" cm="1">
        <f t="array" ref="O205">INDEX(DataAll!$AT$2:$AT$555,MATCH(LOWER(Data!A205),LOWER(DataAll!$AS$2:$AS$555),0))</f>
        <v>7.16</v>
      </c>
      <c r="P205" cm="1">
        <f t="array" ref="P205">INDEX(DataAll!$AU$2:$AU$555,MATCH(LOWER(Data!A205),LOWER(DataAll!$AS$2:$AS$555),0))</f>
        <v>6.61</v>
      </c>
      <c r="Q205" cm="1">
        <f t="array" ref="Q205">INDEX(DataAll!$AX$2:$AX$556,MATCH(LOWER(Data!A205),LOWER(DataAll!$AW$2:$AW$556),0))</f>
        <v>16.63</v>
      </c>
      <c r="R205" cm="1">
        <f t="array" ref="R205">INDEX('Longitude and Latitude'!$B$2:$B$579,MATCH(LOWER(Data!A205),LOWER('Longitude and Latitude'!$A$2:$A$579),0))</f>
        <v>-7.4027060000000002</v>
      </c>
      <c r="S205" cm="1">
        <f t="array" ref="S205">INDEX('Longitude and Latitude'!$C$2:$C$579,MATCH(LOWER(Data!A205),LOWER('Longitude and Latitude'!$A$2:$A$579),0))</f>
        <v>109.68139600000001</v>
      </c>
      <c r="T205" t="b">
        <f>IF(EXACT(A205, UPPER(A205)), TRUE, FALSE)</f>
        <v>0</v>
      </c>
    </row>
    <row r="206" spans="1:20" x14ac:dyDescent="0.35">
      <c r="A206" t="s">
        <v>206</v>
      </c>
      <c r="B206">
        <v>93.37</v>
      </c>
      <c r="C206" cm="1">
        <f t="array" ref="C206">INDEX(DataAll!$E$2:$E$555,MATCH(LOWER(Data!A206),LOWER(DataAll!$D$2:$D$555),0))</f>
        <v>67.78</v>
      </c>
      <c r="D206" cm="1">
        <f t="array" ref="D206">INDEX(DataAll!$H$2:$H$579,MATCH(LOWER(Data!A206),LOWER(DataAll!$G$2:$G$555),0))</f>
        <v>0.34399999999999997</v>
      </c>
      <c r="E206" cm="1">
        <f t="array" ref="E206">INDEX(DataAll!$K$2:$K$579,MATCH(LOWER(Data!A206),LOWER(DataAll!$J$2:$J$555),0))</f>
        <v>22</v>
      </c>
      <c r="F206" cm="1">
        <f t="array" ref="F206">INDEX(DataAll!$N$2:$N$555,MATCH(LOWER(Data!A206),LOWER(DataAll!$M$2:$M$555),0))</f>
        <v>56.04</v>
      </c>
      <c r="G206" cm="1">
        <f t="array" ref="G206">INDEX(DataAll!$Q$2:$Q$555,MATCH(LOWER(Data!A206),LOWER(DataAll!$P$2:$P$555),0))</f>
        <v>12</v>
      </c>
      <c r="H206" cm="1">
        <f t="array" ref="H206">INDEX(DataAll!$T$2:$T$555,MATCH(LOWER(Data!A206),LOWER(DataAll!$S$2:$S$555),0))</f>
        <v>0.16800000000000001</v>
      </c>
      <c r="I206" cm="1">
        <f t="array" ref="I206">INDEX(DataAll!$W$2:$W$555,MATCH(LOWER(Data!A206),LOWER(DataAll!$V$2:$V$555),0))</f>
        <v>26.1</v>
      </c>
      <c r="J206" cm="1">
        <f t="array" ref="J206">INDEX(DataAll!$Z$2:$Z$555,MATCH(LOWER(Data!A206),LOWER(DataAll!$Y$2:$Y$555),0))</f>
        <v>2.21</v>
      </c>
      <c r="K206" cm="1">
        <f t="array" ref="K206">INDEX(DataAll!$AM$2:$AM$555,MATCH(LOWER(Data!A206),LOWER(DataAll!$AL$2:$AL$555),0))</f>
        <v>16.34</v>
      </c>
      <c r="L206" cm="1">
        <f t="array" ref="L206">INDEX(DataAll!$AJ$2:$AJ$555,MATCH(LOWER(Data!A206),LOWER(DataAll!$AI$2:$AI$555),0))</f>
        <v>13.93</v>
      </c>
      <c r="M206" cm="1">
        <f t="array" ref="M206">INDEX(DataAll!$AP$2:$AP$555,MATCH(LOWER(Data!A206),LOWER(DataAll!$AO$2:$AO$555),0))</f>
        <v>72.05</v>
      </c>
      <c r="N206" cm="1">
        <f t="array" ref="N206">INDEX(DataAll!$AQ$2:$AQ$555,MATCH(LOWER(Data!A206),LOWER(DataAll!$AO$2:$AO$555),0))</f>
        <v>75.8</v>
      </c>
      <c r="O206" cm="1">
        <f t="array" ref="O206">INDEX(DataAll!$AT$2:$AT$555,MATCH(LOWER(Data!A206),LOWER(DataAll!$AS$2:$AS$555),0))</f>
        <v>8.23</v>
      </c>
      <c r="P206" cm="1">
        <f t="array" ref="P206">INDEX(DataAll!$AU$2:$AU$555,MATCH(LOWER(Data!A206),LOWER(DataAll!$AS$2:$AS$555),0))</f>
        <v>7.43</v>
      </c>
      <c r="Q206" cm="1">
        <f t="array" ref="Q206">INDEX(DataAll!$AX$2:$AX$556,MATCH(LOWER(Data!A206),LOWER(DataAll!$AW$2:$AW$556),0))</f>
        <v>24.42</v>
      </c>
      <c r="R206" cm="1">
        <f t="array" ref="R206">INDEX('Longitude and Latitude'!$B$2:$B$579,MATCH(LOWER(Data!A206),LOWER('Longitude and Latitude'!$A$2:$A$579),0))</f>
        <v>-7.6786820000000002</v>
      </c>
      <c r="S206" cm="1">
        <f t="array" ref="S206">INDEX('Longitude and Latitude'!$C$2:$C$579,MATCH(LOWER(Data!A206),LOWER('Longitude and Latitude'!$A$2:$A$579),0))</f>
        <v>109.656502</v>
      </c>
      <c r="T206" t="b">
        <f>IF(EXACT(A206, UPPER(A206)), TRUE, FALSE)</f>
        <v>0</v>
      </c>
    </row>
    <row r="207" spans="1:20" x14ac:dyDescent="0.35">
      <c r="A207" t="s">
        <v>207</v>
      </c>
      <c r="B207">
        <v>95.34</v>
      </c>
      <c r="C207" cm="1">
        <f t="array" ref="C207">INDEX(DataAll!$E$2:$E$555,MATCH(LOWER(Data!A207),LOWER(DataAll!$D$2:$D$555),0))</f>
        <v>70.77</v>
      </c>
      <c r="D207" cm="1">
        <f t="array" ref="D207">INDEX(DataAll!$H$2:$H$579,MATCH(LOWER(Data!A207),LOWER(DataAll!$G$2:$G$555),0))</f>
        <v>0.193</v>
      </c>
      <c r="E207" cm="1">
        <f t="array" ref="E207">INDEX(DataAll!$K$2:$K$579,MATCH(LOWER(Data!A207),LOWER(DataAll!$J$2:$J$555),0))</f>
        <v>17.78</v>
      </c>
      <c r="F207" cm="1">
        <f t="array" ref="F207">INDEX(DataAll!$N$2:$N$555,MATCH(LOWER(Data!A207),LOWER(DataAll!$M$2:$M$555),0))</f>
        <v>59.14</v>
      </c>
      <c r="G207" cm="1">
        <f t="array" ref="G207">INDEX(DataAll!$Q$2:$Q$555,MATCH(LOWER(Data!A207),LOWER(DataAll!$P$2:$P$555),0))</f>
        <v>14.71</v>
      </c>
      <c r="H207" cm="1">
        <f t="array" ref="H207">INDEX(DataAll!$T$2:$T$555,MATCH(LOWER(Data!A207),LOWER(DataAll!$S$2:$S$555),0))</f>
        <v>0.19900000000000001</v>
      </c>
      <c r="I207" cm="1">
        <f t="array" ref="I207">INDEX(DataAll!$W$2:$W$555,MATCH(LOWER(Data!A207),LOWER(DataAll!$V$2:$V$555),0))</f>
        <v>35.6</v>
      </c>
      <c r="J207" cm="1">
        <f t="array" ref="J207">INDEX(DataAll!$Z$2:$Z$555,MATCH(LOWER(Data!A207),LOWER(DataAll!$Y$2:$Y$555),0))</f>
        <v>2.11</v>
      </c>
      <c r="K207" cm="1">
        <f t="array" ref="K207">INDEX(DataAll!$AM$2:$AM$555,MATCH(LOWER(Data!A207),LOWER(DataAll!$AL$2:$AL$555),0))</f>
        <v>11.33</v>
      </c>
      <c r="L207" cm="1">
        <f t="array" ref="L207">INDEX(DataAll!$AJ$2:$AJ$555,MATCH(LOWER(Data!A207),LOWER(DataAll!$AI$2:$AI$555),0))</f>
        <v>12.72</v>
      </c>
      <c r="M207" cm="1">
        <f t="array" ref="M207">INDEX(DataAll!$AP$2:$AP$555,MATCH(LOWER(Data!A207),LOWER(DataAll!$AO$2:$AO$555),0))</f>
        <v>73.47</v>
      </c>
      <c r="N207" cm="1">
        <f t="array" ref="N207">INDEX(DataAll!$AQ$2:$AQ$555,MATCH(LOWER(Data!A207),LOWER(DataAll!$AO$2:$AO$555),0))</f>
        <v>77.11</v>
      </c>
      <c r="O207" cm="1">
        <f t="array" ref="O207">INDEX(DataAll!$AT$2:$AT$555,MATCH(LOWER(Data!A207),LOWER(DataAll!$AS$2:$AS$555),0))</f>
        <v>9.02</v>
      </c>
      <c r="P207" cm="1">
        <f t="array" ref="P207">INDEX(DataAll!$AU$2:$AU$555,MATCH(LOWER(Data!A207),LOWER(DataAll!$AS$2:$AS$555),0))</f>
        <v>8.01</v>
      </c>
      <c r="Q207" cm="1">
        <f t="array" ref="Q207">INDEX(DataAll!$AX$2:$AX$556,MATCH(LOWER(Data!A207),LOWER(DataAll!$AW$2:$AW$556),0))</f>
        <v>32.97</v>
      </c>
      <c r="R207" cm="1">
        <f t="array" ref="R207">INDEX('Longitude and Latitude'!$B$2:$B$579,MATCH(LOWER(Data!A207),LOWER('Longitude and Latitude'!$A$2:$A$579),0))</f>
        <v>-7.7097309999999997</v>
      </c>
      <c r="S207" cm="1">
        <f t="array" ref="S207">INDEX('Longitude and Latitude'!$C$2:$C$579,MATCH(LOWER(Data!A207),LOWER('Longitude and Latitude'!$A$2:$A$579),0))</f>
        <v>110.008003</v>
      </c>
      <c r="T207" t="b">
        <f>IF(EXACT(A207, UPPER(A207)), TRUE, FALSE)</f>
        <v>0</v>
      </c>
    </row>
    <row r="208" spans="1:20" x14ac:dyDescent="0.35">
      <c r="A208" t="s">
        <v>208</v>
      </c>
      <c r="B208">
        <v>92.95</v>
      </c>
      <c r="C208" cm="1">
        <f t="array" ref="C208">INDEX(DataAll!$E$2:$E$555,MATCH(LOWER(Data!A208),LOWER(DataAll!$D$2:$D$555),0))</f>
        <v>48.92</v>
      </c>
      <c r="D208" cm="1">
        <f t="array" ref="D208">INDEX(DataAll!$H$2:$H$579,MATCH(LOWER(Data!A208),LOWER(DataAll!$G$2:$G$555),0))</f>
        <v>0.42699999999999999</v>
      </c>
      <c r="E208" cm="1">
        <f t="array" ref="E208">INDEX(DataAll!$K$2:$K$579,MATCH(LOWER(Data!A208),LOWER(DataAll!$J$2:$J$555),0))</f>
        <v>4.4400000000000004</v>
      </c>
      <c r="F208" cm="1">
        <f t="array" ref="F208">INDEX(DataAll!$N$2:$N$555,MATCH(LOWER(Data!A208),LOWER(DataAll!$M$2:$M$555),0))</f>
        <v>44.66</v>
      </c>
      <c r="G208" cm="1">
        <f t="array" ref="G208">INDEX(DataAll!$Q$2:$Q$555,MATCH(LOWER(Data!A208),LOWER(DataAll!$P$2:$P$555),0))</f>
        <v>12.89</v>
      </c>
      <c r="H208" cm="1">
        <f t="array" ref="H208">INDEX(DataAll!$T$2:$T$555,MATCH(LOWER(Data!A208),LOWER(DataAll!$S$2:$S$555),0))</f>
        <v>0.46899999999999997</v>
      </c>
      <c r="I208" cm="1">
        <f t="array" ref="I208">INDEX(DataAll!$W$2:$W$555,MATCH(LOWER(Data!A208),LOWER(DataAll!$V$2:$V$555),0))</f>
        <v>24.3</v>
      </c>
      <c r="J208" cm="1">
        <f t="array" ref="J208">INDEX(DataAll!$Z$2:$Z$555,MATCH(LOWER(Data!A208),LOWER(DataAll!$Y$2:$Y$555),0))</f>
        <v>2.27</v>
      </c>
      <c r="K208" cm="1">
        <f t="array" ref="K208">INDEX(DataAll!$AM$2:$AM$555,MATCH(LOWER(Data!A208),LOWER(DataAll!$AL$2:$AL$555),0))</f>
        <v>15.58</v>
      </c>
      <c r="L208" cm="1">
        <f t="array" ref="L208">INDEX(DataAll!$AJ$2:$AJ$555,MATCH(LOWER(Data!A208),LOWER(DataAll!$AI$2:$AI$555),0))</f>
        <v>18.12</v>
      </c>
      <c r="M208" cm="1">
        <f t="array" ref="M208">INDEX(DataAll!$AP$2:$AP$555,MATCH(LOWER(Data!A208),LOWER(DataAll!$AO$2:$AO$555),0))</f>
        <v>70.209999999999994</v>
      </c>
      <c r="N208" cm="1">
        <f t="array" ref="N208">INDEX(DataAll!$AQ$2:$AQ$555,MATCH(LOWER(Data!A208),LOWER(DataAll!$AO$2:$AO$555),0))</f>
        <v>74.19</v>
      </c>
      <c r="O208" cm="1">
        <f t="array" ref="O208">INDEX(DataAll!$AT$2:$AT$555,MATCH(LOWER(Data!A208),LOWER(DataAll!$AS$2:$AS$555),0))</f>
        <v>7.14</v>
      </c>
      <c r="P208" cm="1">
        <f t="array" ref="P208">INDEX(DataAll!$AU$2:$AU$555,MATCH(LOWER(Data!A208),LOWER(DataAll!$AS$2:$AS$555),0))</f>
        <v>6.71</v>
      </c>
      <c r="Q208" cm="1">
        <f t="array" ref="Q208">INDEX(DataAll!$AX$2:$AX$556,MATCH(LOWER(Data!A208),LOWER(DataAll!$AW$2:$AW$556),0))</f>
        <v>17.41</v>
      </c>
      <c r="R208" cm="1">
        <f t="array" ref="R208">INDEX('Longitude and Latitude'!$B$2:$B$579,MATCH(LOWER(Data!A208),LOWER('Longitude and Latitude'!$A$2:$A$579),0))</f>
        <v>-7.3621090000000002</v>
      </c>
      <c r="S208" cm="1">
        <f t="array" ref="S208">INDEX('Longitude and Latitude'!$C$2:$C$579,MATCH(LOWER(Data!A208),LOWER('Longitude and Latitude'!$A$2:$A$579),0))</f>
        <v>109.899399</v>
      </c>
      <c r="T208" t="b">
        <f>IF(EXACT(A208, UPPER(A208)), TRUE, FALSE)</f>
        <v>0</v>
      </c>
    </row>
    <row r="209" spans="1:20" x14ac:dyDescent="0.35">
      <c r="A209" t="s">
        <v>209</v>
      </c>
      <c r="B209">
        <v>92.49</v>
      </c>
      <c r="C209" cm="1">
        <f t="array" ref="C209">INDEX(DataAll!$E$2:$E$555,MATCH(LOWER(Data!A209),LOWER(DataAll!$D$2:$D$555),0))</f>
        <v>70.52</v>
      </c>
      <c r="D209" cm="1">
        <f t="array" ref="D209">INDEX(DataAll!$H$2:$H$579,MATCH(LOWER(Data!A209),LOWER(DataAll!$G$2:$G$555),0))</f>
        <v>0.25900000000000001</v>
      </c>
      <c r="E209" cm="1">
        <f t="array" ref="E209">INDEX(DataAll!$K$2:$K$579,MATCH(LOWER(Data!A209),LOWER(DataAll!$J$2:$J$555),0))</f>
        <v>14</v>
      </c>
      <c r="F209" cm="1">
        <f t="array" ref="F209">INDEX(DataAll!$N$2:$N$555,MATCH(LOWER(Data!A209),LOWER(DataAll!$M$2:$M$555),0))</f>
        <v>55.53</v>
      </c>
      <c r="G209" cm="1">
        <f t="array" ref="G209">INDEX(DataAll!$Q$2:$Q$555,MATCH(LOWER(Data!A209),LOWER(DataAll!$P$2:$P$555),0))</f>
        <v>11.23</v>
      </c>
      <c r="H209" cm="1">
        <f t="array" ref="H209">INDEX(DataAll!$T$2:$T$555,MATCH(LOWER(Data!A209),LOWER(DataAll!$S$2:$S$555),0))</f>
        <v>0.26300000000000001</v>
      </c>
      <c r="I209" cm="1">
        <f t="array" ref="I209">INDEX(DataAll!$W$2:$W$555,MATCH(LOWER(Data!A209),LOWER(DataAll!$V$2:$V$555),0))</f>
        <v>37.549999999999997</v>
      </c>
      <c r="J209" cm="1">
        <f t="array" ref="J209">INDEX(DataAll!$Z$2:$Z$555,MATCH(LOWER(Data!A209),LOWER(DataAll!$Y$2:$Y$555),0))</f>
        <v>2.11</v>
      </c>
      <c r="K209" cm="1">
        <f t="array" ref="K209">INDEX(DataAll!$AM$2:$AM$555,MATCH(LOWER(Data!A209),LOWER(DataAll!$AL$2:$AL$555),0))</f>
        <v>10.96</v>
      </c>
      <c r="L209" cm="1">
        <f t="array" ref="L209">INDEX(DataAll!$AJ$2:$AJ$555,MATCH(LOWER(Data!A209),LOWER(DataAll!$AI$2:$AI$555),0))</f>
        <v>16.88</v>
      </c>
      <c r="M209" cm="1">
        <f t="array" ref="M209">INDEX(DataAll!$AP$2:$AP$555,MATCH(LOWER(Data!A209),LOWER(DataAll!$AO$2:$AO$555),0))</f>
        <v>72.45</v>
      </c>
      <c r="N209" cm="1">
        <f t="array" ref="N209">INDEX(DataAll!$AQ$2:$AQ$555,MATCH(LOWER(Data!A209),LOWER(DataAll!$AO$2:$AO$555),0))</f>
        <v>76.150000000000006</v>
      </c>
      <c r="O209" cm="1">
        <f t="array" ref="O209">INDEX(DataAll!$AT$2:$AT$555,MATCH(LOWER(Data!A209),LOWER(DataAll!$AS$2:$AS$555),0))</f>
        <v>8.35</v>
      </c>
      <c r="P209" cm="1">
        <f t="array" ref="P209">INDEX(DataAll!$AU$2:$AU$555,MATCH(LOWER(Data!A209),LOWER(DataAll!$AS$2:$AS$555),0))</f>
        <v>7.38</v>
      </c>
      <c r="Q209" cm="1">
        <f t="array" ref="Q209">INDEX(DataAll!$AX$2:$AX$556,MATCH(LOWER(Data!A209),LOWER(DataAll!$AW$2:$AW$556),0))</f>
        <v>25.39</v>
      </c>
      <c r="R209" cm="1">
        <f t="array" ref="R209">INDEX('Longitude and Latitude'!$B$2:$B$579,MATCH(LOWER(Data!A209),LOWER('Longitude and Latitude'!$A$2:$A$579),0))</f>
        <v>-7.4812529999999997</v>
      </c>
      <c r="S209" cm="1">
        <f t="array" ref="S209">INDEX('Longitude and Latitude'!$C$2:$C$579,MATCH(LOWER(Data!A209),LOWER('Longitude and Latitude'!$A$2:$A$579),0))</f>
        <v>110.21379899999999</v>
      </c>
      <c r="T209" t="b">
        <f>IF(EXACT(A209, UPPER(A209)), TRUE, FALSE)</f>
        <v>0</v>
      </c>
    </row>
    <row r="210" spans="1:20" x14ac:dyDescent="0.35">
      <c r="A210" t="s">
        <v>210</v>
      </c>
      <c r="B210">
        <v>94.7</v>
      </c>
      <c r="C210" cm="1">
        <f t="array" ref="C210">INDEX(DataAll!$E$2:$E$555,MATCH(LOWER(Data!A210),LOWER(DataAll!$D$2:$D$555),0))</f>
        <v>82.98</v>
      </c>
      <c r="D210" cm="1">
        <f t="array" ref="D210">INDEX(DataAll!$H$2:$H$579,MATCH(LOWER(Data!A210),LOWER(DataAll!$G$2:$G$555),0))</f>
        <v>0.30599999999999999</v>
      </c>
      <c r="E210" cm="1">
        <f t="array" ref="E210">INDEX(DataAll!$K$2:$K$579,MATCH(LOWER(Data!A210),LOWER(DataAll!$J$2:$J$555),0))</f>
        <v>31.11</v>
      </c>
      <c r="F210" cm="1">
        <f t="array" ref="F210">INDEX(DataAll!$N$2:$N$555,MATCH(LOWER(Data!A210),LOWER(DataAll!$M$2:$M$555),0))</f>
        <v>49.22</v>
      </c>
      <c r="G210" cm="1">
        <f t="array" ref="G210">INDEX(DataAll!$Q$2:$Q$555,MATCH(LOWER(Data!A210),LOWER(DataAll!$P$2:$P$555),0))</f>
        <v>12.73</v>
      </c>
      <c r="H210" cm="1">
        <f t="array" ref="H210">INDEX(DataAll!$T$2:$T$555,MATCH(LOWER(Data!A210),LOWER(DataAll!$S$2:$S$555),0))</f>
        <v>0.23499999999999999</v>
      </c>
      <c r="I210" cm="1">
        <f t="array" ref="I210">INDEX(DataAll!$W$2:$W$555,MATCH(LOWER(Data!A210),LOWER(DataAll!$V$2:$V$555),0))</f>
        <v>41.66</v>
      </c>
      <c r="J210" cm="1">
        <f t="array" ref="J210">INDEX(DataAll!$Z$2:$Z$555,MATCH(LOWER(Data!A210),LOWER(DataAll!$Y$2:$Y$555),0))</f>
        <v>2.15</v>
      </c>
      <c r="K210" cm="1">
        <f t="array" ref="K210">INDEX(DataAll!$AM$2:$AM$555,MATCH(LOWER(Data!A210),LOWER(DataAll!$AL$2:$AL$555),0))</f>
        <v>9.81</v>
      </c>
      <c r="L210" cm="1">
        <f t="array" ref="L210">INDEX(DataAll!$AJ$2:$AJ$555,MATCH(LOWER(Data!A210),LOWER(DataAll!$AI$2:$AI$555),0))</f>
        <v>12.78</v>
      </c>
      <c r="M210" cm="1">
        <f t="array" ref="M210">INDEX(DataAll!$AP$2:$AP$555,MATCH(LOWER(Data!A210),LOWER(DataAll!$AO$2:$AO$555),0))</f>
        <v>74.39</v>
      </c>
      <c r="N210" cm="1">
        <f t="array" ref="N210">INDEX(DataAll!$AQ$2:$AQ$555,MATCH(LOWER(Data!A210),LOWER(DataAll!$AO$2:$AO$555),0))</f>
        <v>78.14</v>
      </c>
      <c r="O210" cm="1">
        <f t="array" ref="O210">INDEX(DataAll!$AT$2:$AT$555,MATCH(LOWER(Data!A210),LOWER(DataAll!$AS$2:$AS$555),0))</f>
        <v>8.74</v>
      </c>
      <c r="P210" cm="1">
        <f t="array" ref="P210">INDEX(DataAll!$AU$2:$AU$555,MATCH(LOWER(Data!A210),LOWER(DataAll!$AS$2:$AS$555),0))</f>
        <v>7.52</v>
      </c>
      <c r="Q210" cm="1">
        <f t="array" ref="Q210">INDEX(DataAll!$AX$2:$AX$556,MATCH(LOWER(Data!A210),LOWER(DataAll!$AW$2:$AW$556),0))</f>
        <v>28.5</v>
      </c>
      <c r="R210" cm="1">
        <f t="array" ref="R210">INDEX('Longitude and Latitude'!$B$2:$B$579,MATCH(LOWER(Data!A210),LOWER('Longitude and Latitude'!$A$2:$A$579),0))</f>
        <v>-7.5238189999999996</v>
      </c>
      <c r="S210" cm="1">
        <f t="array" ref="S210">INDEX('Longitude and Latitude'!$C$2:$C$579,MATCH(LOWER(Data!A210),LOWER('Longitude and Latitude'!$A$2:$A$579),0))</f>
        <v>110.595901</v>
      </c>
      <c r="T210" t="b">
        <f>IF(EXACT(A210, UPPER(A210)), TRUE, FALSE)</f>
        <v>0</v>
      </c>
    </row>
    <row r="211" spans="1:20" x14ac:dyDescent="0.35">
      <c r="A211" t="s">
        <v>211</v>
      </c>
      <c r="B211">
        <v>95.79</v>
      </c>
      <c r="C211" cm="1">
        <f t="array" ref="C211">INDEX(DataAll!$E$2:$E$555,MATCH(LOWER(Data!A211),LOWER(DataAll!$D$2:$D$555),0))</f>
        <v>73.040000000000006</v>
      </c>
      <c r="D211" cm="1">
        <f t="array" ref="D211">INDEX(DataAll!$H$2:$H$579,MATCH(LOWER(Data!A211),LOWER(DataAll!$G$2:$G$555),0))</f>
        <v>0.19</v>
      </c>
      <c r="E211" cm="1">
        <f t="array" ref="E211">INDEX(DataAll!$K$2:$K$579,MATCH(LOWER(Data!A211),LOWER(DataAll!$J$2:$J$555),0))</f>
        <v>18</v>
      </c>
      <c r="F211" cm="1">
        <f t="array" ref="F211">INDEX(DataAll!$N$2:$N$555,MATCH(LOWER(Data!A211),LOWER(DataAll!$M$2:$M$555),0))</f>
        <v>50.09</v>
      </c>
      <c r="G211" cm="1">
        <f t="array" ref="G211">INDEX(DataAll!$Q$2:$Q$555,MATCH(LOWER(Data!A211),LOWER(DataAll!$P$2:$P$555),0))</f>
        <v>14.46</v>
      </c>
      <c r="H211" cm="1">
        <f t="array" ref="H211">INDEX(DataAll!$T$2:$T$555,MATCH(LOWER(Data!A211),LOWER(DataAll!$S$2:$S$555),0))</f>
        <v>0.16400000000000001</v>
      </c>
      <c r="I211" cm="1">
        <f t="array" ref="I211">INDEX(DataAll!$W$2:$W$555,MATCH(LOWER(Data!A211),LOWER(DataAll!$V$2:$V$555),0))</f>
        <v>37.19</v>
      </c>
      <c r="J211" cm="1">
        <f t="array" ref="J211">INDEX(DataAll!$Z$2:$Z$555,MATCH(LOWER(Data!A211),LOWER(DataAll!$Y$2:$Y$555),0))</f>
        <v>1.95</v>
      </c>
      <c r="K211" cm="1">
        <f t="array" ref="K211">INDEX(DataAll!$AM$2:$AM$555,MATCH(LOWER(Data!A211),LOWER(DataAll!$AL$2:$AL$555),0))</f>
        <v>12.28</v>
      </c>
      <c r="L211" cm="1">
        <f t="array" ref="L211">INDEX(DataAll!$AJ$2:$AJ$555,MATCH(LOWER(Data!A211),LOWER(DataAll!$AI$2:$AI$555),0))</f>
        <v>13.09</v>
      </c>
      <c r="M211" cm="1">
        <f t="array" ref="M211">INDEX(DataAll!$AP$2:$AP$555,MATCH(LOWER(Data!A211),LOWER(DataAll!$AO$2:$AO$555),0))</f>
        <v>75.22</v>
      </c>
      <c r="N211" cm="1">
        <f t="array" ref="N211">INDEX(DataAll!$AQ$2:$AQ$555,MATCH(LOWER(Data!A211),LOWER(DataAll!$AO$2:$AO$555),0))</f>
        <v>78.989999999999995</v>
      </c>
      <c r="O211" cm="1">
        <f t="array" ref="O211">INDEX(DataAll!$AT$2:$AT$555,MATCH(LOWER(Data!A211),LOWER(DataAll!$AS$2:$AS$555),0))</f>
        <v>9.89</v>
      </c>
      <c r="P211" cm="1">
        <f t="array" ref="P211">INDEX(DataAll!$AU$2:$AU$555,MATCH(LOWER(Data!A211),LOWER(DataAll!$AS$2:$AS$555),0))</f>
        <v>8.68</v>
      </c>
      <c r="Q211" cm="1">
        <f t="array" ref="Q211">INDEX(DataAll!$AX$2:$AX$556,MATCH(LOWER(Data!A211),LOWER(DataAll!$AW$2:$AW$556),0))</f>
        <v>41.7</v>
      </c>
      <c r="R211" cm="1">
        <f t="array" ref="R211">INDEX('Longitude and Latitude'!$B$2:$B$579,MATCH(LOWER(Data!A211),LOWER('Longitude and Latitude'!$A$2:$A$579),0))</f>
        <v>-7.7116870000000004</v>
      </c>
      <c r="S211" cm="1">
        <f t="array" ref="S211">INDEX('Longitude and Latitude'!$C$2:$C$579,MATCH(LOWER(Data!A211),LOWER('Longitude and Latitude'!$A$2:$A$579),0))</f>
        <v>110.59549699999999</v>
      </c>
      <c r="T211" t="b">
        <f>IF(EXACT(A211, UPPER(A211)), TRUE, FALSE)</f>
        <v>0</v>
      </c>
    </row>
    <row r="212" spans="1:20" x14ac:dyDescent="0.35">
      <c r="A212" t="s">
        <v>212</v>
      </c>
      <c r="B212">
        <v>97.37</v>
      </c>
      <c r="C212" cm="1">
        <f t="array" ref="C212">INDEX(DataAll!$E$2:$E$555,MATCH(LOWER(Data!A212),LOWER(DataAll!$D$2:$D$555),0))</f>
        <v>79.28</v>
      </c>
      <c r="D212" cm="1">
        <f t="array" ref="D212">INDEX(DataAll!$H$2:$H$579,MATCH(LOWER(Data!A212),LOWER(DataAll!$G$2:$G$555),0))</f>
        <v>0.14499999999999999</v>
      </c>
      <c r="E212" cm="1">
        <f t="array" ref="E212">INDEX(DataAll!$K$2:$K$579,MATCH(LOWER(Data!A212),LOWER(DataAll!$J$2:$J$555),0))</f>
        <v>22.22</v>
      </c>
      <c r="F212" cm="1">
        <f t="array" ref="F212">INDEX(DataAll!$N$2:$N$555,MATCH(LOWER(Data!A212),LOWER(DataAll!$M$2:$M$555),0))</f>
        <v>52.4</v>
      </c>
      <c r="G212" cm="1">
        <f t="array" ref="G212">INDEX(DataAll!$Q$2:$Q$555,MATCH(LOWER(Data!A212),LOWER(DataAll!$P$2:$P$555),0))</f>
        <v>10.31</v>
      </c>
      <c r="H212" cm="1">
        <f t="array" ref="H212">INDEX(DataAll!$T$2:$T$555,MATCH(LOWER(Data!A212),LOWER(DataAll!$S$2:$S$555),0))</f>
        <v>0.13400000000000001</v>
      </c>
      <c r="I212" cm="1">
        <f t="array" ref="I212">INDEX(DataAll!$W$2:$W$555,MATCH(LOWER(Data!A212),LOWER(DataAll!$V$2:$V$555),0))</f>
        <v>41.93</v>
      </c>
      <c r="J212" cm="1">
        <f t="array" ref="J212">INDEX(DataAll!$Z$2:$Z$555,MATCH(LOWER(Data!A212),LOWER(DataAll!$Y$2:$Y$555),0))</f>
        <v>1.98</v>
      </c>
      <c r="K212" cm="1">
        <f t="array" ref="K212">INDEX(DataAll!$AM$2:$AM$555,MATCH(LOWER(Data!A212),LOWER(DataAll!$AL$2:$AL$555),0))</f>
        <v>7.58</v>
      </c>
      <c r="L212" cm="1">
        <f t="array" ref="L212">INDEX(DataAll!$AJ$2:$AJ$555,MATCH(LOWER(Data!A212),LOWER(DataAll!$AI$2:$AI$555),0))</f>
        <v>12.07</v>
      </c>
      <c r="M212" cm="1">
        <f t="array" ref="M212">INDEX(DataAll!$AP$2:$AP$555,MATCH(LOWER(Data!A212),LOWER(DataAll!$AO$2:$AO$555),0))</f>
        <v>76.14</v>
      </c>
      <c r="N212" cm="1">
        <f t="array" ref="N212">INDEX(DataAll!$AQ$2:$AQ$555,MATCH(LOWER(Data!A212),LOWER(DataAll!$AO$2:$AO$555),0))</f>
        <v>79.88</v>
      </c>
      <c r="O212" cm="1">
        <f t="array" ref="O212">INDEX(DataAll!$AT$2:$AT$555,MATCH(LOWER(Data!A212),LOWER(DataAll!$AS$2:$AS$555),0))</f>
        <v>10.11</v>
      </c>
      <c r="P212" cm="1">
        <f t="array" ref="P212">INDEX(DataAll!$AU$2:$AU$555,MATCH(LOWER(Data!A212),LOWER(DataAll!$AS$2:$AS$555),0))</f>
        <v>9.4700000000000006</v>
      </c>
      <c r="Q212" cm="1">
        <f t="array" ref="Q212">INDEX(DataAll!$AX$2:$AX$556,MATCH(LOWER(Data!A212),LOWER(DataAll!$AW$2:$AW$556),0))</f>
        <v>51.32</v>
      </c>
      <c r="R212" cm="1">
        <f t="array" ref="R212">INDEX('Longitude and Latitude'!$B$2:$B$579,MATCH(LOWER(Data!A212),LOWER('Longitude and Latitude'!$A$2:$A$579),0))</f>
        <v>-7.6808817999999999</v>
      </c>
      <c r="S212" cm="1">
        <f t="array" ref="S212">INDEX('Longitude and Latitude'!$C$2:$C$579,MATCH(LOWER(Data!A212),LOWER('Longitude and Latitude'!$A$2:$A$579),0))</f>
        <v>110.81952920000001</v>
      </c>
      <c r="T212" t="b">
        <f>IF(EXACT(A212, UPPER(A212)), TRUE, FALSE)</f>
        <v>0</v>
      </c>
    </row>
    <row r="213" spans="1:20" x14ac:dyDescent="0.35">
      <c r="A213" t="s">
        <v>213</v>
      </c>
      <c r="B213">
        <v>92.11</v>
      </c>
      <c r="C213" cm="1">
        <f t="array" ref="C213">INDEX(DataAll!$E$2:$E$555,MATCH(LOWER(Data!A213),LOWER(DataAll!$D$2:$D$555),0))</f>
        <v>72.64</v>
      </c>
      <c r="D213" cm="1">
        <f t="array" ref="D213">INDEX(DataAll!$H$2:$H$579,MATCH(LOWER(Data!A213),LOWER(DataAll!$G$2:$G$555),0))</f>
        <v>0.19800000000000001</v>
      </c>
      <c r="E213" cm="1">
        <f t="array" ref="E213">INDEX(DataAll!$K$2:$K$579,MATCH(LOWER(Data!A213),LOWER(DataAll!$J$2:$J$555),0))</f>
        <v>16</v>
      </c>
      <c r="F213" cm="1">
        <f t="array" ref="F213">INDEX(DataAll!$N$2:$N$555,MATCH(LOWER(Data!A213),LOWER(DataAll!$M$2:$M$555),0))</f>
        <v>49.49</v>
      </c>
      <c r="G213" cm="1">
        <f t="array" ref="G213">INDEX(DataAll!$Q$2:$Q$555,MATCH(LOWER(Data!A213),LOWER(DataAll!$P$2:$P$555),0))</f>
        <v>10.8</v>
      </c>
      <c r="H213" cm="1">
        <f t="array" ref="H213">INDEX(DataAll!$T$2:$T$555,MATCH(LOWER(Data!A213),LOWER(DataAll!$S$2:$S$555),0))</f>
        <v>0.223</v>
      </c>
      <c r="I213" cm="1">
        <f t="array" ref="I213">INDEX(DataAll!$W$2:$W$555,MATCH(LOWER(Data!A213),LOWER(DataAll!$V$2:$V$555),0))</f>
        <v>38.96</v>
      </c>
      <c r="J213" cm="1">
        <f t="array" ref="J213">INDEX(DataAll!$Z$2:$Z$555,MATCH(LOWER(Data!A213),LOWER(DataAll!$Y$2:$Y$555),0))</f>
        <v>1.9</v>
      </c>
      <c r="K213" cm="1">
        <f t="array" ref="K213">INDEX(DataAll!$AM$2:$AM$555,MATCH(LOWER(Data!A213),LOWER(DataAll!$AL$2:$AL$555),0))</f>
        <v>10.94</v>
      </c>
      <c r="L213" cm="1">
        <f t="array" ref="L213">INDEX(DataAll!$AJ$2:$AJ$555,MATCH(LOWER(Data!A213),LOWER(DataAll!$AI$2:$AI$555),0))</f>
        <v>12.77</v>
      </c>
      <c r="M213" cm="1">
        <f t="array" ref="M213">INDEX(DataAll!$AP$2:$AP$555,MATCH(LOWER(Data!A213),LOWER(DataAll!$AO$2:$AO$555),0))</f>
        <v>74.72</v>
      </c>
      <c r="N213" cm="1">
        <f t="array" ref="N213">INDEX(DataAll!$AQ$2:$AQ$555,MATCH(LOWER(Data!A213),LOWER(DataAll!$AO$2:$AO$555),0))</f>
        <v>78.48</v>
      </c>
      <c r="O213" cm="1">
        <f t="array" ref="O213">INDEX(DataAll!$AT$2:$AT$555,MATCH(LOWER(Data!A213),LOWER(DataAll!$AS$2:$AS$555),0))</f>
        <v>8.1199999999999992</v>
      </c>
      <c r="P213" cm="1">
        <f t="array" ref="P213">INDEX(DataAll!$AU$2:$AU$555,MATCH(LOWER(Data!A213),LOWER(DataAll!$AS$2:$AS$555),0))</f>
        <v>7.32</v>
      </c>
      <c r="Q213" cm="1">
        <f t="array" ref="Q213">INDEX(DataAll!$AX$2:$AX$556,MATCH(LOWER(Data!A213),LOWER(DataAll!$AW$2:$AW$556),0))</f>
        <v>26.48</v>
      </c>
      <c r="R213" cm="1">
        <f t="array" ref="R213">INDEX('Longitude and Latitude'!$B$2:$B$579,MATCH(LOWER(Data!A213),LOWER('Longitude and Latitude'!$A$2:$A$579),0))</f>
        <v>-7.8177820000000002</v>
      </c>
      <c r="S213" cm="1">
        <f t="array" ref="S213">INDEX('Longitude and Latitude'!$C$2:$C$579,MATCH(LOWER(Data!A213),LOWER('Longitude and Latitude'!$A$2:$A$579),0))</f>
        <v>110.920601</v>
      </c>
      <c r="T213" t="b">
        <f>IF(EXACT(A213, UPPER(A213)), TRUE, FALSE)</f>
        <v>0</v>
      </c>
    </row>
    <row r="214" spans="1:20" x14ac:dyDescent="0.35">
      <c r="A214" t="s">
        <v>214</v>
      </c>
      <c r="B214">
        <v>97.29</v>
      </c>
      <c r="C214" cm="1">
        <f t="array" ref="C214">INDEX(DataAll!$E$2:$E$555,MATCH(LOWER(Data!A214),LOWER(DataAll!$D$2:$D$555),0))</f>
        <v>71.650000000000006</v>
      </c>
      <c r="D214" cm="1">
        <f t="array" ref="D214">INDEX(DataAll!$H$2:$H$579,MATCH(LOWER(Data!A214),LOWER(DataAll!$G$2:$G$555),0))</f>
        <v>0.27900000000000003</v>
      </c>
      <c r="E214" cm="1">
        <f t="array" ref="E214">INDEX(DataAll!$K$2:$K$579,MATCH(LOWER(Data!A214),LOWER(DataAll!$J$2:$J$555),0))</f>
        <v>15.56</v>
      </c>
      <c r="F214" cm="1">
        <f t="array" ref="F214">INDEX(DataAll!$N$2:$N$555,MATCH(LOWER(Data!A214),LOWER(DataAll!$M$2:$M$555),0))</f>
        <v>54.76</v>
      </c>
      <c r="G214" cm="1">
        <f t="array" ref="G214">INDEX(DataAll!$Q$2:$Q$555,MATCH(LOWER(Data!A214),LOWER(DataAll!$P$2:$P$555),0))</f>
        <v>10.63</v>
      </c>
      <c r="H214" cm="1">
        <f t="array" ref="H214">INDEX(DataAll!$T$2:$T$555,MATCH(LOWER(Data!A214),LOWER(DataAll!$S$2:$S$555),0))</f>
        <v>0.19700000000000001</v>
      </c>
      <c r="I214" cm="1">
        <f t="array" ref="I214">INDEX(DataAll!$W$2:$W$555,MATCH(LOWER(Data!A214),LOWER(DataAll!$V$2:$V$555),0))</f>
        <v>38.909999999999997</v>
      </c>
      <c r="J214" cm="1">
        <f t="array" ref="J214">INDEX(DataAll!$Z$2:$Z$555,MATCH(LOWER(Data!A214),LOWER(DataAll!$Y$2:$Y$555),0))</f>
        <v>1.93</v>
      </c>
      <c r="K214" cm="1">
        <f t="array" ref="K214">INDEX(DataAll!$AM$2:$AM$555,MATCH(LOWER(Data!A214),LOWER(DataAll!$AL$2:$AL$555),0))</f>
        <v>9.7899999999999991</v>
      </c>
      <c r="L214" cm="1">
        <f t="array" ref="L214">INDEX(DataAll!$AJ$2:$AJ$555,MATCH(LOWER(Data!A214),LOWER(DataAll!$AI$2:$AI$555),0))</f>
        <v>13.56</v>
      </c>
      <c r="M214" cm="1">
        <f t="array" ref="M214">INDEX(DataAll!$AP$2:$AP$555,MATCH(LOWER(Data!A214),LOWER(DataAll!$AO$2:$AO$555),0))</f>
        <v>75.94</v>
      </c>
      <c r="N214" cm="1">
        <f t="array" ref="N214">INDEX(DataAll!$AQ$2:$AQ$555,MATCH(LOWER(Data!A214),LOWER(DataAll!$AO$2:$AO$555),0))</f>
        <v>79.72</v>
      </c>
      <c r="O214" cm="1">
        <f t="array" ref="O214">INDEX(DataAll!$AT$2:$AT$555,MATCH(LOWER(Data!A214),LOWER(DataAll!$AS$2:$AS$555),0))</f>
        <v>9.4600000000000009</v>
      </c>
      <c r="P214" cm="1">
        <f t="array" ref="P214">INDEX(DataAll!$AU$2:$AU$555,MATCH(LOWER(Data!A214),LOWER(DataAll!$AS$2:$AS$555),0))</f>
        <v>8.6</v>
      </c>
      <c r="Q214" cm="1">
        <f t="array" ref="Q214">INDEX(DataAll!$AX$2:$AX$556,MATCH(LOWER(Data!A214),LOWER(DataAll!$AW$2:$AW$556),0))</f>
        <v>36.340000000000003</v>
      </c>
      <c r="R214" cm="1">
        <f t="array" ref="R214">INDEX('Longitude and Latitude'!$B$2:$B$579,MATCH(LOWER(Data!A214),LOWER('Longitude and Latitude'!$A$2:$A$579),0))</f>
        <v>-7.5961110999999999</v>
      </c>
      <c r="S214" cm="1">
        <f t="array" ref="S214">INDEX('Longitude and Latitude'!$C$2:$C$579,MATCH(LOWER(Data!A214),LOWER('Longitude and Latitude'!$A$2:$A$579),0))</f>
        <v>110.9508333</v>
      </c>
      <c r="T214" t="b">
        <f>IF(EXACT(A214, UPPER(A214)), TRUE, FALSE)</f>
        <v>0</v>
      </c>
    </row>
    <row r="215" spans="1:20" x14ac:dyDescent="0.35">
      <c r="A215" t="s">
        <v>215</v>
      </c>
      <c r="B215">
        <v>92.49</v>
      </c>
      <c r="C215" cm="1">
        <f t="array" ref="C215">INDEX(DataAll!$E$2:$E$555,MATCH(LOWER(Data!A215),LOWER(DataAll!$D$2:$D$555),0))</f>
        <v>67.91</v>
      </c>
      <c r="D215" cm="1">
        <f t="array" ref="D215">INDEX(DataAll!$H$2:$H$579,MATCH(LOWER(Data!A215),LOWER(DataAll!$G$2:$G$555),0))</f>
        <v>0.45700000000000002</v>
      </c>
      <c r="E215" cm="1">
        <f t="array" ref="E215">INDEX(DataAll!$K$2:$K$579,MATCH(LOWER(Data!A215),LOWER(DataAll!$J$2:$J$555),0))</f>
        <v>13.33</v>
      </c>
      <c r="F215" cm="1">
        <f t="array" ref="F215">INDEX(DataAll!$N$2:$N$555,MATCH(LOWER(Data!A215),LOWER(DataAll!$M$2:$M$555),0))</f>
        <v>49.37</v>
      </c>
      <c r="G215" cm="1">
        <f t="array" ref="G215">INDEX(DataAll!$Q$2:$Q$555,MATCH(LOWER(Data!A215),LOWER(DataAll!$P$2:$P$555),0))</f>
        <v>10.8</v>
      </c>
      <c r="H215" cm="1">
        <f t="array" ref="H215">INDEX(DataAll!$T$2:$T$555,MATCH(LOWER(Data!A215),LOWER(DataAll!$S$2:$S$555),0))</f>
        <v>0.22900000000000001</v>
      </c>
      <c r="I215" cm="1">
        <f t="array" ref="I215">INDEX(DataAll!$W$2:$W$555,MATCH(LOWER(Data!A215),LOWER(DataAll!$V$2:$V$555),0))</f>
        <v>37.32</v>
      </c>
      <c r="J215" cm="1">
        <f t="array" ref="J215">INDEX(DataAll!$Z$2:$Z$555,MATCH(LOWER(Data!A215),LOWER(DataAll!$Y$2:$Y$555),0))</f>
        <v>2.0499999999999998</v>
      </c>
      <c r="K215" cm="1">
        <f t="array" ref="K215">INDEX(DataAll!$AM$2:$AM$555,MATCH(LOWER(Data!A215),LOWER(DataAll!$AL$2:$AL$555),0))</f>
        <v>12.87</v>
      </c>
      <c r="L215" cm="1">
        <f t="array" ref="L215">INDEX(DataAll!$AJ$2:$AJ$555,MATCH(LOWER(Data!A215),LOWER(DataAll!$AI$2:$AI$555),0))</f>
        <v>13.94</v>
      </c>
      <c r="M215" cm="1">
        <f t="array" ref="M215">INDEX(DataAll!$AP$2:$AP$555,MATCH(LOWER(Data!A215),LOWER(DataAll!$AO$2:$AO$555),0))</f>
        <v>74.14</v>
      </c>
      <c r="N215" cm="1">
        <f t="array" ref="N215">INDEX(DataAll!$AQ$2:$AQ$555,MATCH(LOWER(Data!A215),LOWER(DataAll!$AO$2:$AO$555),0))</f>
        <v>77.89</v>
      </c>
      <c r="O215" cm="1">
        <f t="array" ref="O215">INDEX(DataAll!$AT$2:$AT$555,MATCH(LOWER(Data!A215),LOWER(DataAll!$AS$2:$AS$555),0))</f>
        <v>8.4499999999999993</v>
      </c>
      <c r="P215" cm="1">
        <f t="array" ref="P215">INDEX(DataAll!$AU$2:$AU$555,MATCH(LOWER(Data!A215),LOWER(DataAll!$AS$2:$AS$555),0))</f>
        <v>7.38</v>
      </c>
      <c r="Q215" cm="1">
        <f t="array" ref="Q215">INDEX(DataAll!$AX$2:$AX$556,MATCH(LOWER(Data!A215),LOWER(DataAll!$AW$2:$AW$556),0))</f>
        <v>29.24</v>
      </c>
      <c r="R215" cm="1">
        <f t="array" ref="R215">INDEX('Longitude and Latitude'!$B$2:$B$579,MATCH(LOWER(Data!A215),LOWER('Longitude and Latitude'!$A$2:$A$579),0))</f>
        <v>-7.4302289999999998</v>
      </c>
      <c r="S215" cm="1">
        <f t="array" ref="S215">INDEX('Longitude and Latitude'!$C$2:$C$579,MATCH(LOWER(Data!A215),LOWER('Longitude and Latitude'!$A$2:$A$579),0))</f>
        <v>111.02130099999999</v>
      </c>
      <c r="T215" t="b">
        <f>IF(EXACT(A215, UPPER(A215)), TRUE, FALSE)</f>
        <v>0</v>
      </c>
    </row>
    <row r="216" spans="1:20" x14ac:dyDescent="0.35">
      <c r="A216" t="s">
        <v>216</v>
      </c>
      <c r="B216">
        <v>86.23</v>
      </c>
      <c r="C216" cm="1">
        <f t="array" ref="C216">INDEX(DataAll!$E$2:$E$555,MATCH(LOWER(Data!A216),LOWER(DataAll!$D$2:$D$555),0))</f>
        <v>58.82</v>
      </c>
      <c r="D216" cm="1">
        <f t="array" ref="D216">INDEX(DataAll!$H$2:$H$579,MATCH(LOWER(Data!A216),LOWER(DataAll!$G$2:$G$555),0))</f>
        <v>0.4</v>
      </c>
      <c r="E216" cm="1">
        <f t="array" ref="E216">INDEX(DataAll!$K$2:$K$579,MATCH(LOWER(Data!A216),LOWER(DataAll!$J$2:$J$555),0))</f>
        <v>12</v>
      </c>
      <c r="F216" cm="1">
        <f t="array" ref="F216">INDEX(DataAll!$N$2:$N$555,MATCH(LOWER(Data!A216),LOWER(DataAll!$M$2:$M$555),0))</f>
        <v>51</v>
      </c>
      <c r="G216" cm="1">
        <f t="array" ref="G216">INDEX(DataAll!$Q$2:$Q$555,MATCH(LOWER(Data!A216),LOWER(DataAll!$P$2:$P$555),0))</f>
        <v>13.23</v>
      </c>
      <c r="H216" cm="1">
        <f t="array" ref="H216">INDEX(DataAll!$T$2:$T$555,MATCH(LOWER(Data!A216),LOWER(DataAll!$S$2:$S$555),0))</f>
        <v>0.38600000000000001</v>
      </c>
      <c r="I216" cm="1">
        <f t="array" ref="I216">INDEX(DataAll!$W$2:$W$555,MATCH(LOWER(Data!A216),LOWER(DataAll!$V$2:$V$555),0))</f>
        <v>26.02</v>
      </c>
      <c r="J216" cm="1">
        <f t="array" ref="J216">INDEX(DataAll!$Z$2:$Z$555,MATCH(LOWER(Data!A216),LOWER(DataAll!$Y$2:$Y$555),0))</f>
        <v>2.21</v>
      </c>
      <c r="K216" cm="1">
        <f t="array" ref="K216">INDEX(DataAll!$AM$2:$AM$555,MATCH(LOWER(Data!A216),LOWER(DataAll!$AL$2:$AL$555),0))</f>
        <v>11.72</v>
      </c>
      <c r="L216" cm="1">
        <f t="array" ref="L216">INDEX(DataAll!$AJ$2:$AJ$555,MATCH(LOWER(Data!A216),LOWER(DataAll!$AI$2:$AI$555),0))</f>
        <v>15.68</v>
      </c>
      <c r="M216" cm="1">
        <f t="array" ref="M216">INDEX(DataAll!$AP$2:$AP$555,MATCH(LOWER(Data!A216),LOWER(DataAll!$AO$2:$AO$555),0))</f>
        <v>73.3</v>
      </c>
      <c r="N216" cm="1">
        <f t="array" ref="N216">INDEX(DataAll!$AQ$2:$AQ$555,MATCH(LOWER(Data!A216),LOWER(DataAll!$AO$2:$AO$555),0))</f>
        <v>76.95</v>
      </c>
      <c r="O216" cm="1">
        <f t="array" ref="O216">INDEX(DataAll!$AT$2:$AT$555,MATCH(LOWER(Data!A216),LOWER(DataAll!$AS$2:$AS$555),0))</f>
        <v>7.88</v>
      </c>
      <c r="P216" cm="1">
        <f t="array" ref="P216">INDEX(DataAll!$AU$2:$AU$555,MATCH(LOWER(Data!A216),LOWER(DataAll!$AS$2:$AS$555),0))</f>
        <v>6.77</v>
      </c>
      <c r="Q216" cm="1">
        <f t="array" ref="Q216">INDEX(DataAll!$AX$2:$AX$556,MATCH(LOWER(Data!A216),LOWER(DataAll!$AW$2:$AW$556),0))</f>
        <v>17.170000000000002</v>
      </c>
      <c r="R216" cm="1">
        <f t="array" ref="R216">INDEX('Longitude and Latitude'!$B$2:$B$579,MATCH(LOWER(Data!A216),LOWER('Longitude and Latitude'!$A$2:$A$579),0))</f>
        <v>-7.0217194000000003</v>
      </c>
      <c r="S216" cm="1">
        <f t="array" ref="S216">INDEX('Longitude and Latitude'!$C$2:$C$579,MATCH(LOWER(Data!A216),LOWER('Longitude and Latitude'!$A$2:$A$579),0))</f>
        <v>110.96258539999999</v>
      </c>
      <c r="T216" t="b">
        <f>IF(EXACT(A216, UPPER(A216)), TRUE, FALSE)</f>
        <v>0</v>
      </c>
    </row>
    <row r="217" spans="1:20" x14ac:dyDescent="0.35">
      <c r="A217" t="s">
        <v>217</v>
      </c>
      <c r="B217">
        <v>85.68</v>
      </c>
      <c r="C217" cm="1">
        <f t="array" ref="C217">INDEX(DataAll!$E$2:$E$555,MATCH(LOWER(Data!A217),LOWER(DataAll!$D$2:$D$555),0))</f>
        <v>60.86</v>
      </c>
      <c r="D217" cm="1">
        <f t="array" ref="D217">INDEX(DataAll!$H$2:$H$579,MATCH(LOWER(Data!A217),LOWER(DataAll!$G$2:$G$555),0))</f>
        <v>0.40699999999999997</v>
      </c>
      <c r="E217" cm="1">
        <f t="array" ref="E217">INDEX(DataAll!$K$2:$K$579,MATCH(LOWER(Data!A217),LOWER(DataAll!$J$2:$J$555),0))</f>
        <v>6.67</v>
      </c>
      <c r="F217" cm="1">
        <f t="array" ref="F217">INDEX(DataAll!$N$2:$N$555,MATCH(LOWER(Data!A217),LOWER(DataAll!$M$2:$M$555),0))</f>
        <v>52.17</v>
      </c>
      <c r="G217" cm="1">
        <f t="array" ref="G217">INDEX(DataAll!$Q$2:$Q$555,MATCH(LOWER(Data!A217),LOWER(DataAll!$P$2:$P$555),0))</f>
        <v>11.27</v>
      </c>
      <c r="H217" cm="1">
        <f t="array" ref="H217">INDEX(DataAll!$T$2:$T$555,MATCH(LOWER(Data!A217),LOWER(DataAll!$S$2:$S$555),0))</f>
        <v>0.33</v>
      </c>
      <c r="I217" cm="1">
        <f t="array" ref="I217">INDEX(DataAll!$W$2:$W$555,MATCH(LOWER(Data!A217),LOWER(DataAll!$V$2:$V$555),0))</f>
        <v>35.090000000000003</v>
      </c>
      <c r="J217" cm="1">
        <f t="array" ref="J217">INDEX(DataAll!$Z$2:$Z$555,MATCH(LOWER(Data!A217),LOWER(DataAll!$Y$2:$Y$555),0))</f>
        <v>2.0299999999999998</v>
      </c>
      <c r="K217" cm="1">
        <f t="array" ref="K217">INDEX(DataAll!$AM$2:$AM$555,MATCH(LOWER(Data!A217),LOWER(DataAll!$AL$2:$AL$555),0))</f>
        <v>11.49</v>
      </c>
      <c r="L217" cm="1">
        <f t="array" ref="L217">INDEX(DataAll!$AJ$2:$AJ$555,MATCH(LOWER(Data!A217),LOWER(DataAll!$AI$2:$AI$555),0))</f>
        <v>18.059999999999999</v>
      </c>
      <c r="M217" cm="1">
        <f t="array" ref="M217">INDEX(DataAll!$AP$2:$AP$555,MATCH(LOWER(Data!A217),LOWER(DataAll!$AO$2:$AO$555),0))</f>
        <v>72.95</v>
      </c>
      <c r="N217" cm="1">
        <f t="array" ref="N217">INDEX(DataAll!$AQ$2:$AQ$555,MATCH(LOWER(Data!A217),LOWER(DataAll!$AO$2:$AO$555),0))</f>
        <v>76.64</v>
      </c>
      <c r="O217" cm="1">
        <f t="array" ref="O217">INDEX(DataAll!$AT$2:$AT$555,MATCH(LOWER(Data!A217),LOWER(DataAll!$AS$2:$AS$555),0))</f>
        <v>7.44</v>
      </c>
      <c r="P217" cm="1">
        <f t="array" ref="P217">INDEX(DataAll!$AU$2:$AU$555,MATCH(LOWER(Data!A217),LOWER(DataAll!$AS$2:$AS$555),0))</f>
        <v>6.82</v>
      </c>
      <c r="Q217" cm="1">
        <f t="array" ref="Q217">INDEX(DataAll!$AX$2:$AX$556,MATCH(LOWER(Data!A217),LOWER(DataAll!$AW$2:$AW$556),0))</f>
        <v>25.12</v>
      </c>
      <c r="R217" cm="1">
        <f t="array" ref="R217">INDEX('Longitude and Latitude'!$B$2:$B$579,MATCH(LOWER(Data!A217),LOWER('Longitude and Latitude'!$A$2:$A$579),0))</f>
        <v>-6.95</v>
      </c>
      <c r="S217" cm="1">
        <f t="array" ref="S217">INDEX('Longitude and Latitude'!$C$2:$C$579,MATCH(LOWER(Data!A217),LOWER('Longitude and Latitude'!$A$2:$A$579),0))</f>
        <v>111.41666669999999</v>
      </c>
      <c r="T217" t="b">
        <f>IF(EXACT(A217, UPPER(A217)), TRUE, FALSE)</f>
        <v>0</v>
      </c>
    </row>
    <row r="218" spans="1:20" x14ac:dyDescent="0.35">
      <c r="A218" t="s">
        <v>218</v>
      </c>
      <c r="B218">
        <v>87.68</v>
      </c>
      <c r="C218" cm="1">
        <f t="array" ref="C218">INDEX(DataAll!$E$2:$E$555,MATCH(LOWER(Data!A218),LOWER(DataAll!$D$2:$D$555),0))</f>
        <v>66.98</v>
      </c>
      <c r="D218" cm="1">
        <f t="array" ref="D218">INDEX(DataAll!$H$2:$H$579,MATCH(LOWER(Data!A218),LOWER(DataAll!$G$2:$G$555),0))</f>
        <v>0.26500000000000001</v>
      </c>
      <c r="E218" cm="1">
        <f t="array" ref="E218">INDEX(DataAll!$K$2:$K$579,MATCH(LOWER(Data!A218),LOWER(DataAll!$J$2:$J$555),0))</f>
        <v>13.33</v>
      </c>
      <c r="F218" cm="1">
        <f t="array" ref="F218">INDEX(DataAll!$N$2:$N$555,MATCH(LOWER(Data!A218),LOWER(DataAll!$M$2:$M$555),0))</f>
        <v>46.62</v>
      </c>
      <c r="G218" cm="1">
        <f t="array" ref="G218">INDEX(DataAll!$Q$2:$Q$555,MATCH(LOWER(Data!A218),LOWER(DataAll!$P$2:$P$555),0))</f>
        <v>10.15</v>
      </c>
      <c r="H218" cm="1">
        <f t="array" ref="H218">INDEX(DataAll!$T$2:$T$555,MATCH(LOWER(Data!A218),LOWER(DataAll!$S$2:$S$555),0))</f>
        <v>0.32100000000000001</v>
      </c>
      <c r="I218" cm="1">
        <f t="array" ref="I218">INDEX(DataAll!$W$2:$W$555,MATCH(LOWER(Data!A218),LOWER(DataAll!$V$2:$V$555),0))</f>
        <v>32.49</v>
      </c>
      <c r="J218" cm="1">
        <f t="array" ref="J218">INDEX(DataAll!$Z$2:$Z$555,MATCH(LOWER(Data!A218),LOWER(DataAll!$Y$2:$Y$555),0))</f>
        <v>2.04</v>
      </c>
      <c r="K218" cm="1">
        <f t="array" ref="K218">INDEX(DataAll!$AM$2:$AM$555,MATCH(LOWER(Data!A218),LOWER(DataAll!$AL$2:$AL$555),0))</f>
        <v>14.17</v>
      </c>
      <c r="L218" cm="1">
        <f t="array" ref="L218">INDEX(DataAll!$AJ$2:$AJ$555,MATCH(LOWER(Data!A218),LOWER(DataAll!$AI$2:$AI$555),0))</f>
        <v>17.510000000000002</v>
      </c>
      <c r="M218" cm="1">
        <f t="array" ref="M218">INDEX(DataAll!$AP$2:$AP$555,MATCH(LOWER(Data!A218),LOWER(DataAll!$AO$2:$AO$555),0))</f>
        <v>73.02</v>
      </c>
      <c r="N218" cm="1">
        <f t="array" ref="N218">INDEX(DataAll!$AQ$2:$AQ$555,MATCH(LOWER(Data!A218),LOWER(DataAll!$AO$2:$AO$555),0))</f>
        <v>76.69</v>
      </c>
      <c r="O218" cm="1">
        <f t="array" ref="O218">INDEX(DataAll!$AT$2:$AT$555,MATCH(LOWER(Data!A218),LOWER(DataAll!$AS$2:$AS$555),0))</f>
        <v>8.19</v>
      </c>
      <c r="P218" cm="1">
        <f t="array" ref="P218">INDEX(DataAll!$AU$2:$AU$555,MATCH(LOWER(Data!A218),LOWER(DataAll!$AS$2:$AS$555),0))</f>
        <v>7.24</v>
      </c>
      <c r="Q218" cm="1">
        <f t="array" ref="Q218">INDEX(DataAll!$AX$2:$AX$556,MATCH(LOWER(Data!A218),LOWER(DataAll!$AW$2:$AW$556),0))</f>
        <v>21.33</v>
      </c>
      <c r="R218" cm="1">
        <f t="array" ref="R218">INDEX('Longitude and Latitude'!$B$2:$B$579,MATCH(LOWER(Data!A218),LOWER('Longitude and Latitude'!$A$2:$A$579),0))</f>
        <v>-6.7112400000000001</v>
      </c>
      <c r="S218" cm="1">
        <f t="array" ref="S218">INDEX('Longitude and Latitude'!$C$2:$C$579,MATCH(LOWER(Data!A218),LOWER('Longitude and Latitude'!$A$2:$A$579),0))</f>
        <v>111.345299</v>
      </c>
      <c r="T218" t="b">
        <f>IF(EXACT(A218, UPPER(A218)), TRUE, FALSE)</f>
        <v>0</v>
      </c>
    </row>
    <row r="219" spans="1:20" x14ac:dyDescent="0.35">
      <c r="A219" t="s">
        <v>219</v>
      </c>
      <c r="B219">
        <v>92.49</v>
      </c>
      <c r="C219" cm="1">
        <f t="array" ref="C219">INDEX(DataAll!$E$2:$E$555,MATCH(LOWER(Data!A219),LOWER(DataAll!$D$2:$D$555),0))</f>
        <v>67.73</v>
      </c>
      <c r="D219" cm="1">
        <f t="array" ref="D219">INDEX(DataAll!$H$2:$H$579,MATCH(LOWER(Data!A219),LOWER(DataAll!$G$2:$G$555),0))</f>
        <v>0.23300000000000001</v>
      </c>
      <c r="E219" cm="1">
        <f t="array" ref="E219">INDEX(DataAll!$K$2:$K$579,MATCH(LOWER(Data!A219),LOWER(DataAll!$J$2:$J$555),0))</f>
        <v>16</v>
      </c>
      <c r="F219" cm="1">
        <f t="array" ref="F219">INDEX(DataAll!$N$2:$N$555,MATCH(LOWER(Data!A219),LOWER(DataAll!$M$2:$M$555),0))</f>
        <v>53.32</v>
      </c>
      <c r="G219" cm="1">
        <f t="array" ref="G219">INDEX(DataAll!$Q$2:$Q$555,MATCH(LOWER(Data!A219),LOWER(DataAll!$P$2:$P$555),0))</f>
        <v>7.78</v>
      </c>
      <c r="H219" cm="1">
        <f t="array" ref="H219">INDEX(DataAll!$T$2:$T$555,MATCH(LOWER(Data!A219),LOWER(DataAll!$S$2:$S$555),0))</f>
        <v>0.29199999999999998</v>
      </c>
      <c r="I219" cm="1">
        <f t="array" ref="I219">INDEX(DataAll!$W$2:$W$555,MATCH(LOWER(Data!A219),LOWER(DataAll!$V$2:$V$555),0))</f>
        <v>31.67</v>
      </c>
      <c r="J219" cm="1">
        <f t="array" ref="J219">INDEX(DataAll!$Z$2:$Z$555,MATCH(LOWER(Data!A219),LOWER(DataAll!$Y$2:$Y$555),0))</f>
        <v>1.91</v>
      </c>
      <c r="K219" cm="1">
        <f t="array" ref="K219">INDEX(DataAll!$AM$2:$AM$555,MATCH(LOWER(Data!A219),LOWER(DataAll!$AL$2:$AL$555),0))</f>
        <v>9.31</v>
      </c>
      <c r="L219" cm="1">
        <f t="array" ref="L219">INDEX(DataAll!$AJ$2:$AJ$555,MATCH(LOWER(Data!A219),LOWER(DataAll!$AI$2:$AI$555),0))</f>
        <v>14.45</v>
      </c>
      <c r="M219" cm="1">
        <f t="array" ref="M219">INDEX(DataAll!$AP$2:$AP$555,MATCH(LOWER(Data!A219),LOWER(DataAll!$AO$2:$AO$555),0))</f>
        <v>74.55</v>
      </c>
      <c r="N219" cm="1">
        <f t="array" ref="N219">INDEX(DataAll!$AQ$2:$AQ$555,MATCH(LOWER(Data!A219),LOWER(DataAll!$AO$2:$AO$555),0))</f>
        <v>78.31</v>
      </c>
      <c r="O219" cm="1">
        <f t="array" ref="O219">INDEX(DataAll!$AT$2:$AT$555,MATCH(LOWER(Data!A219),LOWER(DataAll!$AS$2:$AS$555),0))</f>
        <v>8.32</v>
      </c>
      <c r="P219" cm="1">
        <f t="array" ref="P219">INDEX(DataAll!$AU$2:$AU$555,MATCH(LOWER(Data!A219),LOWER(DataAll!$AS$2:$AS$555),0))</f>
        <v>7.5</v>
      </c>
      <c r="Q219" cm="1">
        <f t="array" ref="Q219">INDEX(DataAll!$AX$2:$AX$556,MATCH(LOWER(Data!A219),LOWER(DataAll!$AW$2:$AW$556),0))</f>
        <v>28.1</v>
      </c>
      <c r="R219" cm="1">
        <f t="array" ref="R219">INDEX('Longitude and Latitude'!$B$2:$B$579,MATCH(LOWER(Data!A219),LOWER('Longitude and Latitude'!$A$2:$A$579),0))</f>
        <v>-6.7513379999999996</v>
      </c>
      <c r="S219" cm="1">
        <f t="array" ref="S219">INDEX('Longitude and Latitude'!$C$2:$C$579,MATCH(LOWER(Data!A219),LOWER('Longitude and Latitude'!$A$2:$A$579),0))</f>
        <v>111.03800200000001</v>
      </c>
      <c r="T219" t="b">
        <f>IF(EXACT(A219, UPPER(A219)), TRUE, FALSE)</f>
        <v>0</v>
      </c>
    </row>
    <row r="220" spans="1:20" x14ac:dyDescent="0.35">
      <c r="A220" t="s">
        <v>220</v>
      </c>
      <c r="B220">
        <v>93.83</v>
      </c>
      <c r="C220" cm="1">
        <f t="array" ref="C220">INDEX(DataAll!$E$2:$E$555,MATCH(LOWER(Data!A220),LOWER(DataAll!$D$2:$D$555),0))</f>
        <v>66.319999999999993</v>
      </c>
      <c r="D220" cm="1">
        <f t="array" ref="D220">INDEX(DataAll!$H$2:$H$579,MATCH(LOWER(Data!A220),LOWER(DataAll!$G$2:$G$555),0))</f>
        <v>0.22600000000000001</v>
      </c>
      <c r="E220" cm="1">
        <f t="array" ref="E220">INDEX(DataAll!$K$2:$K$579,MATCH(LOWER(Data!A220),LOWER(DataAll!$J$2:$J$555),0))</f>
        <v>8.89</v>
      </c>
      <c r="F220" cm="1">
        <f t="array" ref="F220">INDEX(DataAll!$N$2:$N$555,MATCH(LOWER(Data!A220),LOWER(DataAll!$M$2:$M$555),0))</f>
        <v>49.49</v>
      </c>
      <c r="G220" cm="1">
        <f t="array" ref="G220">INDEX(DataAll!$Q$2:$Q$555,MATCH(LOWER(Data!A220),LOWER(DataAll!$P$2:$P$555),0))</f>
        <v>8.36</v>
      </c>
      <c r="H220" cm="1">
        <f t="array" ref="H220">INDEX(DataAll!$T$2:$T$555,MATCH(LOWER(Data!A220),LOWER(DataAll!$S$2:$S$555),0))</f>
        <v>0.184</v>
      </c>
      <c r="I220" cm="1">
        <f t="array" ref="I220">INDEX(DataAll!$W$2:$W$555,MATCH(LOWER(Data!A220),LOWER(DataAll!$V$2:$V$555),0))</f>
        <v>41.87</v>
      </c>
      <c r="J220" cm="1">
        <f t="array" ref="J220">INDEX(DataAll!$Z$2:$Z$555,MATCH(LOWER(Data!A220),LOWER(DataAll!$Y$2:$Y$555),0))</f>
        <v>2.0699999999999998</v>
      </c>
      <c r="K220" cm="1">
        <f t="array" ref="K220">INDEX(DataAll!$AM$2:$AM$555,MATCH(LOWER(Data!A220),LOWER(DataAll!$AL$2:$AL$555),0))</f>
        <v>7.24</v>
      </c>
      <c r="L220" cm="1">
        <f t="array" ref="L220">INDEX(DataAll!$AJ$2:$AJ$555,MATCH(LOWER(Data!A220),LOWER(DataAll!$AI$2:$AI$555),0))</f>
        <v>14.92</v>
      </c>
      <c r="M220" cm="1">
        <f t="array" ref="M220">INDEX(DataAll!$AP$2:$AP$555,MATCH(LOWER(Data!A220),LOWER(DataAll!$AO$2:$AO$555),0))</f>
        <v>75.02</v>
      </c>
      <c r="N220" cm="1">
        <f t="array" ref="N220">INDEX(DataAll!$AQ$2:$AQ$555,MATCH(LOWER(Data!A220),LOWER(DataAll!$AO$2:$AO$555),0))</f>
        <v>78.78</v>
      </c>
      <c r="O220" cm="1">
        <f t="array" ref="O220">INDEX(DataAll!$AT$2:$AT$555,MATCH(LOWER(Data!A220),LOWER(DataAll!$AS$2:$AS$555),0))</f>
        <v>9.64</v>
      </c>
      <c r="P220" cm="1">
        <f t="array" ref="P220">INDEX(DataAll!$AU$2:$AU$555,MATCH(LOWER(Data!A220),LOWER(DataAll!$AS$2:$AS$555),0))</f>
        <v>8.8699999999999992</v>
      </c>
      <c r="Q220" cm="1">
        <f t="array" ref="Q220">INDEX(DataAll!$AX$2:$AX$556,MATCH(LOWER(Data!A220),LOWER(DataAll!$AW$2:$AW$556),0))</f>
        <v>40.76</v>
      </c>
      <c r="R220" cm="1">
        <f t="array" ref="R220">INDEX('Longitude and Latitude'!$B$2:$B$579,MATCH(LOWER(Data!A220),LOWER('Longitude and Latitude'!$A$2:$A$579),0))</f>
        <v>-6.804087</v>
      </c>
      <c r="S220" cm="1">
        <f t="array" ref="S220">INDEX('Longitude and Latitude'!$C$2:$C$579,MATCH(LOWER(Data!A220),LOWER('Longitude and Latitude'!$A$2:$A$579),0))</f>
        <v>110.83820299999999</v>
      </c>
      <c r="T220" t="b">
        <f>IF(EXACT(A220, UPPER(A220)), TRUE, FALSE)</f>
        <v>0</v>
      </c>
    </row>
    <row r="221" spans="1:20" x14ac:dyDescent="0.35">
      <c r="A221" t="s">
        <v>221</v>
      </c>
      <c r="B221">
        <v>91.53</v>
      </c>
      <c r="C221" cm="1">
        <f t="array" ref="C221">INDEX(DataAll!$E$2:$E$555,MATCH(LOWER(Data!A221),LOWER(DataAll!$D$2:$D$555),0))</f>
        <v>58.78</v>
      </c>
      <c r="D221" cm="1">
        <f t="array" ref="D221">INDEX(DataAll!$H$2:$H$579,MATCH(LOWER(Data!A221),LOWER(DataAll!$G$2:$G$555),0))</f>
        <v>0.42499999999999999</v>
      </c>
      <c r="E221" cm="1">
        <f t="array" ref="E221">INDEX(DataAll!$K$2:$K$579,MATCH(LOWER(Data!A221),LOWER(DataAll!$J$2:$J$555),0))</f>
        <v>14</v>
      </c>
      <c r="F221" cm="1">
        <f t="array" ref="F221">INDEX(DataAll!$N$2:$N$555,MATCH(LOWER(Data!A221),LOWER(DataAll!$M$2:$M$555),0))</f>
        <v>46.39</v>
      </c>
      <c r="G221" cm="1">
        <f t="array" ref="G221">INDEX(DataAll!$Q$2:$Q$555,MATCH(LOWER(Data!A221),LOWER(DataAll!$P$2:$P$555),0))</f>
        <v>10.02</v>
      </c>
      <c r="H221" cm="1">
        <f t="array" ref="H221">INDEX(DataAll!$T$2:$T$555,MATCH(LOWER(Data!A221),LOWER(DataAll!$S$2:$S$555),0))</f>
        <v>0.26400000000000001</v>
      </c>
      <c r="I221" cm="1">
        <f t="array" ref="I221">INDEX(DataAll!$W$2:$W$555,MATCH(LOWER(Data!A221),LOWER(DataAll!$V$2:$V$555),0))</f>
        <v>24.05</v>
      </c>
      <c r="J221" cm="1">
        <f t="array" ref="J221">INDEX(DataAll!$Z$2:$Z$555,MATCH(LOWER(Data!A221),LOWER(DataAll!$Y$2:$Y$555),0))</f>
        <v>2.06</v>
      </c>
      <c r="K221" cm="1">
        <f t="array" ref="K221">INDEX(DataAll!$AM$2:$AM$555,MATCH(LOWER(Data!A221),LOWER(DataAll!$AL$2:$AL$555),0))</f>
        <v>6.61</v>
      </c>
      <c r="L221" cm="1">
        <f t="array" ref="L221">INDEX(DataAll!$AJ$2:$AJ$555,MATCH(LOWER(Data!A221),LOWER(DataAll!$AI$2:$AI$555),0))</f>
        <v>13.65</v>
      </c>
      <c r="M221" cm="1">
        <f t="array" ref="M221">INDEX(DataAll!$AP$2:$AP$555,MATCH(LOWER(Data!A221),LOWER(DataAll!$AO$2:$AO$555),0))</f>
        <v>74.239999999999995</v>
      </c>
      <c r="N221" cm="1">
        <f t="array" ref="N221">INDEX(DataAll!$AQ$2:$AQ$555,MATCH(LOWER(Data!A221),LOWER(DataAll!$AO$2:$AO$555),0))</f>
        <v>77.989999999999995</v>
      </c>
      <c r="O221" cm="1">
        <f t="array" ref="O221">INDEX(DataAll!$AT$2:$AT$555,MATCH(LOWER(Data!A221),LOWER(DataAll!$AS$2:$AS$555),0))</f>
        <v>8.68</v>
      </c>
      <c r="P221" cm="1">
        <f t="array" ref="P221">INDEX(DataAll!$AU$2:$AU$555,MATCH(LOWER(Data!A221),LOWER(DataAll!$AS$2:$AS$555),0))</f>
        <v>7.86</v>
      </c>
      <c r="Q221" cm="1">
        <f t="array" ref="Q221">INDEX(DataAll!$AX$2:$AX$556,MATCH(LOWER(Data!A221),LOWER(DataAll!$AW$2:$AW$556),0))</f>
        <v>29.43</v>
      </c>
      <c r="R221" cm="1">
        <f t="array" ref="R221">INDEX('Longitude and Latitude'!$B$2:$B$579,MATCH(LOWER(Data!A221),LOWER('Longitude and Latitude'!$A$2:$A$579),0))</f>
        <v>-6.5596059000000002</v>
      </c>
      <c r="S221" cm="1">
        <f t="array" ref="S221">INDEX('Longitude and Latitude'!$C$2:$C$579,MATCH(LOWER(Data!A221),LOWER('Longitude and Latitude'!$A$2:$A$579),0))</f>
        <v>110.6717</v>
      </c>
      <c r="T221" t="b">
        <f>IF(EXACT(A221, UPPER(A221)), TRUE, FALSE)</f>
        <v>0</v>
      </c>
    </row>
    <row r="222" spans="1:20" x14ac:dyDescent="0.35">
      <c r="A222" t="s">
        <v>222</v>
      </c>
      <c r="B222">
        <v>91.17</v>
      </c>
      <c r="C222" cm="1">
        <f t="array" ref="C222">INDEX(DataAll!$E$2:$E$555,MATCH(LOWER(Data!A222),LOWER(DataAll!$D$2:$D$555),0))</f>
        <v>68.56</v>
      </c>
      <c r="D222" cm="1">
        <f t="array" ref="D222">INDEX(DataAll!$H$2:$H$579,MATCH(LOWER(Data!A222),LOWER(DataAll!$G$2:$G$555),0))</f>
        <v>0.24399999999999999</v>
      </c>
      <c r="E222" cm="1">
        <f t="array" ref="E222">INDEX(DataAll!$K$2:$K$579,MATCH(LOWER(Data!A222),LOWER(DataAll!$J$2:$J$555),0))</f>
        <v>14</v>
      </c>
      <c r="F222" cm="1">
        <f t="array" ref="F222">INDEX(DataAll!$N$2:$N$555,MATCH(LOWER(Data!A222),LOWER(DataAll!$M$2:$M$555),0))</f>
        <v>59.92</v>
      </c>
      <c r="G222" cm="1">
        <f t="array" ref="G222">INDEX(DataAll!$Q$2:$Q$555,MATCH(LOWER(Data!A222),LOWER(DataAll!$P$2:$P$555),0))</f>
        <v>7.77</v>
      </c>
      <c r="H222" cm="1">
        <f t="array" ref="H222">INDEX(DataAll!$T$2:$T$555,MATCH(LOWER(Data!A222),LOWER(DataAll!$S$2:$S$555),0))</f>
        <v>0.26100000000000001</v>
      </c>
      <c r="I222" cm="1">
        <f t="array" ref="I222">INDEX(DataAll!$W$2:$W$555,MATCH(LOWER(Data!A222),LOWER(DataAll!$V$2:$V$555),0))</f>
        <v>38.32</v>
      </c>
      <c r="J222" cm="1">
        <f t="array" ref="J222">INDEX(DataAll!$Z$2:$Z$555,MATCH(LOWER(Data!A222),LOWER(DataAll!$Y$2:$Y$555),0))</f>
        <v>2.09</v>
      </c>
      <c r="K222" cm="1">
        <f t="array" ref="K222">INDEX(DataAll!$AM$2:$AM$555,MATCH(LOWER(Data!A222),LOWER(DataAll!$AL$2:$AL$555),0))</f>
        <v>12.01</v>
      </c>
      <c r="L222" cm="1">
        <f t="array" ref="L222">INDEX(DataAll!$AJ$2:$AJ$555,MATCH(LOWER(Data!A222),LOWER(DataAll!$AI$2:$AI$555),0))</f>
        <v>14.39</v>
      </c>
      <c r="M222" cm="1">
        <f t="array" ref="M222">INDEX(DataAll!$AP$2:$AP$555,MATCH(LOWER(Data!A222),LOWER(DataAll!$AO$2:$AO$555),0))</f>
        <v>73.77</v>
      </c>
      <c r="N222" cm="1">
        <f t="array" ref="N222">INDEX(DataAll!$AQ$2:$AQ$555,MATCH(LOWER(Data!A222),LOWER(DataAll!$AO$2:$AO$555),0))</f>
        <v>77.48</v>
      </c>
      <c r="O222" cm="1">
        <f t="array" ref="O222">INDEX(DataAll!$AT$2:$AT$555,MATCH(LOWER(Data!A222),LOWER(DataAll!$AS$2:$AS$555),0))</f>
        <v>8.7899999999999991</v>
      </c>
      <c r="P222" cm="1">
        <f t="array" ref="P222">INDEX(DataAll!$AU$2:$AU$555,MATCH(LOWER(Data!A222),LOWER(DataAll!$AS$2:$AS$555),0))</f>
        <v>7.78</v>
      </c>
      <c r="Q222" cm="1">
        <f t="array" ref="Q222">INDEX(DataAll!$AX$2:$AX$556,MATCH(LOWER(Data!A222),LOWER(DataAll!$AW$2:$AW$556),0))</f>
        <v>30.61</v>
      </c>
      <c r="R222" cm="1">
        <f t="array" ref="R222">INDEX('Longitude and Latitude'!$B$2:$B$579,MATCH(LOWER(Data!A222),LOWER('Longitude and Latitude'!$A$2:$A$579),0))</f>
        <v>-6.888115</v>
      </c>
      <c r="S222" cm="1">
        <f t="array" ref="S222">INDEX('Longitude and Latitude'!$C$2:$C$579,MATCH(LOWER(Data!A222),LOWER('Longitude and Latitude'!$A$2:$A$579),0))</f>
        <v>110.639297</v>
      </c>
      <c r="T222" t="b">
        <f>IF(EXACT(A222, UPPER(A222)), TRUE, FALSE)</f>
        <v>0</v>
      </c>
    </row>
    <row r="223" spans="1:20" x14ac:dyDescent="0.35">
      <c r="A223" t="s">
        <v>223</v>
      </c>
      <c r="B223">
        <v>96.64</v>
      </c>
      <c r="C223" cm="1">
        <f t="array" ref="C223">INDEX(DataAll!$E$2:$E$555,MATCH(LOWER(Data!A223),LOWER(DataAll!$D$2:$D$555),0))</f>
        <v>77.86</v>
      </c>
      <c r="D223" cm="1">
        <f t="array" ref="D223">INDEX(DataAll!$H$2:$H$579,MATCH(LOWER(Data!A223),LOWER(DataAll!$G$2:$G$555),0))</f>
        <v>0.41599999999999998</v>
      </c>
      <c r="E223" cm="1">
        <f t="array" ref="E223">INDEX(DataAll!$K$2:$K$579,MATCH(LOWER(Data!A223),LOWER(DataAll!$J$2:$J$555),0))</f>
        <v>20</v>
      </c>
      <c r="F223" cm="1">
        <f t="array" ref="F223">INDEX(DataAll!$N$2:$N$555,MATCH(LOWER(Data!A223),LOWER(DataAll!$M$2:$M$555),0))</f>
        <v>52.26</v>
      </c>
      <c r="G223" cm="1">
        <f t="array" ref="G223">INDEX(DataAll!$Q$2:$Q$555,MATCH(LOWER(Data!A223),LOWER(DataAll!$P$2:$P$555),0))</f>
        <v>8.2799999999999994</v>
      </c>
      <c r="H223" cm="1">
        <f t="array" ref="H223">INDEX(DataAll!$T$2:$T$555,MATCH(LOWER(Data!A223),LOWER(DataAll!$S$2:$S$555),0))</f>
        <v>0.249</v>
      </c>
      <c r="I223" cm="1">
        <f t="array" ref="I223">INDEX(DataAll!$W$2:$W$555,MATCH(LOWER(Data!A223),LOWER(DataAll!$V$2:$V$555),0))</f>
        <v>47.36</v>
      </c>
      <c r="J223" cm="1">
        <f t="array" ref="J223">INDEX(DataAll!$Z$2:$Z$555,MATCH(LOWER(Data!A223),LOWER(DataAll!$Y$2:$Y$555),0))</f>
        <v>2.0099999999999998</v>
      </c>
      <c r="K223" cm="1">
        <f t="array" ref="K223">INDEX(DataAll!$AM$2:$AM$555,MATCH(LOWER(Data!A223),LOWER(DataAll!$AL$2:$AL$555),0))</f>
        <v>7.17</v>
      </c>
      <c r="L223" cm="1">
        <f t="array" ref="L223">INDEX(DataAll!$AJ$2:$AJ$555,MATCH(LOWER(Data!A223),LOWER(DataAll!$AI$2:$AI$555),0))</f>
        <v>15.18</v>
      </c>
      <c r="M223" cm="1">
        <f t="array" ref="M223">INDEX(DataAll!$AP$2:$AP$555,MATCH(LOWER(Data!A223),LOWER(DataAll!$AO$2:$AO$555),0))</f>
        <v>74.12</v>
      </c>
      <c r="N223" cm="1">
        <f t="array" ref="N223">INDEX(DataAll!$AQ$2:$AQ$555,MATCH(LOWER(Data!A223),LOWER(DataAll!$AO$2:$AO$555),0))</f>
        <v>77.86</v>
      </c>
      <c r="O223" cm="1">
        <f t="array" ref="O223">INDEX(DataAll!$AT$2:$AT$555,MATCH(LOWER(Data!A223),LOWER(DataAll!$AS$2:$AS$555),0))</f>
        <v>8.49</v>
      </c>
      <c r="P223" cm="1">
        <f t="array" ref="P223">INDEX(DataAll!$AU$2:$AU$555,MATCH(LOWER(Data!A223),LOWER(DataAll!$AS$2:$AS$555),0))</f>
        <v>7.83</v>
      </c>
      <c r="Q223" cm="1">
        <f t="array" ref="Q223">INDEX(DataAll!$AX$2:$AX$556,MATCH(LOWER(Data!A223),LOWER(DataAll!$AW$2:$AW$556),0))</f>
        <v>30.14</v>
      </c>
      <c r="R223" cm="1">
        <f t="array" ref="R223">INDEX('Longitude and Latitude'!$B$2:$B$579,MATCH(LOWER(Data!A223),LOWER('Longitude and Latitude'!$A$2:$A$579),0))</f>
        <v>-6.9666667000000002</v>
      </c>
      <c r="S223" cm="1">
        <f t="array" ref="S223">INDEX('Longitude and Latitude'!$C$2:$C$579,MATCH(LOWER(Data!A223),LOWER('Longitude and Latitude'!$A$2:$A$579),0))</f>
        <v>110.41666669999999</v>
      </c>
      <c r="T223" t="b">
        <f>IF(EXACT(A223, UPPER(A223)), TRUE, FALSE)</f>
        <v>0</v>
      </c>
    </row>
    <row r="224" spans="1:20" x14ac:dyDescent="0.35">
      <c r="A224" t="s">
        <v>224</v>
      </c>
      <c r="B224">
        <v>96.19</v>
      </c>
      <c r="C224" cm="1">
        <f t="array" ref="C224">INDEX(DataAll!$E$2:$E$555,MATCH(LOWER(Data!A224),LOWER(DataAll!$D$2:$D$555),0))</f>
        <v>84.38</v>
      </c>
      <c r="D224" cm="1">
        <f t="array" ref="D224">INDEX(DataAll!$H$2:$H$579,MATCH(LOWER(Data!A224),LOWER(DataAll!$G$2:$G$555),0))</f>
        <v>0.192</v>
      </c>
      <c r="E224" cm="1">
        <f t="array" ref="E224">INDEX(DataAll!$K$2:$K$579,MATCH(LOWER(Data!A224),LOWER(DataAll!$J$2:$J$555),0))</f>
        <v>31.11</v>
      </c>
      <c r="F224" cm="1">
        <f t="array" ref="F224">INDEX(DataAll!$N$2:$N$555,MATCH(LOWER(Data!A224),LOWER(DataAll!$M$2:$M$555),0))</f>
        <v>50.16</v>
      </c>
      <c r="G224" cm="1">
        <f t="array" ref="G224">INDEX(DataAll!$Q$2:$Q$555,MATCH(LOWER(Data!A224),LOWER(DataAll!$P$2:$P$555),0))</f>
        <v>10.26</v>
      </c>
      <c r="H224" cm="1">
        <f t="array" ref="H224">INDEX(DataAll!$T$2:$T$555,MATCH(LOWER(Data!A224),LOWER(DataAll!$S$2:$S$555),0))</f>
        <v>0.35899999999999999</v>
      </c>
      <c r="I224" cm="1">
        <f t="array" ref="I224">INDEX(DataAll!$W$2:$W$555,MATCH(LOWER(Data!A224),LOWER(DataAll!$V$2:$V$555),0))</f>
        <v>41.76</v>
      </c>
      <c r="J224" cm="1">
        <f t="array" ref="J224">INDEX(DataAll!$Z$2:$Z$555,MATCH(LOWER(Data!A224),LOWER(DataAll!$Y$2:$Y$555),0))</f>
        <v>2.09</v>
      </c>
      <c r="K224" cm="1">
        <f t="array" ref="K224">INDEX(DataAll!$AM$2:$AM$555,MATCH(LOWER(Data!A224),LOWER(DataAll!$AL$2:$AL$555),0))</f>
        <v>9.26</v>
      </c>
      <c r="L224" cm="1">
        <f t="array" ref="L224">INDEX(DataAll!$AJ$2:$AJ$555,MATCH(LOWER(Data!A224),LOWER(DataAll!$AI$2:$AI$555),0))</f>
        <v>15.57</v>
      </c>
      <c r="M224" cm="1">
        <f t="array" ref="M224">INDEX(DataAll!$AP$2:$AP$555,MATCH(LOWER(Data!A224),LOWER(DataAll!$AO$2:$AO$555),0))</f>
        <v>73.95</v>
      </c>
      <c r="N224" cm="1">
        <f t="array" ref="N224">INDEX(DataAll!$AQ$2:$AQ$555,MATCH(LOWER(Data!A224),LOWER(DataAll!$AO$2:$AO$555),0))</f>
        <v>77.69</v>
      </c>
      <c r="O224" cm="1">
        <f t="array" ref="O224">INDEX(DataAll!$AT$2:$AT$555,MATCH(LOWER(Data!A224),LOWER(DataAll!$AS$2:$AS$555),0))</f>
        <v>7.57</v>
      </c>
      <c r="P224" cm="1">
        <f t="array" ref="P224">INDEX(DataAll!$AU$2:$AU$555,MATCH(LOWER(Data!A224),LOWER(DataAll!$AS$2:$AS$555),0))</f>
        <v>7.46</v>
      </c>
      <c r="Q224" cm="1">
        <f t="array" ref="Q224">INDEX(DataAll!$AX$2:$AX$556,MATCH(LOWER(Data!A224),LOWER(DataAll!$AW$2:$AW$556),0))</f>
        <v>22.73</v>
      </c>
      <c r="R224" cm="1">
        <f t="array" ref="R224">INDEX('Longitude and Latitude'!$B$2:$B$579,MATCH(LOWER(Data!A224),LOWER('Longitude and Latitude'!$A$2:$A$579),0))</f>
        <v>-7.3166690000000001</v>
      </c>
      <c r="S224" cm="1">
        <f t="array" ref="S224">INDEX('Longitude and Latitude'!$C$2:$C$579,MATCH(LOWER(Data!A224),LOWER('Longitude and Latitude'!$A$2:$A$579),0))</f>
        <v>110.174797</v>
      </c>
      <c r="T224" t="b">
        <f>IF(EXACT(A224, UPPER(A224)), TRUE, FALSE)</f>
        <v>0</v>
      </c>
    </row>
    <row r="225" spans="1:20" x14ac:dyDescent="0.35">
      <c r="A225" t="s">
        <v>225</v>
      </c>
      <c r="B225">
        <v>94.29</v>
      </c>
      <c r="C225" cm="1">
        <f t="array" ref="C225">INDEX(DataAll!$E$2:$E$555,MATCH(LOWER(Data!A225),LOWER(DataAll!$D$2:$D$555),0))</f>
        <v>77.58</v>
      </c>
      <c r="D225" cm="1">
        <f t="array" ref="D225">INDEX(DataAll!$H$2:$H$579,MATCH(LOWER(Data!A225),LOWER(DataAll!$G$2:$G$555),0))</f>
        <v>0.22900000000000001</v>
      </c>
      <c r="E225" cm="1">
        <f t="array" ref="E225">INDEX(DataAll!$K$2:$K$579,MATCH(LOWER(Data!A225),LOWER(DataAll!$J$2:$J$555),0))</f>
        <v>24.44</v>
      </c>
      <c r="F225" cm="1">
        <f t="array" ref="F225">INDEX(DataAll!$N$2:$N$555,MATCH(LOWER(Data!A225),LOWER(DataAll!$M$2:$M$555),0))</f>
        <v>52.99</v>
      </c>
      <c r="G225" cm="1">
        <f t="array" ref="G225">INDEX(DataAll!$Q$2:$Q$555,MATCH(LOWER(Data!A225),LOWER(DataAll!$P$2:$P$555),0))</f>
        <v>11.9</v>
      </c>
      <c r="H225" cm="1">
        <f t="array" ref="H225">INDEX(DataAll!$T$2:$T$555,MATCH(LOWER(Data!A225),LOWER(DataAll!$S$2:$S$555),0))</f>
        <v>0.21099999999999999</v>
      </c>
      <c r="I225" cm="1">
        <f t="array" ref="I225">INDEX(DataAll!$W$2:$W$555,MATCH(LOWER(Data!A225),LOWER(DataAll!$V$2:$V$555),0))</f>
        <v>34.54</v>
      </c>
      <c r="J225" cm="1">
        <f t="array" ref="J225">INDEX(DataAll!$Z$2:$Z$555,MATCH(LOWER(Data!A225),LOWER(DataAll!$Y$2:$Y$555),0))</f>
        <v>2.0299999999999998</v>
      </c>
      <c r="K225" cm="1">
        <f t="array" ref="K225">INDEX(DataAll!$AM$2:$AM$555,MATCH(LOWER(Data!A225),LOWER(DataAll!$AL$2:$AL$555),0))</f>
        <v>9.39</v>
      </c>
      <c r="L225" cm="1">
        <f t="array" ref="L225">INDEX(DataAll!$AJ$2:$AJ$555,MATCH(LOWER(Data!A225),LOWER(DataAll!$AI$2:$AI$555),0))</f>
        <v>15.68</v>
      </c>
      <c r="M225" cm="1">
        <f t="array" ref="M225">INDEX(DataAll!$AP$2:$AP$555,MATCH(LOWER(Data!A225),LOWER(DataAll!$AO$2:$AO$555),0))</f>
        <v>72.84</v>
      </c>
      <c r="N225" cm="1">
        <f t="array" ref="N225">INDEX(DataAll!$AQ$2:$AQ$555,MATCH(LOWER(Data!A225),LOWER(DataAll!$AO$2:$AO$555),0))</f>
        <v>76.510000000000005</v>
      </c>
      <c r="O225" cm="1">
        <f t="array" ref="O225">INDEX(DataAll!$AT$2:$AT$555,MATCH(LOWER(Data!A225),LOWER(DataAll!$AS$2:$AS$555),0))</f>
        <v>8.14</v>
      </c>
      <c r="P225" cm="1">
        <f t="array" ref="P225">INDEX(DataAll!$AU$2:$AU$555,MATCH(LOWER(Data!A225),LOWER(DataAll!$AS$2:$AS$555),0))</f>
        <v>7.34</v>
      </c>
      <c r="Q225" cm="1">
        <f t="array" ref="Q225">INDEX(DataAll!$AX$2:$AX$556,MATCH(LOWER(Data!A225),LOWER(DataAll!$AW$2:$AW$556),0))</f>
        <v>24.8</v>
      </c>
      <c r="R225" cm="1">
        <f t="array" ref="R225">INDEX('Longitude and Latitude'!$B$2:$B$579,MATCH(LOWER(Data!A225),LOWER('Longitude and Latitude'!$A$2:$A$579),0))</f>
        <v>-6.9196859999999996</v>
      </c>
      <c r="S225" cm="1">
        <f t="array" ref="S225">INDEX('Longitude and Latitude'!$C$2:$C$579,MATCH(LOWER(Data!A225),LOWER('Longitude and Latitude'!$A$2:$A$579),0))</f>
        <v>110.205597</v>
      </c>
      <c r="T225" t="b">
        <f>IF(EXACT(A225, UPPER(A225)), TRUE, FALSE)</f>
        <v>0</v>
      </c>
    </row>
    <row r="226" spans="1:20" x14ac:dyDescent="0.35">
      <c r="A226" t="s">
        <v>226</v>
      </c>
      <c r="B226">
        <v>92.48</v>
      </c>
      <c r="C226" cm="1">
        <f t="array" ref="C226">INDEX(DataAll!$E$2:$E$555,MATCH(LOWER(Data!A226),LOWER(DataAll!$D$2:$D$555),0))</f>
        <v>65.63</v>
      </c>
      <c r="D226" cm="1">
        <f t="array" ref="D226">INDEX(DataAll!$H$2:$H$579,MATCH(LOWER(Data!A226),LOWER(DataAll!$G$2:$G$555),0))</f>
        <v>0.39700000000000002</v>
      </c>
      <c r="E226" cm="1">
        <f t="array" ref="E226">INDEX(DataAll!$K$2:$K$579,MATCH(LOWER(Data!A226),LOWER(DataAll!$J$2:$J$555),0))</f>
        <v>17.78</v>
      </c>
      <c r="F226" cm="1">
        <f t="array" ref="F226">INDEX(DataAll!$N$2:$N$555,MATCH(LOWER(Data!A226),LOWER(DataAll!$M$2:$M$555),0))</f>
        <v>59.02</v>
      </c>
      <c r="G226" cm="1">
        <f t="array" ref="G226">INDEX(DataAll!$Q$2:$Q$555,MATCH(LOWER(Data!A226),LOWER(DataAll!$P$2:$P$555),0))</f>
        <v>9.3800000000000008</v>
      </c>
      <c r="H226" cm="1">
        <f t="array" ref="H226">INDEX(DataAll!$T$2:$T$555,MATCH(LOWER(Data!A226),LOWER(DataAll!$S$2:$S$555),0))</f>
        <v>0.35699999999999998</v>
      </c>
      <c r="I226" cm="1">
        <f t="array" ref="I226">INDEX(DataAll!$W$2:$W$555,MATCH(LOWER(Data!A226),LOWER(DataAll!$V$2:$V$555),0))</f>
        <v>28.36</v>
      </c>
      <c r="J226" cm="1">
        <f t="array" ref="J226">INDEX(DataAll!$Z$2:$Z$555,MATCH(LOWER(Data!A226),LOWER(DataAll!$Y$2:$Y$555),0))</f>
        <v>2.15</v>
      </c>
      <c r="K226" cm="1">
        <f t="array" ref="K226">INDEX(DataAll!$AM$2:$AM$555,MATCH(LOWER(Data!A226),LOWER(DataAll!$AL$2:$AL$555),0))</f>
        <v>8.92</v>
      </c>
      <c r="L226" cm="1">
        <f t="array" ref="L226">INDEX(DataAll!$AJ$2:$AJ$555,MATCH(LOWER(Data!A226),LOWER(DataAll!$AI$2:$AI$555),0))</f>
        <v>13.56</v>
      </c>
      <c r="M226" cm="1">
        <f t="array" ref="M226">INDEX(DataAll!$AP$2:$AP$555,MATCH(LOWER(Data!A226),LOWER(DataAll!$AO$2:$AO$555),0))</f>
        <v>73.12</v>
      </c>
      <c r="N226" cm="1">
        <f t="array" ref="N226">INDEX(DataAll!$AQ$2:$AQ$555,MATCH(LOWER(Data!A226),LOWER(DataAll!$AO$2:$AO$555),0))</f>
        <v>76.77</v>
      </c>
      <c r="O226" cm="1">
        <f t="array" ref="O226">INDEX(DataAll!$AT$2:$AT$555,MATCH(LOWER(Data!A226),LOWER(DataAll!$AS$2:$AS$555),0))</f>
        <v>7.56</v>
      </c>
      <c r="P226" cm="1">
        <f t="array" ref="P226">INDEX(DataAll!$AU$2:$AU$555,MATCH(LOWER(Data!A226),LOWER(DataAll!$AS$2:$AS$555),0))</f>
        <v>6.77</v>
      </c>
      <c r="Q226" cm="1">
        <f t="array" ref="Q226">INDEX(DataAll!$AX$2:$AX$556,MATCH(LOWER(Data!A226),LOWER(DataAll!$AW$2:$AW$556),0))</f>
        <v>18.940000000000001</v>
      </c>
      <c r="R226" cm="1">
        <f t="array" ref="R226">INDEX('Longitude and Latitude'!$B$2:$B$579,MATCH(LOWER(Data!A226),LOWER('Longitude and Latitude'!$A$2:$A$579),0))</f>
        <v>-6.8941110999999999</v>
      </c>
      <c r="S226" cm="1">
        <f t="array" ref="S226">INDEX('Longitude and Latitude'!$C$2:$C$579,MATCH(LOWER(Data!A226),LOWER('Longitude and Latitude'!$A$2:$A$579),0))</f>
        <v>109.7234519</v>
      </c>
      <c r="T226" t="b">
        <f>IF(EXACT(A226, UPPER(A226)), TRUE, FALSE)</f>
        <v>0</v>
      </c>
    </row>
    <row r="227" spans="1:20" x14ac:dyDescent="0.35">
      <c r="A227" t="s">
        <v>227</v>
      </c>
      <c r="B227">
        <v>92.83</v>
      </c>
      <c r="C227" cm="1">
        <f t="array" ref="C227">INDEX(DataAll!$E$2:$E$555,MATCH(LOWER(Data!A227),LOWER(DataAll!$D$2:$D$555),0))</f>
        <v>69.78</v>
      </c>
      <c r="D227" cm="1">
        <f t="array" ref="D227">INDEX(DataAll!$H$2:$H$579,MATCH(LOWER(Data!A227),LOWER(DataAll!$G$2:$G$555),0))</f>
        <v>0.35099999999999998</v>
      </c>
      <c r="E227" cm="1">
        <f t="array" ref="E227">INDEX(DataAll!$K$2:$K$579,MATCH(LOWER(Data!A227),LOWER(DataAll!$J$2:$J$555),0))</f>
        <v>25</v>
      </c>
      <c r="F227" cm="1">
        <f t="array" ref="F227">INDEX(DataAll!$N$2:$N$555,MATCH(LOWER(Data!A227),LOWER(DataAll!$M$2:$M$555),0))</f>
        <v>54.99</v>
      </c>
      <c r="G227" cm="1">
        <f t="array" ref="G227">INDEX(DataAll!$Q$2:$Q$555,MATCH(LOWER(Data!A227),LOWER(DataAll!$P$2:$P$555),0))</f>
        <v>6.73</v>
      </c>
      <c r="H227" cm="1">
        <f t="array" ref="H227">INDEX(DataAll!$T$2:$T$555,MATCH(LOWER(Data!A227),LOWER(DataAll!$S$2:$S$555),0))</f>
        <v>0.27700000000000002</v>
      </c>
      <c r="I227" cm="1">
        <f t="array" ref="I227">INDEX(DataAll!$W$2:$W$555,MATCH(LOWER(Data!A227),LOWER(DataAll!$V$2:$V$555),0))</f>
        <v>25.82</v>
      </c>
      <c r="J227" cm="1">
        <f t="array" ref="J227">INDEX(DataAll!$Z$2:$Z$555,MATCH(LOWER(Data!A227),LOWER(DataAll!$Y$2:$Y$555),0))</f>
        <v>2.25</v>
      </c>
      <c r="K227" cm="1">
        <f t="array" ref="K227">INDEX(DataAll!$AM$2:$AM$555,MATCH(LOWER(Data!A227),LOWER(DataAll!$AL$2:$AL$555),0))</f>
        <v>9.67</v>
      </c>
      <c r="L227" cm="1">
        <f t="array" ref="L227">INDEX(DataAll!$AJ$2:$AJ$555,MATCH(LOWER(Data!A227),LOWER(DataAll!$AI$2:$AI$555),0))</f>
        <v>18.079999999999998</v>
      </c>
      <c r="M227" cm="1">
        <f t="array" ref="M227">INDEX(DataAll!$AP$2:$AP$555,MATCH(LOWER(Data!A227),LOWER(DataAll!$AO$2:$AO$555),0))</f>
        <v>72.11</v>
      </c>
      <c r="N227" cm="1">
        <f t="array" ref="N227">INDEX(DataAll!$AQ$2:$AQ$555,MATCH(LOWER(Data!A227),LOWER(DataAll!$AO$2:$AO$555),0))</f>
        <v>75.84</v>
      </c>
      <c r="O227" cm="1">
        <f t="array" ref="O227">INDEX(DataAll!$AT$2:$AT$555,MATCH(LOWER(Data!A227),LOWER(DataAll!$AS$2:$AS$555),0))</f>
        <v>7.83</v>
      </c>
      <c r="P227" cm="1">
        <f t="array" ref="P227">INDEX(DataAll!$AU$2:$AU$555,MATCH(LOWER(Data!A227),LOWER(DataAll!$AS$2:$AS$555),0))</f>
        <v>7.15</v>
      </c>
      <c r="Q227" cm="1">
        <f t="array" ref="Q227">INDEX(DataAll!$AX$2:$AX$556,MATCH(LOWER(Data!A227),LOWER(DataAll!$AW$2:$AW$556),0))</f>
        <v>22.31</v>
      </c>
      <c r="R227" cm="1">
        <f t="array" ref="R227">INDEX('Longitude and Latitude'!$B$2:$B$579,MATCH(LOWER(Data!A227),LOWER('Longitude and Latitude'!$A$2:$A$579),0))</f>
        <v>-6.8828870000000002</v>
      </c>
      <c r="S227" cm="1">
        <f t="array" ref="S227">INDEX('Longitude and Latitude'!$C$2:$C$579,MATCH(LOWER(Data!A227),LOWER('Longitude and Latitude'!$A$2:$A$579),0))</f>
        <v>109.66999800000001</v>
      </c>
      <c r="T227" t="b">
        <f>IF(EXACT(A227, UPPER(A227)), TRUE, FALSE)</f>
        <v>0</v>
      </c>
    </row>
    <row r="228" spans="1:20" x14ac:dyDescent="0.35">
      <c r="A228" t="s">
        <v>228</v>
      </c>
      <c r="B228">
        <v>87.14</v>
      </c>
      <c r="C228" cm="1">
        <f t="array" ref="C228">INDEX(DataAll!$E$2:$E$555,MATCH(LOWER(Data!A228),LOWER(DataAll!$D$2:$D$555),0))</f>
        <v>81.48</v>
      </c>
      <c r="D228" cm="1">
        <f t="array" ref="D228">INDEX(DataAll!$H$2:$H$579,MATCH(LOWER(Data!A228),LOWER(DataAll!$G$2:$G$555),0))</f>
        <v>0.378</v>
      </c>
      <c r="E228" cm="1">
        <f t="array" ref="E228">INDEX(DataAll!$K$2:$K$579,MATCH(LOWER(Data!A228),LOWER(DataAll!$J$2:$J$555),0))</f>
        <v>32</v>
      </c>
      <c r="F228" cm="1">
        <f t="array" ref="F228">INDEX(DataAll!$N$2:$N$555,MATCH(LOWER(Data!A228),LOWER(DataAll!$M$2:$M$555),0))</f>
        <v>44.82</v>
      </c>
      <c r="G228" cm="1">
        <f t="array" ref="G228">INDEX(DataAll!$Q$2:$Q$555,MATCH(LOWER(Data!A228),LOWER(DataAll!$P$2:$P$555),0))</f>
        <v>9.4700000000000006</v>
      </c>
      <c r="H228" cm="1">
        <f t="array" ref="H228">INDEX(DataAll!$T$2:$T$555,MATCH(LOWER(Data!A228),LOWER(DataAll!$S$2:$S$555),0))</f>
        <v>0.34499999999999997</v>
      </c>
      <c r="I228" cm="1">
        <f t="array" ref="I228">INDEX(DataAll!$W$2:$W$555,MATCH(LOWER(Data!A228),LOWER(DataAll!$V$2:$V$555),0))</f>
        <v>34.770000000000003</v>
      </c>
      <c r="J228" cm="1">
        <f t="array" ref="J228">INDEX(DataAll!$Z$2:$Z$555,MATCH(LOWER(Data!A228),LOWER(DataAll!$Y$2:$Y$555),0))</f>
        <v>2.23</v>
      </c>
      <c r="K228" cm="1">
        <f t="array" ref="K228">INDEX(DataAll!$AM$2:$AM$555,MATCH(LOWER(Data!A228),LOWER(DataAll!$AL$2:$AL$555),0))</f>
        <v>15.03</v>
      </c>
      <c r="L228" cm="1">
        <f t="array" ref="L228">INDEX(DataAll!$AJ$2:$AJ$555,MATCH(LOWER(Data!A228),LOWER(DataAll!$AI$2:$AI$555),0))</f>
        <v>18.61</v>
      </c>
      <c r="M228" cm="1">
        <f t="array" ref="M228">INDEX(DataAll!$AP$2:$AP$555,MATCH(LOWER(Data!A228),LOWER(DataAll!$AO$2:$AO$555),0))</f>
        <v>72.09</v>
      </c>
      <c r="N228" cm="1">
        <f t="array" ref="N228">INDEX(DataAll!$AQ$2:$AQ$555,MATCH(LOWER(Data!A228),LOWER(DataAll!$AO$2:$AO$555),0))</f>
        <v>75.819999999999993</v>
      </c>
      <c r="O228" cm="1">
        <f t="array" ref="O228">INDEX(DataAll!$AT$2:$AT$555,MATCH(LOWER(Data!A228),LOWER(DataAll!$AS$2:$AS$555),0))</f>
        <v>7.02</v>
      </c>
      <c r="P228" cm="1">
        <f t="array" ref="P228">INDEX(DataAll!$AU$2:$AU$555,MATCH(LOWER(Data!A228),LOWER(DataAll!$AS$2:$AS$555),0))</f>
        <v>6.2</v>
      </c>
      <c r="Q228" cm="1">
        <f t="array" ref="Q228">INDEX(DataAll!$AX$2:$AX$556,MATCH(LOWER(Data!A228),LOWER(DataAll!$AW$2:$AW$556),0))</f>
        <v>16.28</v>
      </c>
      <c r="R228" cm="1">
        <f t="array" ref="R228">INDEX('Longitude and Latitude'!$B$2:$B$579,MATCH(LOWER(Data!A228),LOWER('Longitude and Latitude'!$A$2:$A$579),0))</f>
        <v>-6.8842340000000002</v>
      </c>
      <c r="S228" cm="1">
        <f t="array" ref="S228">INDEX('Longitude and Latitude'!$C$2:$C$579,MATCH(LOWER(Data!A228),LOWER('Longitude and Latitude'!$A$2:$A$579),0))</f>
        <v>109.37799800000001</v>
      </c>
      <c r="T228" t="b">
        <f>IF(EXACT(A228, UPPER(A228)), TRUE, FALSE)</f>
        <v>0</v>
      </c>
    </row>
    <row r="229" spans="1:20" x14ac:dyDescent="0.35">
      <c r="A229" t="s">
        <v>229</v>
      </c>
      <c r="B229">
        <v>88.64</v>
      </c>
      <c r="C229" cm="1">
        <f t="array" ref="C229">INDEX(DataAll!$E$2:$E$555,MATCH(LOWER(Data!A229),LOWER(DataAll!$D$2:$D$555),0))</f>
        <v>73.430000000000007</v>
      </c>
      <c r="D229" cm="1">
        <f t="array" ref="D229">INDEX(DataAll!$H$2:$H$579,MATCH(LOWER(Data!A229),LOWER(DataAll!$G$2:$G$555),0))</f>
        <v>0.184</v>
      </c>
      <c r="E229" cm="1">
        <f t="array" ref="E229">INDEX(DataAll!$K$2:$K$579,MATCH(LOWER(Data!A229),LOWER(DataAll!$J$2:$J$555),0))</f>
        <v>24</v>
      </c>
      <c r="F229" cm="1">
        <f t="array" ref="F229">INDEX(DataAll!$N$2:$N$555,MATCH(LOWER(Data!A229),LOWER(DataAll!$M$2:$M$555),0))</f>
        <v>56.96</v>
      </c>
      <c r="G229" cm="1">
        <f t="array" ref="G229">INDEX(DataAll!$Q$2:$Q$555,MATCH(LOWER(Data!A229),LOWER(DataAll!$P$2:$P$555),0))</f>
        <v>12.25</v>
      </c>
      <c r="H229" cm="1">
        <f t="array" ref="H229">INDEX(DataAll!$T$2:$T$555,MATCH(LOWER(Data!A229),LOWER(DataAll!$S$2:$S$555),0))</f>
        <v>0.189</v>
      </c>
      <c r="I229" cm="1">
        <f t="array" ref="I229">INDEX(DataAll!$W$2:$W$555,MATCH(LOWER(Data!A229),LOWER(DataAll!$V$2:$V$555),0))</f>
        <v>30.01</v>
      </c>
      <c r="J229" cm="1">
        <f t="array" ref="J229">INDEX(DataAll!$Z$2:$Z$555,MATCH(LOWER(Data!A229),LOWER(DataAll!$Y$2:$Y$555),0))</f>
        <v>2.21</v>
      </c>
      <c r="K229" cm="1">
        <f t="array" ref="K229">INDEX(DataAll!$AM$2:$AM$555,MATCH(LOWER(Data!A229),LOWER(DataAll!$AL$2:$AL$555),0))</f>
        <v>7.3</v>
      </c>
      <c r="L229" cm="1">
        <f t="array" ref="L229">INDEX(DataAll!$AJ$2:$AJ$555,MATCH(LOWER(Data!A229),LOWER(DataAll!$AI$2:$AI$555),0))</f>
        <v>18.38</v>
      </c>
      <c r="M229" cm="1">
        <f t="array" ref="M229">INDEX(DataAll!$AP$2:$AP$555,MATCH(LOWER(Data!A229),LOWER(DataAll!$AO$2:$AO$555),0))</f>
        <v>70.05</v>
      </c>
      <c r="N229" cm="1">
        <f t="array" ref="N229">INDEX(DataAll!$AQ$2:$AQ$555,MATCH(LOWER(Data!A229),LOWER(DataAll!$AO$2:$AO$555),0))</f>
        <v>74.05</v>
      </c>
      <c r="O229" cm="1">
        <f t="array" ref="O229">INDEX(DataAll!$AT$2:$AT$555,MATCH(LOWER(Data!A229),LOWER(DataAll!$AS$2:$AS$555),0))</f>
        <v>7.82</v>
      </c>
      <c r="P229" cm="1">
        <f t="array" ref="P229">INDEX(DataAll!$AU$2:$AU$555,MATCH(LOWER(Data!A229),LOWER(DataAll!$AS$2:$AS$555),0))</f>
        <v>6.88</v>
      </c>
      <c r="Q229" cm="1">
        <f t="array" ref="Q229">INDEX(DataAll!$AX$2:$AX$556,MATCH(LOWER(Data!A229),LOWER(DataAll!$AW$2:$AW$556),0))</f>
        <v>22.54</v>
      </c>
      <c r="R229" cm="1">
        <f t="array" ref="R229">INDEX('Longitude and Latitude'!$B$2:$B$579,MATCH(LOWER(Data!A229),LOWER('Longitude and Latitude'!$A$2:$A$579),0))</f>
        <v>-6.8666666999999997</v>
      </c>
      <c r="S229" cm="1">
        <f t="array" ref="S229">INDEX('Longitude and Latitude'!$C$2:$C$579,MATCH(LOWER(Data!A229),LOWER('Longitude and Latitude'!$A$2:$A$579),0))</f>
        <v>109.1333333</v>
      </c>
      <c r="T229" t="b">
        <f>IF(EXACT(A229, UPPER(A229)), TRUE, FALSE)</f>
        <v>0</v>
      </c>
    </row>
    <row r="230" spans="1:20" x14ac:dyDescent="0.35">
      <c r="A230" t="s">
        <v>230</v>
      </c>
      <c r="B230">
        <v>87.13</v>
      </c>
      <c r="C230" cm="1">
        <f t="array" ref="C230">INDEX(DataAll!$E$2:$E$555,MATCH(LOWER(Data!A230),LOWER(DataAll!$D$2:$D$555),0))</f>
        <v>62.14</v>
      </c>
      <c r="D230" cm="1">
        <f t="array" ref="D230">INDEX(DataAll!$H$2:$H$579,MATCH(LOWER(Data!A230),LOWER(DataAll!$G$2:$G$555),0))</f>
        <v>0.435</v>
      </c>
      <c r="E230" cm="1">
        <f t="array" ref="E230">INDEX(DataAll!$K$2:$K$579,MATCH(LOWER(Data!A230),LOWER(DataAll!$J$2:$J$555),0))</f>
        <v>16</v>
      </c>
      <c r="F230" cm="1">
        <f t="array" ref="F230">INDEX(DataAll!$N$2:$N$555,MATCH(LOWER(Data!A230),LOWER(DataAll!$M$2:$M$555),0))</f>
        <v>44.99</v>
      </c>
      <c r="G230" cm="1">
        <f t="array" ref="G230">INDEX(DataAll!$Q$2:$Q$555,MATCH(LOWER(Data!A230),LOWER(DataAll!$P$2:$P$555),0))</f>
        <v>9.3699999999999992</v>
      </c>
      <c r="H230" cm="1">
        <f t="array" ref="H230">INDEX(DataAll!$T$2:$T$555,MATCH(LOWER(Data!A230),LOWER(DataAll!$S$2:$S$555),0))</f>
        <v>0.33600000000000002</v>
      </c>
      <c r="I230" cm="1">
        <f t="array" ref="I230">INDEX(DataAll!$W$2:$W$555,MATCH(LOWER(Data!A230),LOWER(DataAll!$V$2:$V$555),0))</f>
        <v>25.17</v>
      </c>
      <c r="J230" cm="1">
        <f t="array" ref="J230">INDEX(DataAll!$Z$2:$Z$555,MATCH(LOWER(Data!A230),LOWER(DataAll!$Y$2:$Y$555),0))</f>
        <v>2.12</v>
      </c>
      <c r="K230" cm="1">
        <f t="array" ref="K230">INDEX(DataAll!$AM$2:$AM$555,MATCH(LOWER(Data!A230),LOWER(DataAll!$AL$2:$AL$555),0))</f>
        <v>15.78</v>
      </c>
      <c r="L230" cm="1">
        <f t="array" ref="L230">INDEX(DataAll!$AJ$2:$AJ$555,MATCH(LOWER(Data!A230),LOWER(DataAll!$AI$2:$AI$555),0))</f>
        <v>19.61</v>
      </c>
      <c r="M230" cm="1">
        <f t="array" ref="M230">INDEX(DataAll!$AP$2:$AP$555,MATCH(LOWER(Data!A230),LOWER(DataAll!$AO$2:$AO$555),0))</f>
        <v>68.03</v>
      </c>
      <c r="N230" cm="1">
        <f t="array" ref="N230">INDEX(DataAll!$AQ$2:$AQ$555,MATCH(LOWER(Data!A230),LOWER(DataAll!$AO$2:$AO$555),0))</f>
        <v>71.98</v>
      </c>
      <c r="O230" cm="1">
        <f t="array" ref="O230">INDEX(DataAll!$AT$2:$AT$555,MATCH(LOWER(Data!A230),LOWER(DataAll!$AS$2:$AS$555),0))</f>
        <v>6.92</v>
      </c>
      <c r="P230" cm="1">
        <f t="array" ref="P230">INDEX(DataAll!$AU$2:$AU$555,MATCH(LOWER(Data!A230),LOWER(DataAll!$AS$2:$AS$555),0))</f>
        <v>5.9</v>
      </c>
      <c r="Q230" cm="1">
        <f t="array" ref="Q230">INDEX(DataAll!$AX$2:$AX$556,MATCH(LOWER(Data!A230),LOWER(DataAll!$AW$2:$AW$556),0))</f>
        <v>18.23</v>
      </c>
      <c r="R230" cm="1">
        <f t="array" ref="R230">INDEX('Longitude and Latitude'!$B$2:$B$579,MATCH(LOWER(Data!A230),LOWER('Longitude and Latitude'!$A$2:$A$579),0))</f>
        <v>-6.8833333000000003</v>
      </c>
      <c r="S230" cm="1">
        <f t="array" ref="S230">INDEX('Longitude and Latitude'!$C$2:$C$579,MATCH(LOWER(Data!A230),LOWER('Longitude and Latitude'!$A$2:$A$579),0))</f>
        <v>109.05</v>
      </c>
      <c r="T230" t="b">
        <f>IF(EXACT(A230, UPPER(A230)), TRUE, FALSE)</f>
        <v>0</v>
      </c>
    </row>
    <row r="231" spans="1:20" x14ac:dyDescent="0.35">
      <c r="A231" t="s">
        <v>231</v>
      </c>
      <c r="B231">
        <v>96.43</v>
      </c>
      <c r="C231" cm="1">
        <f t="array" ref="C231">INDEX(DataAll!$E$2:$E$555,MATCH(LOWER(Data!A231),LOWER(DataAll!$D$2:$D$555),0))</f>
        <v>79.510000000000005</v>
      </c>
      <c r="D231" cm="1">
        <f t="array" ref="D231">INDEX(DataAll!$H$2:$H$579,MATCH(LOWER(Data!A231),LOWER(DataAll!$G$2:$G$555),0))</f>
        <v>0.121</v>
      </c>
      <c r="E231" cm="1">
        <f t="array" ref="E231">INDEX(DataAll!$K$2:$K$579,MATCH(LOWER(Data!A231),LOWER(DataAll!$J$2:$J$555),0))</f>
        <v>24</v>
      </c>
      <c r="F231" cm="1">
        <f t="array" ref="F231">INDEX(DataAll!$N$2:$N$555,MATCH(LOWER(Data!A231),LOWER(DataAll!$M$2:$M$555),0))</f>
        <v>59.55</v>
      </c>
      <c r="G231" cm="1">
        <f t="array" ref="G231">INDEX(DataAll!$Q$2:$Q$555,MATCH(LOWER(Data!A231),LOWER(DataAll!$P$2:$P$555),0))</f>
        <v>10.34</v>
      </c>
      <c r="H231" cm="1">
        <f t="array" ref="H231">INDEX(DataAll!$T$2:$T$555,MATCH(LOWER(Data!A231),LOWER(DataAll!$S$2:$S$555),0))</f>
        <v>0.108</v>
      </c>
      <c r="I231" cm="1">
        <f t="array" ref="I231">INDEX(DataAll!$W$2:$W$555,MATCH(LOWER(Data!A231),LOWER(DataAll!$V$2:$V$555),0))</f>
        <v>42.42</v>
      </c>
      <c r="J231" cm="1">
        <f t="array" ref="J231">INDEX(DataAll!$Z$2:$Z$555,MATCH(LOWER(Data!A231),LOWER(DataAll!$Y$2:$Y$555),0))</f>
        <v>1.79</v>
      </c>
      <c r="K231" cm="1">
        <f t="array" ref="K231">INDEX(DataAll!$AM$2:$AM$555,MATCH(LOWER(Data!A231),LOWER(DataAll!$AL$2:$AL$555),0))</f>
        <v>6.11</v>
      </c>
      <c r="L231" cm="1">
        <f t="array" ref="L231">INDEX(DataAll!$AJ$2:$AJ$555,MATCH(LOWER(Data!A231),LOWER(DataAll!$AI$2:$AI$555),0))</f>
        <v>12.66</v>
      </c>
      <c r="M231" cm="1">
        <f t="array" ref="M231">INDEX(DataAll!$AP$2:$AP$555,MATCH(LOWER(Data!A231),LOWER(DataAll!$AO$2:$AO$555),0))</f>
        <v>75.37</v>
      </c>
      <c r="N231" cm="1">
        <f t="array" ref="N231">INDEX(DataAll!$AQ$2:$AQ$555,MATCH(LOWER(Data!A231),LOWER(DataAll!$AO$2:$AO$555),0))</f>
        <v>79.14</v>
      </c>
      <c r="O231" cm="1">
        <f t="array" ref="O231">INDEX(DataAll!$AT$2:$AT$555,MATCH(LOWER(Data!A231),LOWER(DataAll!$AS$2:$AS$555),0))</f>
        <v>11.43</v>
      </c>
      <c r="P231" cm="1">
        <f t="array" ref="P231">INDEX(DataAll!$AU$2:$AU$555,MATCH(LOWER(Data!A231),LOWER(DataAll!$AS$2:$AS$555),0))</f>
        <v>11.06</v>
      </c>
      <c r="Q231" cm="1">
        <f t="array" ref="Q231">INDEX(DataAll!$AX$2:$AX$556,MATCH(LOWER(Data!A231),LOWER(DataAll!$AW$2:$AW$556),0))</f>
        <v>62.91</v>
      </c>
      <c r="R231" cm="1">
        <f t="array" ref="R231">INDEX('Longitude and Latitude'!$B$2:$B$579,MATCH(LOWER(Data!A231),LOWER('Longitude and Latitude'!$A$2:$A$579),0))</f>
        <v>-7.4812529999999997</v>
      </c>
      <c r="S231" cm="1">
        <f t="array" ref="S231">INDEX('Longitude and Latitude'!$C$2:$C$579,MATCH(LOWER(Data!A231),LOWER('Longitude and Latitude'!$A$2:$A$579),0))</f>
        <v>110.21379899999999</v>
      </c>
      <c r="T231" t="b">
        <f>IF(EXACT(A231, UPPER(A231)), TRUE, FALSE)</f>
        <v>0</v>
      </c>
    </row>
    <row r="232" spans="1:20" x14ac:dyDescent="0.35">
      <c r="A232" t="s">
        <v>232</v>
      </c>
      <c r="B232">
        <v>97.15</v>
      </c>
      <c r="C232" cm="1">
        <f t="array" ref="C232">INDEX(DataAll!$E$2:$E$555,MATCH(LOWER(Data!A232),LOWER(DataAll!$D$2:$D$555),0))</f>
        <v>81.92</v>
      </c>
      <c r="D232" cm="1">
        <f t="array" ref="D232">INDEX(DataAll!$H$2:$H$579,MATCH(LOWER(Data!A232),LOWER(DataAll!$G$2:$G$555),0))</f>
        <v>0.159</v>
      </c>
      <c r="E232" cm="1">
        <f t="array" ref="E232">INDEX(DataAll!$K$2:$K$579,MATCH(LOWER(Data!A232),LOWER(DataAll!$J$2:$J$555),0))</f>
        <v>24.44</v>
      </c>
      <c r="F232" cm="1">
        <f t="array" ref="F232">INDEX(DataAll!$N$2:$N$555,MATCH(LOWER(Data!A232),LOWER(DataAll!$M$2:$M$555),0))</f>
        <v>46.57</v>
      </c>
      <c r="G232" cm="1">
        <f t="array" ref="G232">INDEX(DataAll!$Q$2:$Q$555,MATCH(LOWER(Data!A232),LOWER(DataAll!$P$2:$P$555),0))</f>
        <v>7.92</v>
      </c>
      <c r="H232" cm="1">
        <f t="array" ref="H232">INDEX(DataAll!$T$2:$T$555,MATCH(LOWER(Data!A232),LOWER(DataAll!$S$2:$S$555),0))</f>
        <v>0.17699999999999999</v>
      </c>
      <c r="I232" cm="1">
        <f t="array" ref="I232">INDEX(DataAll!$W$2:$W$555,MATCH(LOWER(Data!A232),LOWER(DataAll!$V$2:$V$555),0))</f>
        <v>45.55</v>
      </c>
      <c r="J232" cm="1">
        <f t="array" ref="J232">INDEX(DataAll!$Z$2:$Z$555,MATCH(LOWER(Data!A232),LOWER(DataAll!$Y$2:$Y$555),0))</f>
        <v>1.79</v>
      </c>
      <c r="K232" cm="1">
        <f t="array" ref="K232">INDEX(DataAll!$AM$2:$AM$555,MATCH(LOWER(Data!A232),LOWER(DataAll!$AL$2:$AL$555),0))</f>
        <v>8.44</v>
      </c>
      <c r="L232" cm="1">
        <f t="array" ref="L232">INDEX(DataAll!$AJ$2:$AJ$555,MATCH(LOWER(Data!A232),LOWER(DataAll!$AI$2:$AI$555),0))</f>
        <v>12.51</v>
      </c>
      <c r="M232" cm="1">
        <f t="array" ref="M232">INDEX(DataAll!$AP$2:$AP$555,MATCH(LOWER(Data!A232),LOWER(DataAll!$AO$2:$AO$555),0))</f>
        <v>75.77</v>
      </c>
      <c r="N232" cm="1">
        <f t="array" ref="N232">INDEX(DataAll!$AQ$2:$AQ$555,MATCH(LOWER(Data!A232),LOWER(DataAll!$AO$2:$AO$555),0))</f>
        <v>79.55</v>
      </c>
      <c r="O232" cm="1">
        <f t="array" ref="O232">INDEX(DataAll!$AT$2:$AT$555,MATCH(LOWER(Data!A232),LOWER(DataAll!$AS$2:$AS$555),0))</f>
        <v>11.45</v>
      </c>
      <c r="P232" cm="1">
        <f t="array" ref="P232">INDEX(DataAll!$AU$2:$AU$555,MATCH(LOWER(Data!A232),LOWER(DataAll!$AS$2:$AS$555),0))</f>
        <v>10.81</v>
      </c>
      <c r="Q232" cm="1">
        <f t="array" ref="Q232">INDEX(DataAll!$AX$2:$AX$556,MATCH(LOWER(Data!A232),LOWER(DataAll!$AW$2:$AW$556),0))</f>
        <v>60.13</v>
      </c>
      <c r="R232" cm="1">
        <f t="array" ref="R232">INDEX('Longitude and Latitude'!$B$2:$B$579,MATCH(LOWER(Data!A232),LOWER('Longitude and Latitude'!$A$2:$A$579),0))</f>
        <v>-7.5666666999999999</v>
      </c>
      <c r="S232" cm="1">
        <f t="array" ref="S232">INDEX('Longitude and Latitude'!$C$2:$C$579,MATCH(LOWER(Data!A232),LOWER('Longitude and Latitude'!$A$2:$A$579),0))</f>
        <v>110.8166667</v>
      </c>
      <c r="T232" t="b">
        <f>IF(EXACT(A232, UPPER(A232)), TRUE, FALSE)</f>
        <v>0</v>
      </c>
    </row>
    <row r="233" spans="1:20" x14ac:dyDescent="0.35">
      <c r="A233" t="s">
        <v>233</v>
      </c>
      <c r="B233">
        <v>95.45</v>
      </c>
      <c r="C233" cm="1">
        <f t="array" ref="C233">INDEX(DataAll!$E$2:$E$555,MATCH(LOWER(Data!A233),LOWER(DataAll!$D$2:$D$555),0))</f>
        <v>79.48</v>
      </c>
      <c r="D233" cm="1">
        <f t="array" ref="D233">INDEX(DataAll!$H$2:$H$579,MATCH(LOWER(Data!A233),LOWER(DataAll!$G$2:$G$555),0))</f>
        <v>0.14299999999999999</v>
      </c>
      <c r="E233" cm="1">
        <f t="array" ref="E233">INDEX(DataAll!$K$2:$K$579,MATCH(LOWER(Data!A233),LOWER(DataAll!$J$2:$J$555),0))</f>
        <v>24</v>
      </c>
      <c r="F233" cm="1">
        <f t="array" ref="F233">INDEX(DataAll!$N$2:$N$555,MATCH(LOWER(Data!A233),LOWER(DataAll!$M$2:$M$555),0))</f>
        <v>54.89</v>
      </c>
      <c r="G233" cm="1">
        <f t="array" ref="G233">INDEX(DataAll!$Q$2:$Q$555,MATCH(LOWER(Data!A233),LOWER(DataAll!$P$2:$P$555),0))</f>
        <v>5.83</v>
      </c>
      <c r="H233" cm="1">
        <f t="array" ref="H233">INDEX(DataAll!$T$2:$T$555,MATCH(LOWER(Data!A233),LOWER(DataAll!$S$2:$S$555),0))</f>
        <v>0.14499999999999999</v>
      </c>
      <c r="I233" cm="1">
        <f t="array" ref="I233">INDEX(DataAll!$W$2:$W$555,MATCH(LOWER(Data!A233),LOWER(DataAll!$V$2:$V$555),0))</f>
        <v>41.65</v>
      </c>
      <c r="J233" cm="1">
        <f t="array" ref="J233">INDEX(DataAll!$Z$2:$Z$555,MATCH(LOWER(Data!A233),LOWER(DataAll!$Y$2:$Y$555),0))</f>
        <v>2.06</v>
      </c>
      <c r="K233" cm="1">
        <f t="array" ref="K233">INDEX(DataAll!$AM$2:$AM$555,MATCH(LOWER(Data!A233),LOWER(DataAll!$AL$2:$AL$555),0))</f>
        <v>4.66</v>
      </c>
      <c r="L233" cm="1">
        <f t="array" ref="L233">INDEX(DataAll!$AJ$2:$AJ$555,MATCH(LOWER(Data!A233),LOWER(DataAll!$AI$2:$AI$555),0))</f>
        <v>12.57</v>
      </c>
      <c r="M233" cm="1">
        <f t="array" ref="M233">INDEX(DataAll!$AP$2:$AP$555,MATCH(LOWER(Data!A233),LOWER(DataAll!$AO$2:$AO$555),0))</f>
        <v>76.069999999999993</v>
      </c>
      <c r="N233" cm="1">
        <f t="array" ref="N233">INDEX(DataAll!$AQ$2:$AQ$555,MATCH(LOWER(Data!A233),LOWER(DataAll!$AO$2:$AO$555),0))</f>
        <v>79.849999999999994</v>
      </c>
      <c r="O233" cm="1">
        <f t="array" ref="O233">INDEX(DataAll!$AT$2:$AT$555,MATCH(LOWER(Data!A233),LOWER(DataAll!$AS$2:$AS$555),0))</f>
        <v>11.67</v>
      </c>
      <c r="P233" cm="1">
        <f t="array" ref="P233">INDEX(DataAll!$AU$2:$AU$555,MATCH(LOWER(Data!A233),LOWER(DataAll!$AS$2:$AS$555),0))</f>
        <v>10.94</v>
      </c>
      <c r="Q233" cm="1">
        <f t="array" ref="Q233">INDEX(DataAll!$AX$2:$AX$556,MATCH(LOWER(Data!A233),LOWER(DataAll!$AW$2:$AW$556),0))</f>
        <v>60.57</v>
      </c>
      <c r="R233" cm="1">
        <f t="array" ref="R233">INDEX('Longitude and Latitude'!$B$2:$B$579,MATCH(LOWER(Data!A233),LOWER('Longitude and Latitude'!$A$2:$A$579),0))</f>
        <v>-7.3023280000000002</v>
      </c>
      <c r="S233" cm="1">
        <f t="array" ref="S233">INDEX('Longitude and Latitude'!$C$2:$C$579,MATCH(LOWER(Data!A233),LOWER('Longitude and Latitude'!$A$2:$A$579),0))</f>
        <v>110.4729</v>
      </c>
      <c r="T233" t="b">
        <f>IF(EXACT(A233, UPPER(A233)), TRUE, FALSE)</f>
        <v>0</v>
      </c>
    </row>
    <row r="234" spans="1:20" x14ac:dyDescent="0.35">
      <c r="A234" t="s">
        <v>234</v>
      </c>
      <c r="B234">
        <v>95.96</v>
      </c>
      <c r="C234" cm="1">
        <f t="array" ref="C234">INDEX(DataAll!$E$2:$E$555,MATCH(LOWER(Data!A234),LOWER(DataAll!$D$2:$D$555),0))</f>
        <v>73.86</v>
      </c>
      <c r="D234" cm="1">
        <f t="array" ref="D234">INDEX(DataAll!$H$2:$H$579,MATCH(LOWER(Data!A234),LOWER(DataAll!$G$2:$G$555),0))</f>
        <v>0.16800000000000001</v>
      </c>
      <c r="E234" cm="1">
        <f t="array" ref="E234">INDEX(DataAll!$K$2:$K$579,MATCH(LOWER(Data!A234),LOWER(DataAll!$J$2:$J$555),0))</f>
        <v>18</v>
      </c>
      <c r="F234" cm="1">
        <f t="array" ref="F234">INDEX(DataAll!$N$2:$N$555,MATCH(LOWER(Data!A234),LOWER(DataAll!$M$2:$M$555),0))</f>
        <v>48.76</v>
      </c>
      <c r="G234" cm="1">
        <f t="array" ref="G234">INDEX(DataAll!$Q$2:$Q$555,MATCH(LOWER(Data!A234),LOWER(DataAll!$P$2:$P$555),0))</f>
        <v>6.81</v>
      </c>
      <c r="H234" cm="1">
        <f t="array" ref="H234">INDEX(DataAll!$T$2:$T$555,MATCH(LOWER(Data!A234),LOWER(DataAll!$S$2:$S$555),0))</f>
        <v>0.15</v>
      </c>
      <c r="I234" cm="1">
        <f t="array" ref="I234">INDEX(DataAll!$W$2:$W$555,MATCH(LOWER(Data!A234),LOWER(DataAll!$V$2:$V$555),0))</f>
        <v>37.93</v>
      </c>
      <c r="J234" cm="1">
        <f t="array" ref="J234">INDEX(DataAll!$Z$2:$Z$555,MATCH(LOWER(Data!A234),LOWER(DataAll!$Y$2:$Y$555),0))</f>
        <v>1.79</v>
      </c>
      <c r="K234" cm="1">
        <f t="array" ref="K234">INDEX(DataAll!$AM$2:$AM$555,MATCH(LOWER(Data!A234),LOWER(DataAll!$AL$2:$AL$555),0))</f>
        <v>4.2300000000000004</v>
      </c>
      <c r="L234" cm="1">
        <f t="array" ref="L234">INDEX(DataAll!$AJ$2:$AJ$555,MATCH(LOWER(Data!A234),LOWER(DataAll!$AI$2:$AI$555),0))</f>
        <v>12.27</v>
      </c>
      <c r="M234" cm="1">
        <f t="array" ref="M234">INDEX(DataAll!$AP$2:$AP$555,MATCH(LOWER(Data!A234),LOWER(DataAll!$AO$2:$AO$555),0))</f>
        <v>76.040000000000006</v>
      </c>
      <c r="N234" cm="1">
        <f t="array" ref="N234">INDEX(DataAll!$AQ$2:$AQ$555,MATCH(LOWER(Data!A234),LOWER(DataAll!$AO$2:$AO$555),0))</f>
        <v>79.83</v>
      </c>
      <c r="O234" cm="1">
        <f t="array" ref="O234">INDEX(DataAll!$AT$2:$AT$555,MATCH(LOWER(Data!A234),LOWER(DataAll!$AS$2:$AS$555),0))</f>
        <v>11.54</v>
      </c>
      <c r="P234" cm="1">
        <f t="array" ref="P234">INDEX(DataAll!$AU$2:$AU$555,MATCH(LOWER(Data!A234),LOWER(DataAll!$AS$2:$AS$555),0))</f>
        <v>10.47</v>
      </c>
      <c r="Q234" cm="1">
        <f t="array" ref="Q234">INDEX(DataAll!$AX$2:$AX$556,MATCH(LOWER(Data!A234),LOWER(DataAll!$AW$2:$AW$556),0))</f>
        <v>56.72</v>
      </c>
      <c r="R234" cm="1">
        <f t="array" ref="R234">INDEX('Longitude and Latitude'!$B$2:$B$579,MATCH(LOWER(Data!A234),LOWER('Longitude and Latitude'!$A$2:$A$579),0))</f>
        <v>-6.9666667000000002</v>
      </c>
      <c r="S234" cm="1">
        <f t="array" ref="S234">INDEX('Longitude and Latitude'!$C$2:$C$579,MATCH(LOWER(Data!A234),LOWER('Longitude and Latitude'!$A$2:$A$579),0))</f>
        <v>110.41666669999999</v>
      </c>
      <c r="T234" t="b">
        <f>IF(EXACT(A234, UPPER(A234)), TRUE, FALSE)</f>
        <v>0</v>
      </c>
    </row>
    <row r="235" spans="1:20" x14ac:dyDescent="0.35">
      <c r="A235" t="s">
        <v>235</v>
      </c>
      <c r="B235">
        <v>95.65</v>
      </c>
      <c r="C235" cm="1">
        <f t="array" ref="C235">INDEX(DataAll!$E$2:$E$555,MATCH(LOWER(Data!A235),LOWER(DataAll!$D$2:$D$555),0))</f>
        <v>65.31</v>
      </c>
      <c r="D235" cm="1">
        <f t="array" ref="D235">INDEX(DataAll!$H$2:$H$579,MATCH(LOWER(Data!A235),LOWER(DataAll!$G$2:$G$555),0))</f>
        <v>0.17599999999999999</v>
      </c>
      <c r="E235" cm="1">
        <f t="array" ref="E235">INDEX(DataAll!$K$2:$K$579,MATCH(LOWER(Data!A235),LOWER(DataAll!$J$2:$J$555),0))</f>
        <v>14.71</v>
      </c>
      <c r="F235" cm="1">
        <f t="array" ref="F235">INDEX(DataAll!$N$2:$N$555,MATCH(LOWER(Data!A235),LOWER(DataAll!$M$2:$M$555),0))</f>
        <v>53.17</v>
      </c>
      <c r="G235" cm="1">
        <f t="array" ref="G235">INDEX(DataAll!$Q$2:$Q$555,MATCH(LOWER(Data!A235),LOWER(DataAll!$P$2:$P$555),0))</f>
        <v>7.76</v>
      </c>
      <c r="H235" cm="1">
        <f t="array" ref="H235">INDEX(DataAll!$T$2:$T$555,MATCH(LOWER(Data!A235),LOWER(DataAll!$S$2:$S$555),0))</f>
        <v>0.15</v>
      </c>
      <c r="I235" cm="1">
        <f t="array" ref="I235">INDEX(DataAll!$W$2:$W$555,MATCH(LOWER(Data!A235),LOWER(DataAll!$V$2:$V$555),0))</f>
        <v>28.56</v>
      </c>
      <c r="J235" cm="1">
        <f t="array" ref="J235">INDEX(DataAll!$Z$2:$Z$555,MATCH(LOWER(Data!A235),LOWER(DataAll!$Y$2:$Y$555),0))</f>
        <v>2.25</v>
      </c>
      <c r="K235" cm="1">
        <f t="array" ref="K235">INDEX(DataAll!$AM$2:$AM$555,MATCH(LOWER(Data!A235),LOWER(DataAll!$AL$2:$AL$555),0))</f>
        <v>6.81</v>
      </c>
      <c r="L235" cm="1">
        <f t="array" ref="L235">INDEX(DataAll!$AJ$2:$AJ$555,MATCH(LOWER(Data!A235),LOWER(DataAll!$AI$2:$AI$555),0))</f>
        <v>16.98</v>
      </c>
      <c r="M235" cm="1">
        <f t="array" ref="M235">INDEX(DataAll!$AP$2:$AP$555,MATCH(LOWER(Data!A235),LOWER(DataAll!$AO$2:$AO$555),0))</f>
        <v>72.86</v>
      </c>
      <c r="N235" cm="1">
        <f t="array" ref="N235">INDEX(DataAll!$AQ$2:$AQ$555,MATCH(LOWER(Data!A235),LOWER(DataAll!$AO$2:$AO$555),0))</f>
        <v>76.53</v>
      </c>
      <c r="O235" cm="1">
        <f t="array" ref="O235">INDEX(DataAll!$AT$2:$AT$555,MATCH(LOWER(Data!A235),LOWER(DataAll!$AS$2:$AS$555),0))</f>
        <v>9.4600000000000009</v>
      </c>
      <c r="P235" cm="1">
        <f t="array" ref="P235">INDEX(DataAll!$AU$2:$AU$555,MATCH(LOWER(Data!A235),LOWER(DataAll!$AS$2:$AS$555),0))</f>
        <v>9.2100000000000009</v>
      </c>
      <c r="Q235" cm="1">
        <f t="array" ref="Q235">INDEX(DataAll!$AX$2:$AX$556,MATCH(LOWER(Data!A235),LOWER(DataAll!$AW$2:$AW$556),0))</f>
        <v>39.6</v>
      </c>
      <c r="R235" cm="1">
        <f t="array" ref="R235">INDEX('Longitude and Latitude'!$B$2:$B$579,MATCH(LOWER(Data!A235),LOWER('Longitude and Latitude'!$A$2:$A$579),0))</f>
        <v>-6.8828870000000002</v>
      </c>
      <c r="S235" cm="1">
        <f t="array" ref="S235">INDEX('Longitude and Latitude'!$C$2:$C$579,MATCH(LOWER(Data!A235),LOWER('Longitude and Latitude'!$A$2:$A$579),0))</f>
        <v>109.66999800000001</v>
      </c>
      <c r="T235" t="b">
        <f>IF(EXACT(A235, UPPER(A235)), TRUE, FALSE)</f>
        <v>0</v>
      </c>
    </row>
    <row r="236" spans="1:20" x14ac:dyDescent="0.35">
      <c r="A236" t="s">
        <v>236</v>
      </c>
      <c r="B236">
        <v>93.64</v>
      </c>
      <c r="C236" cm="1">
        <f t="array" ref="C236">INDEX(DataAll!$E$2:$E$555,MATCH(LOWER(Data!A236),LOWER(DataAll!$D$2:$D$555),0))</f>
        <v>65.31</v>
      </c>
      <c r="D236" cm="1">
        <f t="array" ref="D236">INDEX(DataAll!$H$2:$H$579,MATCH(LOWER(Data!A236),LOWER(DataAll!$G$2:$G$555),0))</f>
        <v>0.29399999999999998</v>
      </c>
      <c r="E236" cm="1">
        <f t="array" ref="E236">INDEX(DataAll!$K$2:$K$579,MATCH(LOWER(Data!A236),LOWER(DataAll!$J$2:$J$555),0))</f>
        <v>13.33</v>
      </c>
      <c r="F236" cm="1">
        <f t="array" ref="F236">INDEX(DataAll!$N$2:$N$555,MATCH(LOWER(Data!A236),LOWER(DataAll!$M$2:$M$555),0))</f>
        <v>49.8</v>
      </c>
      <c r="G236" cm="1">
        <f t="array" ref="G236">INDEX(DataAll!$Q$2:$Q$555,MATCH(LOWER(Data!A236),LOWER(DataAll!$P$2:$P$555),0))</f>
        <v>7.16</v>
      </c>
      <c r="H236" cm="1">
        <f t="array" ref="H236">INDEX(DataAll!$T$2:$T$555,MATCH(LOWER(Data!A236),LOWER(DataAll!$S$2:$S$555),0))</f>
        <v>9.6000000000000002E-2</v>
      </c>
      <c r="I236" cm="1">
        <f t="array" ref="I236">INDEX(DataAll!$W$2:$W$555,MATCH(LOWER(Data!A236),LOWER(DataAll!$V$2:$V$555),0))</f>
        <v>30.73</v>
      </c>
      <c r="J236" cm="1">
        <f t="array" ref="J236">INDEX(DataAll!$Z$2:$Z$555,MATCH(LOWER(Data!A236),LOWER(DataAll!$Y$2:$Y$555),0))</f>
        <v>2.2200000000000002</v>
      </c>
      <c r="K236" cm="1">
        <f t="array" ref="K236">INDEX(DataAll!$AM$2:$AM$555,MATCH(LOWER(Data!A236),LOWER(DataAll!$AL$2:$AL$555),0))</f>
        <v>7.68</v>
      </c>
      <c r="L236" cm="1">
        <f t="array" ref="L236">INDEX(DataAll!$AJ$2:$AJ$555,MATCH(LOWER(Data!A236),LOWER(DataAll!$AI$2:$AI$555),0))</f>
        <v>13.78</v>
      </c>
      <c r="M236" cm="1">
        <f t="array" ref="M236">INDEX(DataAll!$AP$2:$AP$555,MATCH(LOWER(Data!A236),LOWER(DataAll!$AO$2:$AO$555),0))</f>
        <v>72.900000000000006</v>
      </c>
      <c r="N236" cm="1">
        <f t="array" ref="N236">INDEX(DataAll!$AQ$2:$AQ$555,MATCH(LOWER(Data!A236),LOWER(DataAll!$AO$2:$AO$555),0))</f>
        <v>76.569999999999993</v>
      </c>
      <c r="O236" cm="1">
        <f t="array" ref="O236">INDEX(DataAll!$AT$2:$AT$555,MATCH(LOWER(Data!A236),LOWER(DataAll!$AS$2:$AS$555),0))</f>
        <v>9.5299999999999994</v>
      </c>
      <c r="P236" cm="1">
        <f t="array" ref="P236">INDEX(DataAll!$AU$2:$AU$555,MATCH(LOWER(Data!A236),LOWER(DataAll!$AS$2:$AS$555),0))</f>
        <v>8.83</v>
      </c>
      <c r="Q236" cm="1">
        <f t="array" ref="Q236">INDEX(DataAll!$AX$2:$AX$556,MATCH(LOWER(Data!A236),LOWER(DataAll!$AW$2:$AW$556),0))</f>
        <v>48.97</v>
      </c>
      <c r="R236" cm="1">
        <f t="array" ref="R236">INDEX('Longitude and Latitude'!$B$2:$B$579,MATCH(LOWER(Data!A236),LOWER('Longitude and Latitude'!$A$2:$A$579),0))</f>
        <v>-6.8666666999999997</v>
      </c>
      <c r="S236" cm="1">
        <f t="array" ref="S236">INDEX('Longitude and Latitude'!$C$2:$C$579,MATCH(LOWER(Data!A236),LOWER('Longitude and Latitude'!$A$2:$A$579),0))</f>
        <v>109.1333333</v>
      </c>
      <c r="T236" t="b">
        <f>IF(EXACT(A236, UPPER(A236)), TRUE, FALSE)</f>
        <v>0</v>
      </c>
    </row>
    <row r="237" spans="1:20" x14ac:dyDescent="0.35">
      <c r="A237" t="s">
        <v>768</v>
      </c>
      <c r="B237">
        <v>94.93</v>
      </c>
      <c r="C237" cm="1">
        <f t="array" ref="C237">INDEX(DataAll!$E$2:$E$555,MATCH(LOWER(Data!A237),LOWER(DataAll!$D$2:$D$555),0))</f>
        <v>78.459999999999994</v>
      </c>
      <c r="D237" cm="1">
        <f t="array" ref="D237">INDEX(DataAll!$H$2:$H$579,MATCH(LOWER(Data!A237),LOWER(DataAll!$G$2:$G$555),0))</f>
        <v>0.14199999999999999</v>
      </c>
      <c r="E237" cm="1">
        <f t="array" ref="E237">INDEX(DataAll!$K$2:$K$579,MATCH(LOWER(Data!A237),LOWER(DataAll!$J$2:$J$555),0))</f>
        <v>21.82</v>
      </c>
      <c r="F237" cm="1">
        <f t="array" ref="F237">INDEX(DataAll!$N$2:$N$555,MATCH(LOWER(Data!A237),LOWER(DataAll!$M$2:$M$555),0))</f>
        <v>53.4</v>
      </c>
      <c r="G237" t="e" cm="1">
        <f t="array" ref="G237">INDEX(DataAll!$Q$2:$Q$555,MATCH(LOWER(Data!A237),LOWER(DataAll!$P$2:$P$555),0))</f>
        <v>#N/A</v>
      </c>
      <c r="H237" cm="1">
        <f t="array" ref="H237">INDEX(DataAll!$T$2:$T$555,MATCH(LOWER(Data!A237),LOWER(DataAll!$S$2:$S$555),0))</f>
        <v>0.13</v>
      </c>
      <c r="I237" cm="1">
        <f t="array" ref="I237">INDEX(DataAll!$W$2:$W$555,MATCH(LOWER(Data!A237),LOWER(DataAll!$V$2:$V$555),0))</f>
        <v>41.3</v>
      </c>
      <c r="J237" cm="1">
        <f t="array" ref="J237">INDEX(DataAll!$Z$2:$Z$555,MATCH(LOWER(Data!A237),LOWER(DataAll!$Y$2:$Y$555),0))</f>
        <v>1.89</v>
      </c>
      <c r="K237" t="e" cm="1">
        <f t="array" ref="K237">INDEX(DataAll!$AM$2:$AM$555,MATCH(LOWER(Data!A237),LOWER(DataAll!$AL$2:$AL$555),0))</f>
        <v>#N/A</v>
      </c>
      <c r="L237" cm="1">
        <f t="array" ref="L237">INDEX(DataAll!$AJ$2:$AJ$555,MATCH(LOWER(Data!A237),LOWER(DataAll!$AI$2:$AI$555),0))</f>
        <v>12.62</v>
      </c>
      <c r="M237" t="e" cm="1">
        <f t="array" ref="M237">INDEX(DataAll!$AP$2:$AP$555,MATCH(LOWER(Data!A237),LOWER(DataAll!$AO$2:$AO$555),0))</f>
        <v>#N/A</v>
      </c>
      <c r="N237" t="e" cm="1">
        <f t="array" ref="N237">INDEX(DataAll!$AQ$2:$AQ$555,MATCH(LOWER(Data!A237),LOWER(DataAll!$AO$2:$AO$555),0))</f>
        <v>#N/A</v>
      </c>
      <c r="O237" t="e" cm="1">
        <f t="array" ref="O237">INDEX(DataAll!$AT$2:$AT$555,MATCH(LOWER(Data!A237),LOWER(DataAll!$AS$2:$AS$555),0))</f>
        <v>#N/A</v>
      </c>
      <c r="P237" t="e" cm="1">
        <f t="array" ref="P237">INDEX(DataAll!$AU$2:$AU$555,MATCH(LOWER(Data!A237),LOWER(DataAll!$AS$2:$AS$555),0))</f>
        <v>#N/A</v>
      </c>
      <c r="Q237" t="e" cm="1">
        <f t="array" ref="Q237">INDEX(DataAll!$AX$2:$AX$556,MATCH(LOWER(Data!A237),LOWER(DataAll!$AW$2:$AW$556),0))</f>
        <v>#N/A</v>
      </c>
      <c r="R237" cm="1">
        <f t="array" ref="R237">INDEX('Longitude and Latitude'!$B$2:$B$579,MATCH(LOWER(Data!A237),LOWER('Longitude and Latitude'!$A$2:$A$579),0))</f>
        <v>-7.8753849000000002</v>
      </c>
      <c r="S237" cm="1">
        <f t="array" ref="S237">INDEX('Longitude and Latitude'!$C$2:$C$579,MATCH(LOWER(Data!A237),LOWER('Longitude and Latitude'!$A$2:$A$579),0))</f>
        <v>110.4262088</v>
      </c>
      <c r="T237" t="b">
        <f>IF(EXACT(A237, UPPER(A237)), TRUE, FALSE)</f>
        <v>1</v>
      </c>
    </row>
    <row r="238" spans="1:20" x14ac:dyDescent="0.35">
      <c r="A238" t="s">
        <v>237</v>
      </c>
      <c r="B238">
        <v>95.27</v>
      </c>
      <c r="C238" cm="1">
        <f t="array" ref="C238">INDEX(DataAll!$E$2:$E$555,MATCH(LOWER(Data!A238),LOWER(DataAll!$D$2:$D$555),0))</f>
        <v>71.680000000000007</v>
      </c>
      <c r="D238" cm="1">
        <f t="array" ref="D238">INDEX(DataAll!$H$2:$H$579,MATCH(LOWER(Data!A238),LOWER(DataAll!$G$2:$G$555),0))</f>
        <v>0.129</v>
      </c>
      <c r="E238" cm="1">
        <f t="array" ref="E238">INDEX(DataAll!$K$2:$K$579,MATCH(LOWER(Data!A238),LOWER(DataAll!$J$2:$J$555),0))</f>
        <v>20</v>
      </c>
      <c r="F238" cm="1">
        <f t="array" ref="F238">INDEX(DataAll!$N$2:$N$555,MATCH(LOWER(Data!A238),LOWER(DataAll!$M$2:$M$555),0))</f>
        <v>55.75</v>
      </c>
      <c r="G238" cm="1">
        <f t="array" ref="G238">INDEX(DataAll!$Q$2:$Q$555,MATCH(LOWER(Data!A238),LOWER(DataAll!$P$2:$P$555),0))</f>
        <v>13.44</v>
      </c>
      <c r="H238" cm="1">
        <f t="array" ref="H238">INDEX(DataAll!$T$2:$T$555,MATCH(LOWER(Data!A238),LOWER(DataAll!$S$2:$S$555),0))</f>
        <v>9.6000000000000002E-2</v>
      </c>
      <c r="I238" cm="1">
        <f t="array" ref="I238">INDEX(DataAll!$W$2:$W$555,MATCH(LOWER(Data!A238),LOWER(DataAll!$V$2:$V$555),0))</f>
        <v>34.49</v>
      </c>
      <c r="J238" cm="1">
        <f t="array" ref="J238">INDEX(DataAll!$Z$2:$Z$555,MATCH(LOWER(Data!A238),LOWER(DataAll!$Y$2:$Y$555),0))</f>
        <v>2.02</v>
      </c>
      <c r="K238" cm="1">
        <f t="array" ref="K238">INDEX(DataAll!$AM$2:$AM$555,MATCH(LOWER(Data!A238),LOWER(DataAll!$AL$2:$AL$555),0))</f>
        <v>15.64</v>
      </c>
      <c r="L238" cm="1">
        <f t="array" ref="L238">INDEX(DataAll!$AJ$2:$AJ$555,MATCH(LOWER(Data!A238),LOWER(DataAll!$AI$2:$AI$555),0))</f>
        <v>11.82</v>
      </c>
      <c r="M238" cm="1">
        <f t="array" ref="M238">INDEX(DataAll!$AP$2:$AP$555,MATCH(LOWER(Data!A238),LOWER(DataAll!$AO$2:$AO$555),0))</f>
        <v>73.569999999999993</v>
      </c>
      <c r="N238" cm="1">
        <f t="array" ref="N238">INDEX(DataAll!$AQ$2:$AQ$555,MATCH(LOWER(Data!A238),LOWER(DataAll!$AO$2:$AO$555),0))</f>
        <v>77.209999999999994</v>
      </c>
      <c r="O238" cm="1">
        <f t="array" ref="O238">INDEX(DataAll!$AT$2:$AT$555,MATCH(LOWER(Data!A238),LOWER(DataAll!$AS$2:$AS$555),0))</f>
        <v>9.4600000000000009</v>
      </c>
      <c r="P238" cm="1">
        <f t="array" ref="P238">INDEX(DataAll!$AU$2:$AU$555,MATCH(LOWER(Data!A238),LOWER(DataAll!$AS$2:$AS$555),0))</f>
        <v>8.9</v>
      </c>
      <c r="Q238" cm="1">
        <f t="array" ref="Q238">INDEX(DataAll!$AX$2:$AX$556,MATCH(LOWER(Data!A238),LOWER(DataAll!$AW$2:$AW$556),0))</f>
        <v>41.58</v>
      </c>
      <c r="R238" cm="1">
        <f t="array" ref="R238">INDEX('Longitude and Latitude'!$B$2:$B$579,MATCH(LOWER(Data!A238),LOWER('Longitude and Latitude'!$A$2:$A$579),0))</f>
        <v>-7.8266798</v>
      </c>
      <c r="S238" cm="1">
        <f t="array" ref="S238">INDEX('Longitude and Latitude'!$C$2:$C$579,MATCH(LOWER(Data!A238),LOWER('Longitude and Latitude'!$A$2:$A$579),0))</f>
        <v>110.1640846</v>
      </c>
      <c r="T238" t="b">
        <f>IF(EXACT(A238, UPPER(A238)), TRUE, FALSE)</f>
        <v>0</v>
      </c>
    </row>
    <row r="239" spans="1:20" x14ac:dyDescent="0.35">
      <c r="A239" t="s">
        <v>238</v>
      </c>
      <c r="B239">
        <v>95.54</v>
      </c>
      <c r="C239" cm="1">
        <f t="array" ref="C239">INDEX(DataAll!$E$2:$E$555,MATCH(LOWER(Data!A239),LOWER(DataAll!$D$2:$D$555),0))</f>
        <v>70.349999999999994</v>
      </c>
      <c r="D239" cm="1">
        <f t="array" ref="D239">INDEX(DataAll!$H$2:$H$579,MATCH(LOWER(Data!A239),LOWER(DataAll!$G$2:$G$555),0))</f>
        <v>0.151</v>
      </c>
      <c r="E239" cm="1">
        <f t="array" ref="E239">INDEX(DataAll!$K$2:$K$579,MATCH(LOWER(Data!A239),LOWER(DataAll!$J$2:$J$555),0))</f>
        <v>13.33</v>
      </c>
      <c r="F239" cm="1">
        <f t="array" ref="F239">INDEX(DataAll!$N$2:$N$555,MATCH(LOWER(Data!A239),LOWER(DataAll!$M$2:$M$555),0))</f>
        <v>52.23</v>
      </c>
      <c r="G239" cm="1">
        <f t="array" ref="G239">INDEX(DataAll!$Q$2:$Q$555,MATCH(LOWER(Data!A239),LOWER(DataAll!$P$2:$P$555),0))</f>
        <v>9.75</v>
      </c>
      <c r="H239" cm="1">
        <f t="array" ref="H239">INDEX(DataAll!$T$2:$T$555,MATCH(LOWER(Data!A239),LOWER(DataAll!$S$2:$S$555),0))</f>
        <v>9.5000000000000001E-2</v>
      </c>
      <c r="I239" cm="1">
        <f t="array" ref="I239">INDEX(DataAll!$W$2:$W$555,MATCH(LOWER(Data!A239),LOWER(DataAll!$V$2:$V$555),0))</f>
        <v>38.090000000000003</v>
      </c>
      <c r="J239" cm="1">
        <f t="array" ref="J239">INDEX(DataAll!$Z$2:$Z$555,MATCH(LOWER(Data!A239),LOWER(DataAll!$Y$2:$Y$555),0))</f>
        <v>1.9</v>
      </c>
      <c r="K239" cm="1">
        <f t="array" ref="K239">INDEX(DataAll!$AM$2:$AM$555,MATCH(LOWER(Data!A239),LOWER(DataAll!$AL$2:$AL$555),0))</f>
        <v>11.96</v>
      </c>
      <c r="L239" cm="1">
        <f t="array" ref="L239">INDEX(DataAll!$AJ$2:$AJ$555,MATCH(LOWER(Data!A239),LOWER(DataAll!$AI$2:$AI$555),0))</f>
        <v>13.96</v>
      </c>
      <c r="M239" cm="1">
        <f t="array" ref="M239">INDEX(DataAll!$AP$2:$AP$555,MATCH(LOWER(Data!A239),LOWER(DataAll!$AO$2:$AO$555),0))</f>
        <v>72.13</v>
      </c>
      <c r="N239" cm="1">
        <f t="array" ref="N239">INDEX(DataAll!$AQ$2:$AQ$555,MATCH(LOWER(Data!A239),LOWER(DataAll!$AO$2:$AO$555),0))</f>
        <v>75.900000000000006</v>
      </c>
      <c r="O239" cm="1">
        <f t="array" ref="O239">INDEX(DataAll!$AT$2:$AT$555,MATCH(LOWER(Data!A239),LOWER(DataAll!$AS$2:$AS$555),0))</f>
        <v>10.119999999999999</v>
      </c>
      <c r="P239" cm="1">
        <f t="array" ref="P239">INDEX(DataAll!$AU$2:$AU$555,MATCH(LOWER(Data!A239),LOWER(DataAll!$AS$2:$AS$555),0))</f>
        <v>9.58</v>
      </c>
      <c r="Q239" cm="1">
        <f t="array" ref="Q239">INDEX(DataAll!$AX$2:$AX$556,MATCH(LOWER(Data!A239),LOWER(DataAll!$AW$2:$AW$556),0))</f>
        <v>48.71</v>
      </c>
      <c r="R239" cm="1">
        <f t="array" ref="R239">INDEX('Longitude and Latitude'!$B$2:$B$579,MATCH(LOWER(Data!A239),LOWER('Longitude and Latitude'!$A$2:$A$579),0))</f>
        <v>-7.8846110999999999</v>
      </c>
      <c r="S239" cm="1">
        <f t="array" ref="S239">INDEX('Longitude and Latitude'!$C$2:$C$579,MATCH(LOWER(Data!A239),LOWER('Longitude and Latitude'!$A$2:$A$579),0))</f>
        <v>110.3341111</v>
      </c>
      <c r="T239" t="b">
        <f>IF(EXACT(A239, UPPER(A239)), TRUE, FALSE)</f>
        <v>0</v>
      </c>
    </row>
    <row r="240" spans="1:20" x14ac:dyDescent="0.35">
      <c r="A240" t="s">
        <v>239</v>
      </c>
      <c r="B240">
        <v>85.93</v>
      </c>
      <c r="C240" cm="1">
        <f t="array" ref="C240">INDEX(DataAll!$E$2:$E$555,MATCH(LOWER(Data!A240),LOWER(DataAll!$D$2:$D$555),0))</f>
        <v>77.3</v>
      </c>
      <c r="D240" cm="1">
        <f t="array" ref="D240">INDEX(DataAll!$H$2:$H$579,MATCH(LOWER(Data!A240),LOWER(DataAll!$G$2:$G$555),0))</f>
        <v>0.183</v>
      </c>
      <c r="E240" cm="1">
        <f t="array" ref="E240">INDEX(DataAll!$K$2:$K$579,MATCH(LOWER(Data!A240),LOWER(DataAll!$J$2:$J$555),0))</f>
        <v>24.44</v>
      </c>
      <c r="F240" cm="1">
        <f t="array" ref="F240">INDEX(DataAll!$N$2:$N$555,MATCH(LOWER(Data!A240),LOWER(DataAll!$M$2:$M$555),0))</f>
        <v>46.92</v>
      </c>
      <c r="G240" cm="1">
        <f t="array" ref="G240">INDEX(DataAll!$Q$2:$Q$555,MATCH(LOWER(Data!A240),LOWER(DataAll!$P$2:$P$555),0))</f>
        <v>14.67</v>
      </c>
      <c r="H240" cm="1">
        <f t="array" ref="H240">INDEX(DataAll!$T$2:$T$555,MATCH(LOWER(Data!A240),LOWER(DataAll!$S$2:$S$555),0))</f>
        <v>0.23799999999999999</v>
      </c>
      <c r="I240" cm="1">
        <f t="array" ref="I240">INDEX(DataAll!$W$2:$W$555,MATCH(LOWER(Data!A240),LOWER(DataAll!$V$2:$V$555),0))</f>
        <v>39.299999999999997</v>
      </c>
      <c r="J240" cm="1">
        <f t="array" ref="J240">INDEX(DataAll!$Z$2:$Z$555,MATCH(LOWER(Data!A240),LOWER(DataAll!$Y$2:$Y$555),0))</f>
        <v>1.96</v>
      </c>
      <c r="K240" cm="1">
        <f t="array" ref="K240">INDEX(DataAll!$AM$2:$AM$555,MATCH(LOWER(Data!A240),LOWER(DataAll!$AL$2:$AL$555),0))</f>
        <v>15.6</v>
      </c>
      <c r="L240" cm="1">
        <f t="array" ref="L240">INDEX(DataAll!$AJ$2:$AJ$555,MATCH(LOWER(Data!A240),LOWER(DataAll!$AI$2:$AI$555),0))</f>
        <v>13.94</v>
      </c>
      <c r="M240" cm="1">
        <f t="array" ref="M240">INDEX(DataAll!$AP$2:$AP$555,MATCH(LOWER(Data!A240),LOWER(DataAll!$AO$2:$AO$555),0))</f>
        <v>72.489999999999995</v>
      </c>
      <c r="N240" cm="1">
        <f t="array" ref="N240">INDEX(DataAll!$AQ$2:$AQ$555,MATCH(LOWER(Data!A240),LOWER(DataAll!$AO$2:$AO$555),0))</f>
        <v>76.19</v>
      </c>
      <c r="O240" cm="1">
        <f t="array" ref="O240">INDEX(DataAll!$AT$2:$AT$555,MATCH(LOWER(Data!A240),LOWER(DataAll!$AS$2:$AS$555),0))</f>
        <v>7.93</v>
      </c>
      <c r="P240" cm="1">
        <f t="array" ref="P240">INDEX(DataAll!$AU$2:$AU$555,MATCH(LOWER(Data!A240),LOWER(DataAll!$AS$2:$AS$555),0))</f>
        <v>6.9</v>
      </c>
      <c r="Q240" cm="1">
        <f t="array" ref="Q240">INDEX(DataAll!$AX$2:$AX$556,MATCH(LOWER(Data!A240),LOWER(DataAll!$AW$2:$AW$556),0))</f>
        <v>22.1</v>
      </c>
      <c r="R240" cm="1">
        <f t="array" ref="R240">INDEX('Longitude and Latitude'!$B$2:$B$579,MATCH(LOWER(Data!A240),LOWER('Longitude and Latitude'!$A$2:$A$579),0))</f>
        <v>-8.0305090999999997</v>
      </c>
      <c r="S240" cm="1">
        <f t="array" ref="S240">INDEX('Longitude and Latitude'!$C$2:$C$579,MATCH(LOWER(Data!A240),LOWER('Longitude and Latitude'!$A$2:$A$579),0))</f>
        <v>110.6168921</v>
      </c>
      <c r="T240" t="b">
        <f>IF(EXACT(A240, UPPER(A240)), TRUE, FALSE)</f>
        <v>0</v>
      </c>
    </row>
    <row r="241" spans="1:20" x14ac:dyDescent="0.35">
      <c r="A241" t="s">
        <v>240</v>
      </c>
      <c r="B241">
        <v>96.4</v>
      </c>
      <c r="C241" cm="1">
        <f t="array" ref="C241">INDEX(DataAll!$E$2:$E$555,MATCH(LOWER(Data!A241),LOWER(DataAll!$D$2:$D$555),0))</f>
        <v>79.94</v>
      </c>
      <c r="D241" cm="1">
        <f t="array" ref="D241">INDEX(DataAll!$H$2:$H$579,MATCH(LOWER(Data!A241),LOWER(DataAll!$G$2:$G$555),0))</f>
        <v>0.11600000000000001</v>
      </c>
      <c r="E241" cm="1">
        <f t="array" ref="E241">INDEX(DataAll!$K$2:$K$579,MATCH(LOWER(Data!A241),LOWER(DataAll!$J$2:$J$555),0))</f>
        <v>26</v>
      </c>
      <c r="F241" cm="1">
        <f t="array" ref="F241">INDEX(DataAll!$N$2:$N$555,MATCH(LOWER(Data!A241),LOWER(DataAll!$M$2:$M$555),0))</f>
        <v>57.25</v>
      </c>
      <c r="G241" cm="1">
        <f t="array" ref="G241">INDEX(DataAll!$Q$2:$Q$555,MATCH(LOWER(Data!A241),LOWER(DataAll!$P$2:$P$555),0))</f>
        <v>6.64</v>
      </c>
      <c r="H241" cm="1">
        <f t="array" ref="H241">INDEX(DataAll!$T$2:$T$555,MATCH(LOWER(Data!A241),LOWER(DataAll!$S$2:$S$555),0))</f>
        <v>0.10299999999999999</v>
      </c>
      <c r="I241" cm="1">
        <f t="array" ref="I241">INDEX(DataAll!$W$2:$W$555,MATCH(LOWER(Data!A241),LOWER(DataAll!$V$2:$V$555),0))</f>
        <v>38.5</v>
      </c>
      <c r="J241" cm="1">
        <f t="array" ref="J241">INDEX(DataAll!$Z$2:$Z$555,MATCH(LOWER(Data!A241),LOWER(DataAll!$Y$2:$Y$555),0))</f>
        <v>1.87</v>
      </c>
      <c r="K241" cm="1">
        <f t="array" ref="K241">INDEX(DataAll!$AM$2:$AM$555,MATCH(LOWER(Data!A241),LOWER(DataAll!$AL$2:$AL$555),0))</f>
        <v>7.52</v>
      </c>
      <c r="L241" cm="1">
        <f t="array" ref="L241">INDEX(DataAll!$AJ$2:$AJ$555,MATCH(LOWER(Data!A241),LOWER(DataAll!$AI$2:$AI$555),0))</f>
        <v>12.59</v>
      </c>
      <c r="M241" cm="1">
        <f t="array" ref="M241">INDEX(DataAll!$AP$2:$AP$555,MATCH(LOWER(Data!A241),LOWER(DataAll!$AO$2:$AO$555),0))</f>
        <v>73.349999999999994</v>
      </c>
      <c r="N241" cm="1">
        <f t="array" ref="N241">INDEX(DataAll!$AQ$2:$AQ$555,MATCH(LOWER(Data!A241),LOWER(DataAll!$AO$2:$AO$555),0))</f>
        <v>76.989999999999995</v>
      </c>
      <c r="O241" cm="1">
        <f t="array" ref="O241">INDEX(DataAll!$AT$2:$AT$555,MATCH(LOWER(Data!A241),LOWER(DataAll!$AS$2:$AS$555),0))</f>
        <v>11.37</v>
      </c>
      <c r="P241" cm="1">
        <f t="array" ref="P241">INDEX(DataAll!$AU$2:$AU$555,MATCH(LOWER(Data!A241),LOWER(DataAll!$AS$2:$AS$555),0))</f>
        <v>10.72</v>
      </c>
      <c r="Q241" cm="1">
        <f t="array" ref="Q241">INDEX(DataAll!$AX$2:$AX$556,MATCH(LOWER(Data!A241),LOWER(DataAll!$AW$2:$AW$556),0))</f>
        <v>60.28</v>
      </c>
      <c r="R241" cm="1">
        <f t="array" ref="R241">INDEX('Longitude and Latitude'!$B$2:$B$579,MATCH(LOWER(Data!A241),LOWER('Longitude and Latitude'!$A$2:$A$579),0))</f>
        <v>-7.7161650000000002</v>
      </c>
      <c r="S241" cm="1">
        <f t="array" ref="S241">INDEX('Longitude and Latitude'!$C$2:$C$579,MATCH(LOWER(Data!A241),LOWER('Longitude and Latitude'!$A$2:$A$579),0))</f>
        <v>110.335403</v>
      </c>
      <c r="T241" t="b">
        <f>IF(EXACT(A241, UPPER(A241)), TRUE, FALSE)</f>
        <v>0</v>
      </c>
    </row>
    <row r="242" spans="1:20" x14ac:dyDescent="0.35">
      <c r="A242" t="s">
        <v>241</v>
      </c>
      <c r="B242">
        <v>98.47</v>
      </c>
      <c r="C242" cm="1">
        <f t="array" ref="C242">INDEX(DataAll!$E$2:$E$555,MATCH(LOWER(Data!A242),LOWER(DataAll!$D$2:$D$555),0))</f>
        <v>75.7</v>
      </c>
      <c r="D242" cm="1">
        <f t="array" ref="D242">INDEX(DataAll!$H$2:$H$579,MATCH(LOWER(Data!A242),LOWER(DataAll!$G$2:$G$555),0))</f>
        <v>0.151</v>
      </c>
      <c r="E242" cm="1">
        <f t="array" ref="E242">INDEX(DataAll!$K$2:$K$579,MATCH(LOWER(Data!A242),LOWER(DataAll!$J$2:$J$555),0))</f>
        <v>17.5</v>
      </c>
      <c r="F242" cm="1">
        <f t="array" ref="F242">INDEX(DataAll!$N$2:$N$555,MATCH(LOWER(Data!A242),LOWER(DataAll!$M$2:$M$555),0))</f>
        <v>48.32</v>
      </c>
      <c r="G242" cm="1">
        <f t="array" ref="G242">INDEX(DataAll!$Q$2:$Q$555,MATCH(LOWER(Data!A242),LOWER(DataAll!$P$2:$P$555),0))</f>
        <v>8.74</v>
      </c>
      <c r="H242" cm="1">
        <f t="array" ref="H242">INDEX(DataAll!$T$2:$T$555,MATCH(LOWER(Data!A242),LOWER(DataAll!$S$2:$S$555),0))</f>
        <v>0.13</v>
      </c>
      <c r="I242" cm="1">
        <f t="array" ref="I242">INDEX(DataAll!$W$2:$W$555,MATCH(LOWER(Data!A242),LOWER(DataAll!$V$2:$V$555),0))</f>
        <v>44.15</v>
      </c>
      <c r="J242" cm="1">
        <f t="array" ref="J242">INDEX(DataAll!$Z$2:$Z$555,MATCH(LOWER(Data!A242),LOWER(DataAll!$Y$2:$Y$555),0))</f>
        <v>1.67</v>
      </c>
      <c r="K242" cm="1">
        <f t="array" ref="K242">INDEX(DataAll!$AM$2:$AM$555,MATCH(LOWER(Data!A242),LOWER(DataAll!$AL$2:$AL$555),0))</f>
        <v>6.49</v>
      </c>
      <c r="L242" cm="1">
        <f t="array" ref="L242">INDEX(DataAll!$AJ$2:$AJ$555,MATCH(LOWER(Data!A242),LOWER(DataAll!$AI$2:$AI$555),0))</f>
        <v>11.9</v>
      </c>
      <c r="M242" cm="1">
        <f t="array" ref="M242">INDEX(DataAll!$AP$2:$AP$555,MATCH(LOWER(Data!A242),LOWER(DataAll!$AO$2:$AO$555),0))</f>
        <v>73.180000000000007</v>
      </c>
      <c r="N242" cm="1">
        <f t="array" ref="N242">INDEX(DataAll!$AQ$2:$AQ$555,MATCH(LOWER(Data!A242),LOWER(DataAll!$AO$2:$AO$555),0))</f>
        <v>76.83</v>
      </c>
      <c r="O242" cm="1">
        <f t="array" ref="O242">INDEX(DataAll!$AT$2:$AT$555,MATCH(LOWER(Data!A242),LOWER(DataAll!$AS$2:$AS$555),0))</f>
        <v>12.24</v>
      </c>
      <c r="P242" cm="1">
        <f t="array" ref="P242">INDEX(DataAll!$AU$2:$AU$555,MATCH(LOWER(Data!A242),LOWER(DataAll!$AS$2:$AS$555),0))</f>
        <v>11.75</v>
      </c>
      <c r="Q242" cm="1">
        <f t="array" ref="Q242">INDEX(DataAll!$AX$2:$AX$556,MATCH(LOWER(Data!A242),LOWER(DataAll!$AW$2:$AW$556),0))</f>
        <v>67.290000000000006</v>
      </c>
      <c r="R242" cm="1">
        <f t="array" ref="R242">INDEX('Longitude and Latitude'!$B$2:$B$579,MATCH(LOWER(Data!A242),LOWER('Longitude and Latitude'!$A$2:$A$579),0))</f>
        <v>-7.7972239999999999</v>
      </c>
      <c r="S242" cm="1">
        <f t="array" ref="S242">INDEX('Longitude and Latitude'!$C$2:$C$579,MATCH(LOWER(Data!A242),LOWER('Longitude and Latitude'!$A$2:$A$579),0))</f>
        <v>110.368797</v>
      </c>
      <c r="T242" t="b">
        <f>IF(EXACT(A242, UPPER(A242)), TRUE, FALSE)</f>
        <v>0</v>
      </c>
    </row>
    <row r="243" spans="1:20" x14ac:dyDescent="0.35">
      <c r="A243" t="s">
        <v>242</v>
      </c>
      <c r="B243">
        <v>92.15</v>
      </c>
      <c r="C243" cm="1">
        <f t="array" ref="C243">INDEX(DataAll!$E$2:$E$555,MATCH(LOWER(Data!A243),LOWER(DataAll!$D$2:$D$555),0))</f>
        <v>74.900000000000006</v>
      </c>
      <c r="D243" cm="1">
        <f t="array" ref="D243">INDEX(DataAll!$H$2:$H$579,MATCH(LOWER(Data!A243),LOWER(DataAll!$G$2:$G$555),0))</f>
        <v>0.42299999999999999</v>
      </c>
      <c r="E243" cm="1">
        <f t="array" ref="E243">INDEX(DataAll!$K$2:$K$579,MATCH(LOWER(Data!A243),LOWER(DataAll!$J$2:$J$555),0))</f>
        <v>20</v>
      </c>
      <c r="F243" cm="1">
        <f t="array" ref="F243">INDEX(DataAll!$N$2:$N$555,MATCH(LOWER(Data!A243),LOWER(DataAll!$M$2:$M$555),0))</f>
        <v>50.2</v>
      </c>
      <c r="G243" t="e" cm="1">
        <f t="array" ref="G243">INDEX(DataAll!$Q$2:$Q$555,MATCH(LOWER(Data!A243),LOWER(DataAll!$P$2:$P$555),0))</f>
        <v>#N/A</v>
      </c>
      <c r="H243" cm="1">
        <f t="array" ref="H243">INDEX(DataAll!$T$2:$T$555,MATCH(LOWER(Data!A243),LOWER(DataAll!$S$2:$S$555),0))</f>
        <v>0.25600000000000001</v>
      </c>
      <c r="I243" cm="1">
        <f t="array" ref="I243">INDEX(DataAll!$W$2:$W$555,MATCH(LOWER(Data!A243),LOWER(DataAll!$V$2:$V$555),0))</f>
        <v>35.590000000000003</v>
      </c>
      <c r="J243" cm="1">
        <f t="array" ref="J243">INDEX(DataAll!$Z$2:$Z$555,MATCH(LOWER(Data!A243),LOWER(DataAll!$Y$2:$Y$555),0))</f>
        <v>1.98</v>
      </c>
      <c r="K243" cm="1">
        <f t="array" ref="K243">INDEX(DataAll!$AM$2:$AM$555,MATCH(LOWER(Data!A243),LOWER(DataAll!$AL$2:$AL$555),0))</f>
        <v>10.35</v>
      </c>
      <c r="L243" cm="1">
        <f t="array" ref="L243">INDEX(DataAll!$AJ$2:$AJ$555,MATCH(LOWER(Data!A243),LOWER(DataAll!$AI$2:$AI$555),0))</f>
        <v>15.64</v>
      </c>
      <c r="M243" cm="1">
        <f t="array" ref="M243">INDEX(DataAll!$AP$2:$AP$555,MATCH(LOWER(Data!A243),LOWER(DataAll!$AO$2:$AO$555),0))</f>
        <v>70.16</v>
      </c>
      <c r="N243" cm="1">
        <f t="array" ref="N243">INDEX(DataAll!$AQ$2:$AQ$555,MATCH(LOWER(Data!A243),LOWER(DataAll!$AO$2:$AO$555),0))</f>
        <v>74.16</v>
      </c>
      <c r="O243" cm="1">
        <f t="array" ref="O243">INDEX(DataAll!$AT$2:$AT$555,MATCH(LOWER(Data!A243),LOWER(DataAll!$AS$2:$AS$555),0))</f>
        <v>8.52</v>
      </c>
      <c r="P243" cm="1">
        <f t="array" ref="P243">INDEX(DataAll!$AU$2:$AU$555,MATCH(LOWER(Data!A243),LOWER(DataAll!$AS$2:$AS$555),0))</f>
        <v>7.71</v>
      </c>
      <c r="Q243" cm="1">
        <f t="array" ref="Q243">INDEX(DataAll!$AX$2:$AX$556,MATCH(LOWER(Data!A243),LOWER(DataAll!$AW$2:$AW$556),0))</f>
        <v>31.96</v>
      </c>
      <c r="R243" cm="1">
        <f t="array" ref="R243">INDEX('Longitude and Latitude'!$B$2:$B$579,MATCH(LOWER(Data!A243),LOWER('Longitude and Latitude'!$A$2:$A$579),0))</f>
        <v>-7.5360639000000003</v>
      </c>
      <c r="S243" cm="1">
        <f t="array" ref="S243">INDEX('Longitude and Latitude'!$C$2:$C$579,MATCH(LOWER(Data!A243),LOWER('Longitude and Latitude'!$A$2:$A$579),0))</f>
        <v>112.2384017</v>
      </c>
      <c r="T243" t="b">
        <f>IF(EXACT(A243, UPPER(A243)), TRUE, FALSE)</f>
        <v>1</v>
      </c>
    </row>
    <row r="244" spans="1:20" x14ac:dyDescent="0.35">
      <c r="A244" t="s">
        <v>243</v>
      </c>
      <c r="B244">
        <v>86.16</v>
      </c>
      <c r="C244" cm="1">
        <f t="array" ref="C244">INDEX(DataAll!$E$2:$E$555,MATCH(LOWER(Data!A244),LOWER(DataAll!$D$2:$D$555),0))</f>
        <v>73.239999999999995</v>
      </c>
      <c r="D244" cm="1">
        <f t="array" ref="D244">INDEX(DataAll!$H$2:$H$579,MATCH(LOWER(Data!A244),LOWER(DataAll!$G$2:$G$555),0))</f>
        <v>0.44400000000000001</v>
      </c>
      <c r="E244" cm="1">
        <f t="array" ref="E244">INDEX(DataAll!$K$2:$K$579,MATCH(LOWER(Data!A244),LOWER(DataAll!$J$2:$J$555),0))</f>
        <v>17.78</v>
      </c>
      <c r="F244" cm="1">
        <f t="array" ref="F244">INDEX(DataAll!$N$2:$N$555,MATCH(LOWER(Data!A244),LOWER(DataAll!$M$2:$M$555),0))</f>
        <v>43.84</v>
      </c>
      <c r="G244" cm="1">
        <f t="array" ref="G244">INDEX(DataAll!$Q$2:$Q$555,MATCH(LOWER(Data!A244),LOWER(DataAll!$P$2:$P$555),0))</f>
        <v>11.36</v>
      </c>
      <c r="H244" cm="1">
        <f t="array" ref="H244">INDEX(DataAll!$T$2:$T$555,MATCH(LOWER(Data!A244),LOWER(DataAll!$S$2:$S$555),0))</f>
        <v>0.28799999999999998</v>
      </c>
      <c r="I244" cm="1">
        <f t="array" ref="I244">INDEX(DataAll!$W$2:$W$555,MATCH(LOWER(Data!A244),LOWER(DataAll!$V$2:$V$555),0))</f>
        <v>39.81</v>
      </c>
      <c r="J244" cm="1">
        <f t="array" ref="J244">INDEX(DataAll!$Z$2:$Z$555,MATCH(LOWER(Data!A244),LOWER(DataAll!$Y$2:$Y$555),0))</f>
        <v>1.78</v>
      </c>
      <c r="K244" cm="1">
        <f t="array" ref="K244">INDEX(DataAll!$AM$2:$AM$555,MATCH(LOWER(Data!A244),LOWER(DataAll!$AL$2:$AL$555),0))</f>
        <v>13.65</v>
      </c>
      <c r="L244" cm="1">
        <f t="array" ref="L244">INDEX(DataAll!$AJ$2:$AJ$555,MATCH(LOWER(Data!A244),LOWER(DataAll!$AI$2:$AI$555),0))</f>
        <v>16.75</v>
      </c>
      <c r="M244" cm="1">
        <f t="array" ref="M244">INDEX(DataAll!$AP$2:$AP$555,MATCH(LOWER(Data!A244),LOWER(DataAll!$AO$2:$AO$555),0))</f>
        <v>70.89</v>
      </c>
      <c r="N244" cm="1">
        <f t="array" ref="N244">INDEX(DataAll!$AQ$2:$AQ$555,MATCH(LOWER(Data!A244),LOWER(DataAll!$AO$2:$AO$555),0))</f>
        <v>74.930000000000007</v>
      </c>
      <c r="O244" cm="1">
        <f t="array" ref="O244">INDEX(DataAll!$AT$2:$AT$555,MATCH(LOWER(Data!A244),LOWER(DataAll!$AS$2:$AS$555),0))</f>
        <v>8.15</v>
      </c>
      <c r="P244" cm="1">
        <f t="array" ref="P244">INDEX(DataAll!$AU$2:$AU$555,MATCH(LOWER(Data!A244),LOWER(DataAll!$AS$2:$AS$555),0))</f>
        <v>7.5</v>
      </c>
      <c r="Q244" cm="1">
        <f t="array" ref="Q244">INDEX(DataAll!$AX$2:$AX$556,MATCH(LOWER(Data!A244),LOWER(DataAll!$AW$2:$AW$556),0))</f>
        <v>24.02</v>
      </c>
      <c r="R244" cm="1">
        <f t="array" ref="R244">INDEX('Longitude and Latitude'!$B$2:$B$579,MATCH(LOWER(Data!A244),LOWER('Longitude and Latitude'!$A$2:$A$579),0))</f>
        <v>-8.2046139999999994</v>
      </c>
      <c r="S244" cm="1">
        <f t="array" ref="S244">INDEX('Longitude and Latitude'!$C$2:$C$579,MATCH(LOWER(Data!A244),LOWER('Longitude and Latitude'!$A$2:$A$579),0))</f>
        <v>111.08768999999999</v>
      </c>
      <c r="T244" t="b">
        <f>IF(EXACT(A244, UPPER(A244)), TRUE, FALSE)</f>
        <v>0</v>
      </c>
    </row>
    <row r="245" spans="1:20" x14ac:dyDescent="0.35">
      <c r="A245" t="s">
        <v>244</v>
      </c>
      <c r="B245">
        <v>94.4</v>
      </c>
      <c r="C245" cm="1">
        <f t="array" ref="C245">INDEX(DataAll!$E$2:$E$555,MATCH(LOWER(Data!A245),LOWER(DataAll!$D$2:$D$555),0))</f>
        <v>68.52</v>
      </c>
      <c r="D245" cm="1">
        <f t="array" ref="D245">INDEX(DataAll!$H$2:$H$579,MATCH(LOWER(Data!A245),LOWER(DataAll!$G$2:$G$555),0))</f>
        <v>0.35799999999999998</v>
      </c>
      <c r="E245" cm="1">
        <f t="array" ref="E245">INDEX(DataAll!$K$2:$K$579,MATCH(LOWER(Data!A245),LOWER(DataAll!$J$2:$J$555),0))</f>
        <v>13.33</v>
      </c>
      <c r="F245" cm="1">
        <f t="array" ref="F245">INDEX(DataAll!$N$2:$N$555,MATCH(LOWER(Data!A245),LOWER(DataAll!$M$2:$M$555),0))</f>
        <v>53.13</v>
      </c>
      <c r="G245" cm="1">
        <f t="array" ref="G245">INDEX(DataAll!$Q$2:$Q$555,MATCH(LOWER(Data!A245),LOWER(DataAll!$P$2:$P$555),0))</f>
        <v>9.19</v>
      </c>
      <c r="H245" cm="1">
        <f t="array" ref="H245">INDEX(DataAll!$T$2:$T$555,MATCH(LOWER(Data!A245),LOWER(DataAll!$S$2:$S$555),0))</f>
        <v>0.14599999999999999</v>
      </c>
      <c r="I245" cm="1">
        <f t="array" ref="I245">INDEX(DataAll!$W$2:$W$555,MATCH(LOWER(Data!A245),LOWER(DataAll!$V$2:$V$555),0))</f>
        <v>36.090000000000003</v>
      </c>
      <c r="J245" cm="1">
        <f t="array" ref="J245">INDEX(DataAll!$Z$2:$Z$555,MATCH(LOWER(Data!A245),LOWER(DataAll!$Y$2:$Y$555),0))</f>
        <v>1.92</v>
      </c>
      <c r="K245" cm="1">
        <f t="array" ref="K245">INDEX(DataAll!$AM$2:$AM$555,MATCH(LOWER(Data!A245),LOWER(DataAll!$AL$2:$AL$555),0))</f>
        <v>9.5299999999999994</v>
      </c>
      <c r="L245" cm="1">
        <f t="array" ref="L245">INDEX(DataAll!$AJ$2:$AJ$555,MATCH(LOWER(Data!A245),LOWER(DataAll!$AI$2:$AI$555),0))</f>
        <v>14.49</v>
      </c>
      <c r="M245" cm="1">
        <f t="array" ref="M245">INDEX(DataAll!$AP$2:$AP$555,MATCH(LOWER(Data!A245),LOWER(DataAll!$AO$2:$AO$555),0))</f>
        <v>71.36</v>
      </c>
      <c r="N245" cm="1">
        <f t="array" ref="N245">INDEX(DataAll!$AQ$2:$AQ$555,MATCH(LOWER(Data!A245),LOWER(DataAll!$AO$2:$AO$555),0))</f>
        <v>75.84</v>
      </c>
      <c r="O245" cm="1">
        <f t="array" ref="O245">INDEX(DataAll!$AT$2:$AT$555,MATCH(LOWER(Data!A245),LOWER(DataAll!$AS$2:$AS$555),0))</f>
        <v>8.1</v>
      </c>
      <c r="P245" cm="1">
        <f t="array" ref="P245">INDEX(DataAll!$AU$2:$AU$555,MATCH(LOWER(Data!A245),LOWER(DataAll!$AS$2:$AS$555),0))</f>
        <v>7.46</v>
      </c>
      <c r="Q245" cm="1">
        <f t="array" ref="Q245">INDEX(DataAll!$AX$2:$AX$556,MATCH(LOWER(Data!A245),LOWER(DataAll!$AW$2:$AW$556),0))</f>
        <v>28.38</v>
      </c>
      <c r="R245" cm="1">
        <f t="array" ref="R245">INDEX('Longitude and Latitude'!$B$2:$B$579,MATCH(LOWER(Data!A245),LOWER('Longitude and Latitude'!$A$2:$A$579),0))</f>
        <v>-7.8678270000000001</v>
      </c>
      <c r="S245" cm="1">
        <f t="array" ref="S245">INDEX('Longitude and Latitude'!$C$2:$C$579,MATCH(LOWER(Data!A245),LOWER('Longitude and Latitude'!$A$2:$A$579),0))</f>
        <v>111.466003</v>
      </c>
      <c r="T245" t="b">
        <f>IF(EXACT(A245, UPPER(A245)), TRUE, FALSE)</f>
        <v>0</v>
      </c>
    </row>
    <row r="246" spans="1:20" x14ac:dyDescent="0.35">
      <c r="A246" t="s">
        <v>245</v>
      </c>
      <c r="B246">
        <v>92.57</v>
      </c>
      <c r="C246" cm="1">
        <f t="array" ref="C246">INDEX(DataAll!$E$2:$E$555,MATCH(LOWER(Data!A246),LOWER(DataAll!$D$2:$D$555),0))</f>
        <v>62.63</v>
      </c>
      <c r="D246" cm="1">
        <f t="array" ref="D246">INDEX(DataAll!$H$2:$H$579,MATCH(LOWER(Data!A246),LOWER(DataAll!$G$2:$G$555),0))</f>
        <v>0.42499999999999999</v>
      </c>
      <c r="E246" cm="1">
        <f t="array" ref="E246">INDEX(DataAll!$K$2:$K$579,MATCH(LOWER(Data!A246),LOWER(DataAll!$J$2:$J$555),0))</f>
        <v>6.67</v>
      </c>
      <c r="F246" cm="1">
        <f t="array" ref="F246">INDEX(DataAll!$N$2:$N$555,MATCH(LOWER(Data!A246),LOWER(DataAll!$M$2:$M$555),0))</f>
        <v>53.87</v>
      </c>
      <c r="G246" cm="1">
        <f t="array" ref="G246">INDEX(DataAll!$Q$2:$Q$555,MATCH(LOWER(Data!A246),LOWER(DataAll!$P$2:$P$555),0))</f>
        <v>11.83</v>
      </c>
      <c r="H246" cm="1">
        <f t="array" ref="H246">INDEX(DataAll!$T$2:$T$555,MATCH(LOWER(Data!A246),LOWER(DataAll!$S$2:$S$555),0))</f>
        <v>0.23499999999999999</v>
      </c>
      <c r="I246" cm="1">
        <f t="array" ref="I246">INDEX(DataAll!$W$2:$W$555,MATCH(LOWER(Data!A246),LOWER(DataAll!$V$2:$V$555),0))</f>
        <v>38.32</v>
      </c>
      <c r="J246" cm="1">
        <f t="array" ref="J246">INDEX(DataAll!$Z$2:$Z$555,MATCH(LOWER(Data!A246),LOWER(DataAll!$Y$2:$Y$555),0))</f>
        <v>1.89</v>
      </c>
      <c r="K246" cm="1">
        <f t="array" ref="K246">INDEX(DataAll!$AM$2:$AM$555,MATCH(LOWER(Data!A246),LOWER(DataAll!$AL$2:$AL$555),0))</f>
        <v>10.63</v>
      </c>
      <c r="L246" cm="1">
        <f t="array" ref="L246">INDEX(DataAll!$AJ$2:$AJ$555,MATCH(LOWER(Data!A246),LOWER(DataAll!$AI$2:$AI$555),0))</f>
        <v>13.99</v>
      </c>
      <c r="M246" cm="1">
        <f t="array" ref="M246">INDEX(DataAll!$AP$2:$AP$555,MATCH(LOWER(Data!A246),LOWER(DataAll!$AO$2:$AO$555),0))</f>
        <v>72.900000000000006</v>
      </c>
      <c r="N246" cm="1">
        <f t="array" ref="N246">INDEX(DataAll!$AQ$2:$AQ$555,MATCH(LOWER(Data!A246),LOWER(DataAll!$AO$2:$AO$555),0))</f>
        <v>76.569999999999993</v>
      </c>
      <c r="O246" cm="1">
        <f t="array" ref="O246">INDEX(DataAll!$AT$2:$AT$555,MATCH(LOWER(Data!A246),LOWER(DataAll!$AS$2:$AS$555),0))</f>
        <v>8.1999999999999993</v>
      </c>
      <c r="P246" cm="1">
        <f t="array" ref="P246">INDEX(DataAll!$AU$2:$AU$555,MATCH(LOWER(Data!A246),LOWER(DataAll!$AS$2:$AS$555),0))</f>
        <v>7.6</v>
      </c>
      <c r="Q246" cm="1">
        <f t="array" ref="Q246">INDEX(DataAll!$AX$2:$AX$556,MATCH(LOWER(Data!A246),LOWER(DataAll!$AW$2:$AW$556),0))</f>
        <v>24.3</v>
      </c>
      <c r="R246" cm="1">
        <f t="array" ref="R246">INDEX('Longitude and Latitude'!$B$2:$B$579,MATCH(LOWER(Data!A246),LOWER('Longitude and Latitude'!$A$2:$A$579),0))</f>
        <v>-8.0500000000000007</v>
      </c>
      <c r="S246" cm="1">
        <f t="array" ref="S246">INDEX('Longitude and Latitude'!$C$2:$C$579,MATCH(LOWER(Data!A246),LOWER('Longitude and Latitude'!$A$2:$A$579),0))</f>
        <v>111.7166667</v>
      </c>
      <c r="T246" t="b">
        <f>IF(EXACT(A246, UPPER(A246)), TRUE, FALSE)</f>
        <v>0</v>
      </c>
    </row>
    <row r="247" spans="1:20" x14ac:dyDescent="0.35">
      <c r="A247" t="s">
        <v>246</v>
      </c>
      <c r="B247">
        <v>95.45</v>
      </c>
      <c r="C247" cm="1">
        <f t="array" ref="C247">INDEX(DataAll!$E$2:$E$555,MATCH(LOWER(Data!A247),LOWER(DataAll!$D$2:$D$555),0))</f>
        <v>72.92</v>
      </c>
      <c r="D247" cm="1">
        <f t="array" ref="D247">INDEX(DataAll!$H$2:$H$579,MATCH(LOWER(Data!A247),LOWER(DataAll!$G$2:$G$555),0))</f>
        <v>0.24399999999999999</v>
      </c>
      <c r="E247" cm="1">
        <f t="array" ref="E247">INDEX(DataAll!$K$2:$K$579,MATCH(LOWER(Data!A247),LOWER(DataAll!$J$2:$J$555),0))</f>
        <v>18</v>
      </c>
      <c r="F247" cm="1">
        <f t="array" ref="F247">INDEX(DataAll!$N$2:$N$555,MATCH(LOWER(Data!A247),LOWER(DataAll!$M$2:$M$555),0))</f>
        <v>56.97</v>
      </c>
      <c r="G247" cm="1">
        <f t="array" ref="G247">INDEX(DataAll!$Q$2:$Q$555,MATCH(LOWER(Data!A247),LOWER(DataAll!$P$2:$P$555),0))</f>
        <v>7.68</v>
      </c>
      <c r="H247" cm="1">
        <f t="array" ref="H247">INDEX(DataAll!$T$2:$T$555,MATCH(LOWER(Data!A247),LOWER(DataAll!$S$2:$S$555),0))</f>
        <v>0.16700000000000001</v>
      </c>
      <c r="I247" cm="1">
        <f t="array" ref="I247">INDEX(DataAll!$W$2:$W$555,MATCH(LOWER(Data!A247),LOWER(DataAll!$V$2:$V$555),0))</f>
        <v>39.79</v>
      </c>
      <c r="J247" cm="1">
        <f t="array" ref="J247">INDEX(DataAll!$Z$2:$Z$555,MATCH(LOWER(Data!A247),LOWER(DataAll!$Y$2:$Y$555),0))</f>
        <v>1.97</v>
      </c>
      <c r="K247" cm="1">
        <f t="array" ref="K247">INDEX(DataAll!$AM$2:$AM$555,MATCH(LOWER(Data!A247),LOWER(DataAll!$AL$2:$AL$555),0))</f>
        <v>6.53</v>
      </c>
      <c r="L247" cm="1">
        <f t="array" ref="L247">INDEX(DataAll!$AJ$2:$AJ$555,MATCH(LOWER(Data!A247),LOWER(DataAll!$AI$2:$AI$555),0))</f>
        <v>15.7</v>
      </c>
      <c r="M247" cm="1">
        <f t="array" ref="M247">INDEX(DataAll!$AP$2:$AP$555,MATCH(LOWER(Data!A247),LOWER(DataAll!$AO$2:$AO$555),0))</f>
        <v>73.180000000000007</v>
      </c>
      <c r="N247" cm="1">
        <f t="array" ref="N247">INDEX(DataAll!$AQ$2:$AQ$555,MATCH(LOWER(Data!A247),LOWER(DataAll!$AO$2:$AO$555),0))</f>
        <v>76.83</v>
      </c>
      <c r="O247" cm="1">
        <f t="array" ref="O247">INDEX(DataAll!$AT$2:$AT$555,MATCH(LOWER(Data!A247),LOWER(DataAll!$AS$2:$AS$555),0))</f>
        <v>8.94</v>
      </c>
      <c r="P247" cm="1">
        <f t="array" ref="P247">INDEX(DataAll!$AU$2:$AU$555,MATCH(LOWER(Data!A247),LOWER(DataAll!$AS$2:$AS$555),0))</f>
        <v>8.41</v>
      </c>
      <c r="Q247" cm="1">
        <f t="array" ref="Q247">INDEX(DataAll!$AX$2:$AX$556,MATCH(LOWER(Data!A247),LOWER(DataAll!$AW$2:$AW$556),0))</f>
        <v>34.270000000000003</v>
      </c>
      <c r="R247" cm="1">
        <f t="array" ref="R247">INDEX('Longitude and Latitude'!$B$2:$B$579,MATCH(LOWER(Data!A247),LOWER('Longitude and Latitude'!$A$2:$A$579),0))</f>
        <v>-8.0666667000000007</v>
      </c>
      <c r="S247" cm="1">
        <f t="array" ref="S247">INDEX('Longitude and Latitude'!$C$2:$C$579,MATCH(LOWER(Data!A247),LOWER('Longitude and Latitude'!$A$2:$A$579),0))</f>
        <v>111.9</v>
      </c>
      <c r="T247" t="b">
        <f>IF(EXACT(A247, UPPER(A247)), TRUE, FALSE)</f>
        <v>0</v>
      </c>
    </row>
    <row r="248" spans="1:20" x14ac:dyDescent="0.35">
      <c r="A248" t="s">
        <v>247</v>
      </c>
      <c r="B248">
        <v>93.4</v>
      </c>
      <c r="C248" cm="1">
        <f t="array" ref="C248">INDEX(DataAll!$E$2:$E$555,MATCH(LOWER(Data!A248),LOWER(DataAll!$D$2:$D$555),0))</f>
        <v>81.319999999999993</v>
      </c>
      <c r="D248" cm="1">
        <f t="array" ref="D248">INDEX(DataAll!$H$2:$H$579,MATCH(LOWER(Data!A248),LOWER(DataAll!$G$2:$G$555),0))</f>
        <v>0.26</v>
      </c>
      <c r="E248" cm="1">
        <f t="array" ref="E248">INDEX(DataAll!$K$2:$K$579,MATCH(LOWER(Data!A248),LOWER(DataAll!$J$2:$J$555),0))</f>
        <v>24</v>
      </c>
      <c r="F248" cm="1">
        <f t="array" ref="F248">INDEX(DataAll!$N$2:$N$555,MATCH(LOWER(Data!A248),LOWER(DataAll!$M$2:$M$555),0))</f>
        <v>56.22</v>
      </c>
      <c r="G248" cm="1">
        <f t="array" ref="G248">INDEX(DataAll!$Q$2:$Q$555,MATCH(LOWER(Data!A248),LOWER(DataAll!$P$2:$P$555),0))</f>
        <v>10.91</v>
      </c>
      <c r="H248" cm="1">
        <f t="array" ref="H248">INDEX(DataAll!$T$2:$T$555,MATCH(LOWER(Data!A248),LOWER(DataAll!$S$2:$S$555),0))</f>
        <v>0.23300000000000001</v>
      </c>
      <c r="I248" cm="1">
        <f t="array" ref="I248">INDEX(DataAll!$W$2:$W$555,MATCH(LOWER(Data!A248),LOWER(DataAll!$V$2:$V$555),0))</f>
        <v>42.53</v>
      </c>
      <c r="J248" cm="1">
        <f t="array" ref="J248">INDEX(DataAll!$Z$2:$Z$555,MATCH(LOWER(Data!A248),LOWER(DataAll!$Y$2:$Y$555),0))</f>
        <v>2</v>
      </c>
      <c r="K248" cm="1">
        <f t="array" ref="K248">INDEX(DataAll!$AM$2:$AM$555,MATCH(LOWER(Data!A248),LOWER(DataAll!$AL$2:$AL$555),0))</f>
        <v>8.69</v>
      </c>
      <c r="L248" cm="1">
        <f t="array" ref="L248">INDEX(DataAll!$AJ$2:$AJ$555,MATCH(LOWER(Data!A248),LOWER(DataAll!$AI$2:$AI$555),0))</f>
        <v>14.12</v>
      </c>
      <c r="M248" cm="1">
        <f t="array" ref="M248">INDEX(DataAll!$AP$2:$AP$555,MATCH(LOWER(Data!A248),LOWER(DataAll!$AO$2:$AO$555),0))</f>
        <v>72.59</v>
      </c>
      <c r="N248" cm="1">
        <f t="array" ref="N248">INDEX(DataAll!$AQ$2:$AQ$555,MATCH(LOWER(Data!A248),LOWER(DataAll!$AO$2:$AO$555),0))</f>
        <v>76.28</v>
      </c>
      <c r="O248" cm="1">
        <f t="array" ref="O248">INDEX(DataAll!$AT$2:$AT$555,MATCH(LOWER(Data!A248),LOWER(DataAll!$AS$2:$AS$555),0))</f>
        <v>7.93</v>
      </c>
      <c r="P248" cm="1">
        <f t="array" ref="P248">INDEX(DataAll!$AU$2:$AU$555,MATCH(LOWER(Data!A248),LOWER(DataAll!$AS$2:$AS$555),0))</f>
        <v>7.69</v>
      </c>
      <c r="Q248" cm="1">
        <f t="array" ref="Q248">INDEX(DataAll!$AX$2:$AX$556,MATCH(LOWER(Data!A248),LOWER(DataAll!$AW$2:$AW$556),0))</f>
        <v>27.52</v>
      </c>
      <c r="R248" cm="1">
        <f t="array" ref="R248">INDEX('Longitude and Latitude'!$B$2:$B$579,MATCH(LOWER(Data!A248),LOWER('Longitude and Latitude'!$A$2:$A$579),0))</f>
        <v>-8.1014418999999993</v>
      </c>
      <c r="S248" cm="1">
        <f t="array" ref="S248">INDEX('Longitude and Latitude'!$C$2:$C$579,MATCH(LOWER(Data!A248),LOWER('Longitude and Latitude'!$A$2:$A$579),0))</f>
        <v>112.162762</v>
      </c>
      <c r="T248" t="b">
        <f>IF(EXACT(A248, UPPER(A248)), TRUE, FALSE)</f>
        <v>0</v>
      </c>
    </row>
    <row r="249" spans="1:20" x14ac:dyDescent="0.35">
      <c r="A249" t="s">
        <v>248</v>
      </c>
      <c r="B249">
        <v>93.25</v>
      </c>
      <c r="C249" cm="1">
        <f t="array" ref="C249">INDEX(DataAll!$E$2:$E$555,MATCH(LOWER(Data!A249),LOWER(DataAll!$D$2:$D$555),0))</f>
        <v>73.36</v>
      </c>
      <c r="D249" cm="1">
        <f t="array" ref="D249">INDEX(DataAll!$H$2:$H$579,MATCH(LOWER(Data!A249),LOWER(DataAll!$G$2:$G$555),0))</f>
        <v>0.372</v>
      </c>
      <c r="E249" cm="1">
        <f t="array" ref="E249">INDEX(DataAll!$K$2:$K$579,MATCH(LOWER(Data!A249),LOWER(DataAll!$J$2:$J$555),0))</f>
        <v>22.45</v>
      </c>
      <c r="F249" cm="1">
        <f t="array" ref="F249">INDEX(DataAll!$N$2:$N$555,MATCH(LOWER(Data!A249),LOWER(DataAll!$M$2:$M$555),0))</f>
        <v>46.42</v>
      </c>
      <c r="G249" cm="1">
        <f t="array" ref="G249">INDEX(DataAll!$Q$2:$Q$555,MATCH(LOWER(Data!A249),LOWER(DataAll!$P$2:$P$555),0))</f>
        <v>8.3699999999999992</v>
      </c>
      <c r="H249" cm="1">
        <f t="array" ref="H249">INDEX(DataAll!$T$2:$T$555,MATCH(LOWER(Data!A249),LOWER(DataAll!$S$2:$S$555),0))</f>
        <v>0.183</v>
      </c>
      <c r="I249" cm="1">
        <f t="array" ref="I249">INDEX(DataAll!$W$2:$W$555,MATCH(LOWER(Data!A249),LOWER(DataAll!$V$2:$V$555),0))</f>
        <v>31.81</v>
      </c>
      <c r="J249" cm="1">
        <f t="array" ref="J249">INDEX(DataAll!$Z$2:$Z$555,MATCH(LOWER(Data!A249),LOWER(DataAll!$Y$2:$Y$555),0))</f>
        <v>2.13</v>
      </c>
      <c r="K249" cm="1">
        <f t="array" ref="K249">INDEX(DataAll!$AM$2:$AM$555,MATCH(LOWER(Data!A249),LOWER(DataAll!$AL$2:$AL$555),0))</f>
        <v>10.72</v>
      </c>
      <c r="L249" cm="1">
        <f t="array" ref="L249">INDEX(DataAll!$AJ$2:$AJ$555,MATCH(LOWER(Data!A249),LOWER(DataAll!$AI$2:$AI$555),0))</f>
        <v>15.37</v>
      </c>
      <c r="M249" cm="1">
        <f t="array" ref="M249">INDEX(DataAll!$AP$2:$AP$555,MATCH(LOWER(Data!A249),LOWER(DataAll!$AO$2:$AO$555),0))</f>
        <v>71.180000000000007</v>
      </c>
      <c r="N249" cm="1">
        <f t="array" ref="N249">INDEX(DataAll!$AQ$2:$AQ$555,MATCH(LOWER(Data!A249),LOWER(DataAll!$AO$2:$AO$555),0))</f>
        <v>75.47</v>
      </c>
      <c r="O249" cm="1">
        <f t="array" ref="O249">INDEX(DataAll!$AT$2:$AT$555,MATCH(LOWER(Data!A249),LOWER(DataAll!$AS$2:$AS$555),0))</f>
        <v>8.6199999999999992</v>
      </c>
      <c r="P249" cm="1">
        <f t="array" ref="P249">INDEX(DataAll!$AU$2:$AU$555,MATCH(LOWER(Data!A249),LOWER(DataAll!$AS$2:$AS$555),0))</f>
        <v>7.87</v>
      </c>
      <c r="Q249" cm="1">
        <f t="array" ref="Q249">INDEX(DataAll!$AX$2:$AX$556,MATCH(LOWER(Data!A249),LOWER(DataAll!$AW$2:$AW$556),0))</f>
        <v>32.549999999999997</v>
      </c>
      <c r="R249" cm="1">
        <f t="array" ref="R249">INDEX('Longitude and Latitude'!$B$2:$B$579,MATCH(LOWER(Data!A249),LOWER('Longitude and Latitude'!$A$2:$A$579),0))</f>
        <v>-7.8093560000000002</v>
      </c>
      <c r="S249" cm="1">
        <f t="array" ref="S249">INDEX('Longitude and Latitude'!$C$2:$C$579,MATCH(LOWER(Data!A249),LOWER('Longitude and Latitude'!$A$2:$A$579),0))</f>
        <v>112.03235599999999</v>
      </c>
      <c r="T249" t="b">
        <f>IF(EXACT(A249, UPPER(A249)), TRUE, FALSE)</f>
        <v>0</v>
      </c>
    </row>
    <row r="250" spans="1:20" x14ac:dyDescent="0.35">
      <c r="A250" t="s">
        <v>249</v>
      </c>
      <c r="B250">
        <v>88.6</v>
      </c>
      <c r="C250" cm="1">
        <f t="array" ref="C250">INDEX(DataAll!$E$2:$E$555,MATCH(LOWER(Data!A250),LOWER(DataAll!$D$2:$D$555),0))</f>
        <v>76.45</v>
      </c>
      <c r="D250" cm="1">
        <f t="array" ref="D250">INDEX(DataAll!$H$2:$H$579,MATCH(LOWER(Data!A250),LOWER(DataAll!$G$2:$G$555),0))</f>
        <v>0.436</v>
      </c>
      <c r="E250" cm="1">
        <f t="array" ref="E250">INDEX(DataAll!$K$2:$K$579,MATCH(LOWER(Data!A250),LOWER(DataAll!$J$2:$J$555),0))</f>
        <v>22</v>
      </c>
      <c r="F250" cm="1">
        <f t="array" ref="F250">INDEX(DataAll!$N$2:$N$555,MATCH(LOWER(Data!A250),LOWER(DataAll!$M$2:$M$555),0))</f>
        <v>48.25</v>
      </c>
      <c r="G250" cm="1">
        <f t="array" ref="G250">INDEX(DataAll!$Q$2:$Q$555,MATCH(LOWER(Data!A250),LOWER(DataAll!$P$2:$P$555),0))</f>
        <v>8.4700000000000006</v>
      </c>
      <c r="H250" cm="1">
        <f t="array" ref="H250">INDEX(DataAll!$T$2:$T$555,MATCH(LOWER(Data!A250),LOWER(DataAll!$S$2:$S$555),0))</f>
        <v>0.28599999999999998</v>
      </c>
      <c r="I250" cm="1">
        <f t="array" ref="I250">INDEX(DataAll!$W$2:$W$555,MATCH(LOWER(Data!A250),LOWER(DataAll!$V$2:$V$555),0))</f>
        <v>35.96</v>
      </c>
      <c r="J250" cm="1">
        <f t="array" ref="J250">INDEX(DataAll!$Z$2:$Z$555,MATCH(LOWER(Data!A250),LOWER(DataAll!$Y$2:$Y$555),0))</f>
        <v>2.1</v>
      </c>
      <c r="K250" cm="1">
        <f t="array" ref="K250">INDEX(DataAll!$AM$2:$AM$555,MATCH(LOWER(Data!A250),LOWER(DataAll!$AL$2:$AL$555),0))</f>
        <v>9.4499999999999993</v>
      </c>
      <c r="L250" cm="1">
        <f t="array" ref="L250">INDEX(DataAll!$AJ$2:$AJ$555,MATCH(LOWER(Data!A250),LOWER(DataAll!$AI$2:$AI$555),0))</f>
        <v>14.06</v>
      </c>
      <c r="M250" cm="1">
        <f t="array" ref="M250">INDEX(DataAll!$AP$2:$AP$555,MATCH(LOWER(Data!A250),LOWER(DataAll!$AO$2:$AO$555),0))</f>
        <v>71.180000000000007</v>
      </c>
      <c r="N250" cm="1">
        <f t="array" ref="N250">INDEX(DataAll!$AQ$2:$AQ$555,MATCH(LOWER(Data!A250),LOWER(DataAll!$AO$2:$AO$555),0))</f>
        <v>75.45</v>
      </c>
      <c r="O250" cm="1">
        <f t="array" ref="O250">INDEX(DataAll!$AT$2:$AT$555,MATCH(LOWER(Data!A250),LOWER(DataAll!$AS$2:$AS$555),0))</f>
        <v>8.08</v>
      </c>
      <c r="P250" cm="1">
        <f t="array" ref="P250">INDEX(DataAll!$AU$2:$AU$555,MATCH(LOWER(Data!A250),LOWER(DataAll!$AS$2:$AS$555),0))</f>
        <v>7.45</v>
      </c>
      <c r="Q250" cm="1">
        <f t="array" ref="Q250">INDEX(DataAll!$AX$2:$AX$556,MATCH(LOWER(Data!A250),LOWER(DataAll!$AW$2:$AW$556),0))</f>
        <v>25.45</v>
      </c>
      <c r="R250" cm="1">
        <f t="array" ref="R250">INDEX('Longitude and Latitude'!$B$2:$B$579,MATCH(LOWER(Data!A250),LOWER('Longitude and Latitude'!$A$2:$A$579),0))</f>
        <v>-8.0495643000000001</v>
      </c>
      <c r="S250" cm="1">
        <f t="array" ref="S250">INDEX('Longitude and Latitude'!$C$2:$C$579,MATCH(LOWER(Data!A250),LOWER('Longitude and Latitude'!$A$2:$A$579),0))</f>
        <v>112.6884549</v>
      </c>
      <c r="T250" t="b">
        <f>IF(EXACT(A250, UPPER(A250)), TRUE, FALSE)</f>
        <v>0</v>
      </c>
    </row>
    <row r="251" spans="1:20" x14ac:dyDescent="0.35">
      <c r="A251" t="s">
        <v>250</v>
      </c>
      <c r="B251">
        <v>89.06</v>
      </c>
      <c r="C251" cm="1">
        <f t="array" ref="C251">INDEX(DataAll!$E$2:$E$555,MATCH(LOWER(Data!A251),LOWER(DataAll!$D$2:$D$555),0))</f>
        <v>59.88</v>
      </c>
      <c r="D251" cm="1">
        <f t="array" ref="D251">INDEX(DataAll!$H$2:$H$579,MATCH(LOWER(Data!A251),LOWER(DataAll!$G$2:$G$555),0))</f>
        <v>0.32200000000000001</v>
      </c>
      <c r="E251" cm="1">
        <f t="array" ref="E251">INDEX(DataAll!$K$2:$K$579,MATCH(LOWER(Data!A251),LOWER(DataAll!$J$2:$J$555),0))</f>
        <v>16</v>
      </c>
      <c r="F251" cm="1">
        <f t="array" ref="F251">INDEX(DataAll!$N$2:$N$555,MATCH(LOWER(Data!A251),LOWER(DataAll!$M$2:$M$555),0))</f>
        <v>49.8</v>
      </c>
      <c r="G251" cm="1">
        <f t="array" ref="G251">INDEX(DataAll!$Q$2:$Q$555,MATCH(LOWER(Data!A251),LOWER(DataAll!$P$2:$P$555),0))</f>
        <v>8.77</v>
      </c>
      <c r="H251" cm="1">
        <f t="array" ref="H251">INDEX(DataAll!$T$2:$T$555,MATCH(LOWER(Data!A251),LOWER(DataAll!$S$2:$S$555),0))</f>
        <v>0.38300000000000001</v>
      </c>
      <c r="I251" cm="1">
        <f t="array" ref="I251">INDEX(DataAll!$W$2:$W$555,MATCH(LOWER(Data!A251),LOWER(DataAll!$V$2:$V$555),0))</f>
        <v>24.09</v>
      </c>
      <c r="J251" cm="1">
        <f t="array" ref="J251">INDEX(DataAll!$Z$2:$Z$555,MATCH(LOWER(Data!A251),LOWER(DataAll!$Y$2:$Y$555),0))</f>
        <v>1.96</v>
      </c>
      <c r="K251" cm="1">
        <f t="array" ref="K251">INDEX(DataAll!$AM$2:$AM$555,MATCH(LOWER(Data!A251),LOWER(DataAll!$AL$2:$AL$555),0))</f>
        <v>8.93</v>
      </c>
      <c r="L251" cm="1">
        <f t="array" ref="L251">INDEX(DataAll!$AJ$2:$AJ$555,MATCH(LOWER(Data!A251),LOWER(DataAll!$AI$2:$AI$555),0))</f>
        <v>17.53</v>
      </c>
      <c r="M251" cm="1">
        <f t="array" ref="M251">INDEX(DataAll!$AP$2:$AP$555,MATCH(LOWER(Data!A251),LOWER(DataAll!$AO$2:$AO$555),0))</f>
        <v>69.03</v>
      </c>
      <c r="N251" cm="1">
        <f t="array" ref="N251">INDEX(DataAll!$AQ$2:$AQ$555,MATCH(LOWER(Data!A251),LOWER(DataAll!$AO$2:$AO$555),0))</f>
        <v>72.98</v>
      </c>
      <c r="O251" cm="1">
        <f t="array" ref="O251">INDEX(DataAll!$AT$2:$AT$555,MATCH(LOWER(Data!A251),LOWER(DataAll!$AS$2:$AS$555),0))</f>
        <v>7.66</v>
      </c>
      <c r="P251" cm="1">
        <f t="array" ref="P251">INDEX(DataAll!$AU$2:$AU$555,MATCH(LOWER(Data!A251),LOWER(DataAll!$AS$2:$AS$555),0))</f>
        <v>6.69</v>
      </c>
      <c r="Q251" cm="1">
        <f t="array" ref="Q251">INDEX(DataAll!$AX$2:$AX$556,MATCH(LOWER(Data!A251),LOWER(DataAll!$AW$2:$AW$556),0))</f>
        <v>23.17</v>
      </c>
      <c r="R251" cm="1">
        <f t="array" ref="R251">INDEX('Longitude and Latitude'!$B$2:$B$579,MATCH(LOWER(Data!A251),LOWER('Longitude and Latitude'!$A$2:$A$579),0))</f>
        <v>-8.137022</v>
      </c>
      <c r="S251" cm="1">
        <f t="array" ref="S251">INDEX('Longitude and Latitude'!$C$2:$C$579,MATCH(LOWER(Data!A251),LOWER('Longitude and Latitude'!$A$2:$A$579),0))</f>
        <v>113.226601</v>
      </c>
      <c r="T251" t="b">
        <f>IF(EXACT(A251, UPPER(A251)), TRUE, FALSE)</f>
        <v>0</v>
      </c>
    </row>
    <row r="252" spans="1:20" x14ac:dyDescent="0.35">
      <c r="A252" t="s">
        <v>251</v>
      </c>
      <c r="B252">
        <v>85.52</v>
      </c>
      <c r="C252" cm="1">
        <f t="array" ref="C252">INDEX(DataAll!$E$2:$E$555,MATCH(LOWER(Data!A252),LOWER(DataAll!$D$2:$D$555),0))</f>
        <v>66.97</v>
      </c>
      <c r="D252" cm="1">
        <f t="array" ref="D252">INDEX(DataAll!$H$2:$H$579,MATCH(LOWER(Data!A252),LOWER(DataAll!$G$2:$G$555),0))</f>
        <v>0.40600000000000003</v>
      </c>
      <c r="E252" cm="1">
        <f t="array" ref="E252">INDEX(DataAll!$K$2:$K$579,MATCH(LOWER(Data!A252),LOWER(DataAll!$J$2:$J$555),0))</f>
        <v>18</v>
      </c>
      <c r="F252" cm="1">
        <f t="array" ref="F252">INDEX(DataAll!$N$2:$N$555,MATCH(LOWER(Data!A252),LOWER(DataAll!$M$2:$M$555),0))</f>
        <v>40</v>
      </c>
      <c r="G252" cm="1">
        <f t="array" ref="G252">INDEX(DataAll!$Q$2:$Q$555,MATCH(LOWER(Data!A252),LOWER(DataAll!$P$2:$P$555),0))</f>
        <v>10.38</v>
      </c>
      <c r="H252" cm="1">
        <f t="array" ref="H252">INDEX(DataAll!$T$2:$T$555,MATCH(LOWER(Data!A252),LOWER(DataAll!$S$2:$S$555),0))</f>
        <v>0.42399999999999999</v>
      </c>
      <c r="I252" cm="1">
        <f t="array" ref="I252">INDEX(DataAll!$W$2:$W$555,MATCH(LOWER(Data!A252),LOWER(DataAll!$V$2:$V$555),0))</f>
        <v>30.84</v>
      </c>
      <c r="J252" cm="1">
        <f t="array" ref="J252">INDEX(DataAll!$Z$2:$Z$555,MATCH(LOWER(Data!A252),LOWER(DataAll!$Y$2:$Y$555),0))</f>
        <v>2.0299999999999998</v>
      </c>
      <c r="K252" cm="1">
        <f t="array" ref="K252">INDEX(DataAll!$AM$2:$AM$555,MATCH(LOWER(Data!A252),LOWER(DataAll!$AL$2:$AL$555),0))</f>
        <v>9.51</v>
      </c>
      <c r="L252" cm="1">
        <f t="array" ref="L252">INDEX(DataAll!$AJ$2:$AJ$555,MATCH(LOWER(Data!A252),LOWER(DataAll!$AI$2:$AI$555),0))</f>
        <v>19.28</v>
      </c>
      <c r="M252" cm="1">
        <f t="array" ref="M252">INDEX(DataAll!$AP$2:$AP$555,MATCH(LOWER(Data!A252),LOWER(DataAll!$AO$2:$AO$555),0))</f>
        <v>68.11</v>
      </c>
      <c r="N252" cm="1">
        <f t="array" ref="N252">INDEX(DataAll!$AQ$2:$AQ$555,MATCH(LOWER(Data!A252),LOWER(DataAll!$AO$2:$AO$555),0))</f>
        <v>72.05</v>
      </c>
      <c r="O252" cm="1">
        <f t="array" ref="O252">INDEX(DataAll!$AT$2:$AT$555,MATCH(LOWER(Data!A252),LOWER(DataAll!$AS$2:$AS$555),0))</f>
        <v>7.21</v>
      </c>
      <c r="P252" cm="1">
        <f t="array" ref="P252">INDEX(DataAll!$AU$2:$AU$555,MATCH(LOWER(Data!A252),LOWER(DataAll!$AS$2:$AS$555),0))</f>
        <v>6.01</v>
      </c>
      <c r="Q252" cm="1">
        <f t="array" ref="Q252">INDEX(DataAll!$AX$2:$AX$556,MATCH(LOWER(Data!A252),LOWER(DataAll!$AW$2:$AW$556),0))</f>
        <v>21.39</v>
      </c>
      <c r="R252" cm="1">
        <f t="array" ref="R252">INDEX('Longitude and Latitude'!$B$2:$B$579,MATCH(LOWER(Data!A252),LOWER('Longitude and Latitude'!$A$2:$A$579),0))</f>
        <v>-8.1723569999999999</v>
      </c>
      <c r="S252" cm="1">
        <f t="array" ref="S252">INDEX('Longitude and Latitude'!$C$2:$C$579,MATCH(LOWER(Data!A252),LOWER('Longitude and Latitude'!$A$2:$A$579),0))</f>
        <v>113.70030199999999</v>
      </c>
      <c r="T252" t="b">
        <f>IF(EXACT(A252, UPPER(A252)), TRUE, FALSE)</f>
        <v>0</v>
      </c>
    </row>
    <row r="253" spans="1:20" x14ac:dyDescent="0.35">
      <c r="A253" t="s">
        <v>252</v>
      </c>
      <c r="B253">
        <v>87.5</v>
      </c>
      <c r="C253" cm="1">
        <f t="array" ref="C253">INDEX(DataAll!$E$2:$E$555,MATCH(LOWER(Data!A253),LOWER(DataAll!$D$2:$D$555),0))</f>
        <v>75.010000000000005</v>
      </c>
      <c r="D253" cm="1">
        <f t="array" ref="D253">INDEX(DataAll!$H$2:$H$579,MATCH(LOWER(Data!A253),LOWER(DataAll!$G$2:$G$555),0))</f>
        <v>0.23</v>
      </c>
      <c r="E253" cm="1">
        <f t="array" ref="E253">INDEX(DataAll!$K$2:$K$579,MATCH(LOWER(Data!A253),LOWER(DataAll!$J$2:$J$555),0))</f>
        <v>26</v>
      </c>
      <c r="F253" cm="1">
        <f t="array" ref="F253">INDEX(DataAll!$N$2:$N$555,MATCH(LOWER(Data!A253),LOWER(DataAll!$M$2:$M$555),0))</f>
        <v>49.53</v>
      </c>
      <c r="G253" cm="1">
        <f t="array" ref="G253">INDEX(DataAll!$Q$2:$Q$555,MATCH(LOWER(Data!A253),LOWER(DataAll!$P$2:$P$555),0))</f>
        <v>9.07</v>
      </c>
      <c r="H253" cm="1">
        <f t="array" ref="H253">INDEX(DataAll!$T$2:$T$555,MATCH(LOWER(Data!A253),LOWER(DataAll!$S$2:$S$555),0))</f>
        <v>0.26100000000000001</v>
      </c>
      <c r="I253" cm="1">
        <f t="array" ref="I253">INDEX(DataAll!$W$2:$W$555,MATCH(LOWER(Data!A253),LOWER(DataAll!$V$2:$V$555),0))</f>
        <v>31.15</v>
      </c>
      <c r="J253" cm="1">
        <f t="array" ref="J253">INDEX(DataAll!$Z$2:$Z$555,MATCH(LOWER(Data!A253),LOWER(DataAll!$Y$2:$Y$555),0))</f>
        <v>2.0499999999999998</v>
      </c>
      <c r="K253" cm="1">
        <f t="array" ref="K253">INDEX(DataAll!$AM$2:$AM$555,MATCH(LOWER(Data!A253),LOWER(DataAll!$AL$2:$AL$555),0))</f>
        <v>7.34</v>
      </c>
      <c r="L253" cm="1">
        <f t="array" ref="L253">INDEX(DataAll!$AJ$2:$AJ$555,MATCH(LOWER(Data!A253),LOWER(DataAll!$AI$2:$AI$555),0))</f>
        <v>19.82</v>
      </c>
      <c r="M253" cm="1">
        <f t="array" ref="M253">INDEX(DataAll!$AP$2:$AP$555,MATCH(LOWER(Data!A253),LOWER(DataAll!$AO$2:$AO$555),0))</f>
        <v>69.44</v>
      </c>
      <c r="N253" cm="1">
        <f t="array" ref="N253">INDEX(DataAll!$AQ$2:$AQ$555,MATCH(LOWER(Data!A253),LOWER(DataAll!$AO$2:$AO$555),0))</f>
        <v>73.41</v>
      </c>
      <c r="O253" cm="1">
        <f t="array" ref="O253">INDEX(DataAll!$AT$2:$AT$555,MATCH(LOWER(Data!A253),LOWER(DataAll!$AS$2:$AS$555),0))</f>
        <v>8.19</v>
      </c>
      <c r="P253" cm="1">
        <f t="array" ref="P253">INDEX(DataAll!$AU$2:$AU$555,MATCH(LOWER(Data!A253),LOWER(DataAll!$AS$2:$AS$555),0))</f>
        <v>7.21</v>
      </c>
      <c r="Q253" cm="1">
        <f t="array" ref="Q253">INDEX(DataAll!$AX$2:$AX$556,MATCH(LOWER(Data!A253),LOWER(DataAll!$AW$2:$AW$556),0))</f>
        <v>28.82</v>
      </c>
      <c r="R253" cm="1">
        <f t="array" ref="R253">INDEX('Longitude and Latitude'!$B$2:$B$579,MATCH(LOWER(Data!A253),LOWER('Longitude and Latitude'!$A$2:$A$579),0))</f>
        <v>-8.2186111000000004</v>
      </c>
      <c r="S253" cm="1">
        <f t="array" ref="S253">INDEX('Longitude and Latitude'!$C$2:$C$579,MATCH(LOWER(Data!A253),LOWER('Longitude and Latitude'!$A$2:$A$579),0))</f>
        <v>114.36694439999999</v>
      </c>
      <c r="T253" t="b">
        <f>IF(EXACT(A253, UPPER(A253)), TRUE, FALSE)</f>
        <v>0</v>
      </c>
    </row>
    <row r="254" spans="1:20" x14ac:dyDescent="0.35">
      <c r="A254" t="s">
        <v>253</v>
      </c>
      <c r="B254">
        <v>91.17</v>
      </c>
      <c r="C254" cm="1">
        <f t="array" ref="C254">INDEX(DataAll!$E$2:$E$555,MATCH(LOWER(Data!A254),LOWER(DataAll!$D$2:$D$555),0))</f>
        <v>64.8</v>
      </c>
      <c r="D254" cm="1">
        <f t="array" ref="D254">INDEX(DataAll!$H$2:$H$579,MATCH(LOWER(Data!A254),LOWER(DataAll!$G$2:$G$555),0))</f>
        <v>0.54700000000000004</v>
      </c>
      <c r="E254" cm="1">
        <f t="array" ref="E254">INDEX(DataAll!$K$2:$K$579,MATCH(LOWER(Data!A254),LOWER(DataAll!$J$2:$J$555),0))</f>
        <v>11.11</v>
      </c>
      <c r="F254" cm="1">
        <f t="array" ref="F254">INDEX(DataAll!$N$2:$N$555,MATCH(LOWER(Data!A254),LOWER(DataAll!$M$2:$M$555),0))</f>
        <v>42.99</v>
      </c>
      <c r="G254" cm="1">
        <f t="array" ref="G254">INDEX(DataAll!$Q$2:$Q$555,MATCH(LOWER(Data!A254),LOWER(DataAll!$P$2:$P$555),0))</f>
        <v>12.72</v>
      </c>
      <c r="H254" cm="1">
        <f t="array" ref="H254">INDEX(DataAll!$T$2:$T$555,MATCH(LOWER(Data!A254),LOWER(DataAll!$S$2:$S$555),0))</f>
        <v>0.47899999999999998</v>
      </c>
      <c r="I254" cm="1">
        <f t="array" ref="I254">INDEX(DataAll!$W$2:$W$555,MATCH(LOWER(Data!A254),LOWER(DataAll!$V$2:$V$555),0))</f>
        <v>37.299999999999997</v>
      </c>
      <c r="J254" cm="1">
        <f t="array" ref="J254">INDEX(DataAll!$Z$2:$Z$555,MATCH(LOWER(Data!A254),LOWER(DataAll!$Y$2:$Y$555),0))</f>
        <v>2.0499999999999998</v>
      </c>
      <c r="K254" cm="1">
        <f t="array" ref="K254">INDEX(DataAll!$AM$2:$AM$555,MATCH(LOWER(Data!A254),LOWER(DataAll!$AL$2:$AL$555),0))</f>
        <v>13.34</v>
      </c>
      <c r="L254" cm="1">
        <f t="array" ref="L254">INDEX(DataAll!$AJ$2:$AJ$555,MATCH(LOWER(Data!A254),LOWER(DataAll!$AI$2:$AI$555),0))</f>
        <v>23.2</v>
      </c>
      <c r="M254" cm="1">
        <f t="array" ref="M254">INDEX(DataAll!$AP$2:$AP$555,MATCH(LOWER(Data!A254),LOWER(DataAll!$AO$2:$AO$555),0))</f>
        <v>65.66</v>
      </c>
      <c r="N254" cm="1">
        <f t="array" ref="N254">INDEX(DataAll!$AQ$2:$AQ$555,MATCH(LOWER(Data!A254),LOWER(DataAll!$AO$2:$AO$555),0))</f>
        <v>69.64</v>
      </c>
      <c r="O254" cm="1">
        <f t="array" ref="O254">INDEX(DataAll!$AT$2:$AT$555,MATCH(LOWER(Data!A254),LOWER(DataAll!$AS$2:$AS$555),0))</f>
        <v>6.96</v>
      </c>
      <c r="P254" cm="1">
        <f t="array" ref="P254">INDEX(DataAll!$AU$2:$AU$555,MATCH(LOWER(Data!A254),LOWER(DataAll!$AS$2:$AS$555),0))</f>
        <v>5.72</v>
      </c>
      <c r="Q254" cm="1">
        <f t="array" ref="Q254">INDEX(DataAll!$AX$2:$AX$556,MATCH(LOWER(Data!A254),LOWER(DataAll!$AW$2:$AW$556),0))</f>
        <v>20.37</v>
      </c>
      <c r="R254" cm="1">
        <f t="array" ref="R254">INDEX('Longitude and Latitude'!$B$2:$B$579,MATCH(LOWER(Data!A254),LOWER('Longitude and Latitude'!$A$2:$A$579),0))</f>
        <v>-7.9177039999999996</v>
      </c>
      <c r="S254" cm="1">
        <f t="array" ref="S254">INDEX('Longitude and Latitude'!$C$2:$C$579,MATCH(LOWER(Data!A254),LOWER('Longitude and Latitude'!$A$2:$A$579),0))</f>
        <v>113.81348300000001</v>
      </c>
      <c r="T254" t="b">
        <f>IF(EXACT(A254, UPPER(A254)), TRUE, FALSE)</f>
        <v>0</v>
      </c>
    </row>
    <row r="255" spans="1:20" x14ac:dyDescent="0.35">
      <c r="A255" t="s">
        <v>254</v>
      </c>
      <c r="B255">
        <v>87.59</v>
      </c>
      <c r="C255" cm="1">
        <f t="array" ref="C255">INDEX(DataAll!$E$2:$E$555,MATCH(LOWER(Data!A255),LOWER(DataAll!$D$2:$D$555),0))</f>
        <v>73.16</v>
      </c>
      <c r="D255" cm="1">
        <f t="array" ref="D255">INDEX(DataAll!$H$2:$H$579,MATCH(LOWER(Data!A255),LOWER(DataAll!$G$2:$G$555),0))</f>
        <v>0.40699999999999997</v>
      </c>
      <c r="E255" cm="1">
        <f t="array" ref="E255">INDEX(DataAll!$K$2:$K$579,MATCH(LOWER(Data!A255),LOWER(DataAll!$J$2:$J$555),0))</f>
        <v>28.89</v>
      </c>
      <c r="F255" cm="1">
        <f t="array" ref="F255">INDEX(DataAll!$N$2:$N$555,MATCH(LOWER(Data!A255),LOWER(DataAll!$M$2:$M$555),0))</f>
        <v>45.23</v>
      </c>
      <c r="G255" cm="1">
        <f t="array" ref="G255">INDEX(DataAll!$Q$2:$Q$555,MATCH(LOWER(Data!A255),LOWER(DataAll!$P$2:$P$555),0))</f>
        <v>13.33</v>
      </c>
      <c r="H255" cm="1">
        <f t="array" ref="H255">INDEX(DataAll!$T$2:$T$555,MATCH(LOWER(Data!A255),LOWER(DataAll!$S$2:$S$555),0))</f>
        <v>0.35399999999999998</v>
      </c>
      <c r="I255" cm="1">
        <f t="array" ref="I255">INDEX(DataAll!$W$2:$W$555,MATCH(LOWER(Data!A255),LOWER(DataAll!$V$2:$V$555),0))</f>
        <v>27.63</v>
      </c>
      <c r="J255" cm="1">
        <f t="array" ref="J255">INDEX(DataAll!$Z$2:$Z$555,MATCH(LOWER(Data!A255),LOWER(DataAll!$Y$2:$Y$555),0))</f>
        <v>2.0299999999999998</v>
      </c>
      <c r="K255" cm="1">
        <f t="array" ref="K255">INDEX(DataAll!$AM$2:$AM$555,MATCH(LOWER(Data!A255),LOWER(DataAll!$AL$2:$AL$555),0))</f>
        <v>11.9</v>
      </c>
      <c r="L255" cm="1">
        <f t="array" ref="L255">INDEX(DataAll!$AJ$2:$AJ$555,MATCH(LOWER(Data!A255),LOWER(DataAll!$AI$2:$AI$555),0))</f>
        <v>23.18</v>
      </c>
      <c r="M255" cm="1">
        <f t="array" ref="M255">INDEX(DataAll!$AP$2:$AP$555,MATCH(LOWER(Data!A255),LOWER(DataAll!$AO$2:$AO$555),0))</f>
        <v>68.010000000000005</v>
      </c>
      <c r="N255" cm="1">
        <f t="array" ref="N255">INDEX(DataAll!$AQ$2:$AQ$555,MATCH(LOWER(Data!A255),LOWER(DataAll!$AO$2:$AO$555),0))</f>
        <v>71.959999999999994</v>
      </c>
      <c r="O255" cm="1">
        <f t="array" ref="O255">INDEX(DataAll!$AT$2:$AT$555,MATCH(LOWER(Data!A255),LOWER(DataAll!$AS$2:$AS$555),0))</f>
        <v>7.59</v>
      </c>
      <c r="P255" cm="1">
        <f t="array" ref="P255">INDEX(DataAll!$AU$2:$AU$555,MATCH(LOWER(Data!A255),LOWER(DataAll!$AS$2:$AS$555),0))</f>
        <v>6.27</v>
      </c>
      <c r="Q255" cm="1">
        <f t="array" ref="Q255">INDEX(DataAll!$AX$2:$AX$556,MATCH(LOWER(Data!A255),LOWER(DataAll!$AW$2:$AW$556),0))</f>
        <v>22.94</v>
      </c>
      <c r="R255" cm="1">
        <f t="array" ref="R255">INDEX('Longitude and Latitude'!$B$2:$B$579,MATCH(LOWER(Data!A255),LOWER('Longitude and Latitude'!$A$2:$A$579),0))</f>
        <v>-7.702534</v>
      </c>
      <c r="S255" cm="1">
        <f t="array" ref="S255">INDEX('Longitude and Latitude'!$C$2:$C$579,MATCH(LOWER(Data!A255),LOWER('Longitude and Latitude'!$A$2:$A$579),0))</f>
        <v>113.95560500000001</v>
      </c>
      <c r="T255" t="b">
        <f>IF(EXACT(A255, UPPER(A255)), TRUE, FALSE)</f>
        <v>0</v>
      </c>
    </row>
    <row r="256" spans="1:20" x14ac:dyDescent="0.35">
      <c r="A256" t="s">
        <v>255</v>
      </c>
      <c r="B256">
        <v>86.34</v>
      </c>
      <c r="C256" cm="1">
        <f t="array" ref="C256">INDEX(DataAll!$E$2:$E$555,MATCH(LOWER(Data!A256),LOWER(DataAll!$D$2:$D$555),0))</f>
        <v>69.25</v>
      </c>
      <c r="D256" cm="1">
        <f t="array" ref="D256">INDEX(DataAll!$H$2:$H$579,MATCH(LOWER(Data!A256),LOWER(DataAll!$G$2:$G$555),0))</f>
        <v>0.47899999999999998</v>
      </c>
      <c r="E256" cm="1">
        <f t="array" ref="E256">INDEX(DataAll!$K$2:$K$579,MATCH(LOWER(Data!A256),LOWER(DataAll!$J$2:$J$555),0))</f>
        <v>26</v>
      </c>
      <c r="F256" cm="1">
        <f t="array" ref="F256">INDEX(DataAll!$N$2:$N$555,MATCH(LOWER(Data!A256),LOWER(DataAll!$M$2:$M$555),0))</f>
        <v>44.58</v>
      </c>
      <c r="G256" cm="1">
        <f t="array" ref="G256">INDEX(DataAll!$Q$2:$Q$555,MATCH(LOWER(Data!A256),LOWER(DataAll!$P$2:$P$555),0))</f>
        <v>10.43</v>
      </c>
      <c r="H256" cm="1">
        <f t="array" ref="H256">INDEX(DataAll!$T$2:$T$555,MATCH(LOWER(Data!A256),LOWER(DataAll!$S$2:$S$555),0))</f>
        <v>0.48699999999999999</v>
      </c>
      <c r="I256" cm="1">
        <f t="array" ref="I256">INDEX(DataAll!$W$2:$W$555,MATCH(LOWER(Data!A256),LOWER(DataAll!$V$2:$V$555),0))</f>
        <v>25.85</v>
      </c>
      <c r="J256" cm="1">
        <f t="array" ref="J256">INDEX(DataAll!$Z$2:$Z$555,MATCH(LOWER(Data!A256),LOWER(DataAll!$Y$2:$Y$555),0))</f>
        <v>2.0299999999999998</v>
      </c>
      <c r="K256" cm="1">
        <f t="array" ref="K256">INDEX(DataAll!$AM$2:$AM$555,MATCH(LOWER(Data!A256),LOWER(DataAll!$AL$2:$AL$555),0))</f>
        <v>17.190000000000001</v>
      </c>
      <c r="L256" cm="1">
        <f t="array" ref="L256">INDEX(DataAll!$AJ$2:$AJ$555,MATCH(LOWER(Data!A256),LOWER(DataAll!$AI$2:$AI$555),0))</f>
        <v>20.329999999999998</v>
      </c>
      <c r="M256" cm="1">
        <f t="array" ref="M256">INDEX(DataAll!$AP$2:$AP$555,MATCH(LOWER(Data!A256),LOWER(DataAll!$AO$2:$AO$555),0))</f>
        <v>66.180000000000007</v>
      </c>
      <c r="N256" cm="1">
        <f t="array" ref="N256">INDEX(DataAll!$AQ$2:$AQ$555,MATCH(LOWER(Data!A256),LOWER(DataAll!$AO$2:$AO$555),0))</f>
        <v>70.16</v>
      </c>
      <c r="O256" cm="1">
        <f t="array" ref="O256">INDEX(DataAll!$AT$2:$AT$555,MATCH(LOWER(Data!A256),LOWER(DataAll!$AS$2:$AS$555),0))</f>
        <v>6.93</v>
      </c>
      <c r="P256" cm="1">
        <f t="array" ref="P256">INDEX(DataAll!$AU$2:$AU$555,MATCH(LOWER(Data!A256),LOWER(DataAll!$AS$2:$AS$555),0))</f>
        <v>5.72</v>
      </c>
      <c r="Q256" cm="1">
        <f t="array" ref="Q256">INDEX(DataAll!$AX$2:$AX$556,MATCH(LOWER(Data!A256),LOWER(DataAll!$AW$2:$AW$556),0))</f>
        <v>17.79</v>
      </c>
      <c r="R256" cm="1">
        <f t="array" ref="R256">INDEX('Longitude and Latitude'!$B$2:$B$579,MATCH(LOWER(Data!A256),LOWER('Longitude and Latitude'!$A$2:$A$579),0))</f>
        <v>-7.753965</v>
      </c>
      <c r="S256" cm="1">
        <f t="array" ref="S256">INDEX('Longitude and Latitude'!$C$2:$C$579,MATCH(LOWER(Data!A256),LOWER('Longitude and Latitude'!$A$2:$A$579),0))</f>
        <v>113.21067499999999</v>
      </c>
      <c r="T256" t="b">
        <f>IF(EXACT(A256, UPPER(A256)), TRUE, FALSE)</f>
        <v>0</v>
      </c>
    </row>
    <row r="257" spans="1:20" x14ac:dyDescent="0.35">
      <c r="A257" t="s">
        <v>256</v>
      </c>
      <c r="B257">
        <v>91.08</v>
      </c>
      <c r="C257" cm="1">
        <f t="array" ref="C257">INDEX(DataAll!$E$2:$E$555,MATCH(LOWER(Data!A257),LOWER(DataAll!$D$2:$D$555),0))</f>
        <v>65.28</v>
      </c>
      <c r="D257" cm="1">
        <f t="array" ref="D257">INDEX(DataAll!$H$2:$H$579,MATCH(LOWER(Data!A257),LOWER(DataAll!$G$2:$G$555),0))</f>
        <v>0.53900000000000003</v>
      </c>
      <c r="E257" cm="1">
        <f t="array" ref="E257">INDEX(DataAll!$K$2:$K$579,MATCH(LOWER(Data!A257),LOWER(DataAll!$J$2:$J$555),0))</f>
        <v>10.199999999999999</v>
      </c>
      <c r="F257" cm="1">
        <f t="array" ref="F257">INDEX(DataAll!$N$2:$N$555,MATCH(LOWER(Data!A257),LOWER(DataAll!$M$2:$M$555),0))</f>
        <v>55.92</v>
      </c>
      <c r="G257" cm="1">
        <f t="array" ref="G257">INDEX(DataAll!$Q$2:$Q$555,MATCH(LOWER(Data!A257),LOWER(DataAll!$P$2:$P$555),0))</f>
        <v>9.0500000000000007</v>
      </c>
      <c r="H257" cm="1">
        <f t="array" ref="H257">INDEX(DataAll!$T$2:$T$555,MATCH(LOWER(Data!A257),LOWER(DataAll!$S$2:$S$555),0))</f>
        <v>0.29099999999999998</v>
      </c>
      <c r="I257" cm="1">
        <f t="array" ref="I257">INDEX(DataAll!$W$2:$W$555,MATCH(LOWER(Data!A257),LOWER(DataAll!$V$2:$V$555),0))</f>
        <v>35.89</v>
      </c>
      <c r="J257" cm="1">
        <f t="array" ref="J257">INDEX(DataAll!$Z$2:$Z$555,MATCH(LOWER(Data!A257),LOWER(DataAll!$Y$2:$Y$555),0))</f>
        <v>1.92</v>
      </c>
      <c r="K257" cm="1">
        <f t="array" ref="K257">INDEX(DataAll!$AM$2:$AM$555,MATCH(LOWER(Data!A257),LOWER(DataAll!$AL$2:$AL$555),0))</f>
        <v>9.24</v>
      </c>
      <c r="L257" cm="1">
        <f t="array" ref="L257">INDEX(DataAll!$AJ$2:$AJ$555,MATCH(LOWER(Data!A257),LOWER(DataAll!$AI$2:$AI$555),0))</f>
        <v>17.5</v>
      </c>
      <c r="M257" cm="1">
        <f t="array" ref="M257">INDEX(DataAll!$AP$2:$AP$555,MATCH(LOWER(Data!A257),LOWER(DataAll!$AO$2:$AO$555),0))</f>
        <v>68.89</v>
      </c>
      <c r="N257" cm="1">
        <f t="array" ref="N257">INDEX(DataAll!$AQ$2:$AQ$555,MATCH(LOWER(Data!A257),LOWER(DataAll!$AO$2:$AO$555),0))</f>
        <v>72.83</v>
      </c>
      <c r="O257" cm="1">
        <f t="array" ref="O257">INDEX(DataAll!$AT$2:$AT$555,MATCH(LOWER(Data!A257),LOWER(DataAll!$AS$2:$AS$555),0))</f>
        <v>8.1199999999999992</v>
      </c>
      <c r="P257" cm="1">
        <f t="array" ref="P257">INDEX(DataAll!$AU$2:$AU$555,MATCH(LOWER(Data!A257),LOWER(DataAll!$AS$2:$AS$555),0))</f>
        <v>6.94</v>
      </c>
      <c r="Q257" cm="1">
        <f t="array" ref="Q257">INDEX(DataAll!$AX$2:$AX$556,MATCH(LOWER(Data!A257),LOWER(DataAll!$AW$2:$AW$556),0))</f>
        <v>23.03</v>
      </c>
      <c r="R257" cm="1">
        <f t="array" ref="R257">INDEX('Longitude and Latitude'!$B$2:$B$579,MATCH(LOWER(Data!A257),LOWER('Longitude and Latitude'!$A$2:$A$579),0))</f>
        <v>-6.8623098000000002</v>
      </c>
      <c r="S257" cm="1">
        <f t="array" ref="S257">INDEX('Longitude and Latitude'!$C$2:$C$579,MATCH(LOWER(Data!A257),LOWER('Longitude and Latitude'!$A$2:$A$579),0))</f>
        <v>108.8001936</v>
      </c>
      <c r="T257" t="b">
        <f>IF(EXACT(A257, UPPER(A257)), TRUE, FALSE)</f>
        <v>0</v>
      </c>
    </row>
    <row r="258" spans="1:20" x14ac:dyDescent="0.35">
      <c r="A258" t="s">
        <v>257</v>
      </c>
      <c r="B258">
        <v>94.72</v>
      </c>
      <c r="C258" cm="1">
        <f t="array" ref="C258">INDEX(DataAll!$E$2:$E$555,MATCH(LOWER(Data!A258),LOWER(DataAll!$D$2:$D$555),0))</f>
        <v>67.53</v>
      </c>
      <c r="D258" cm="1">
        <f t="array" ref="D258">INDEX(DataAll!$H$2:$H$579,MATCH(LOWER(Data!A258),LOWER(DataAll!$G$2:$G$555),0))</f>
        <v>0.17899999999999999</v>
      </c>
      <c r="E258" cm="1">
        <f t="array" ref="E258">INDEX(DataAll!$K$2:$K$579,MATCH(LOWER(Data!A258),LOWER(DataAll!$J$2:$J$555),0))</f>
        <v>16</v>
      </c>
      <c r="F258" cm="1">
        <f t="array" ref="F258">INDEX(DataAll!$N$2:$N$555,MATCH(LOWER(Data!A258),LOWER(DataAll!$M$2:$M$555),0))</f>
        <v>53.51</v>
      </c>
      <c r="G258" cm="1">
        <f t="array" ref="G258">INDEX(DataAll!$Q$2:$Q$555,MATCH(LOWER(Data!A258),LOWER(DataAll!$P$2:$P$555),0))</f>
        <v>4.03</v>
      </c>
      <c r="H258" cm="1">
        <f t="array" ref="H258">INDEX(DataAll!$T$2:$T$555,MATCH(LOWER(Data!A258),LOWER(DataAll!$S$2:$S$555),0))</f>
        <v>0.14399999999999999</v>
      </c>
      <c r="I258" cm="1">
        <f t="array" ref="I258">INDEX(DataAll!$W$2:$W$555,MATCH(LOWER(Data!A258),LOWER(DataAll!$V$2:$V$555),0))</f>
        <v>29.62</v>
      </c>
      <c r="J258" cm="1">
        <f t="array" ref="J258">INDEX(DataAll!$Z$2:$Z$555,MATCH(LOWER(Data!A258),LOWER(DataAll!$Y$2:$Y$555),0))</f>
        <v>1.84</v>
      </c>
      <c r="K258" cm="1">
        <f t="array" ref="K258">INDEX(DataAll!$AM$2:$AM$555,MATCH(LOWER(Data!A258),LOWER(DataAll!$AL$2:$AL$555),0))</f>
        <v>5</v>
      </c>
      <c r="L258" cm="1">
        <f t="array" ref="L258">INDEX(DataAll!$AJ$2:$AJ$555,MATCH(LOWER(Data!A258),LOWER(DataAll!$AI$2:$AI$555),0))</f>
        <v>13.2</v>
      </c>
      <c r="M258" cm="1">
        <f t="array" ref="M258">INDEX(DataAll!$AP$2:$AP$555,MATCH(LOWER(Data!A258),LOWER(DataAll!$AO$2:$AO$555),0))</f>
        <v>72.930000000000007</v>
      </c>
      <c r="N258" cm="1">
        <f t="array" ref="N258">INDEX(DataAll!$AQ$2:$AQ$555,MATCH(LOWER(Data!A258),LOWER(DataAll!$AO$2:$AO$555),0))</f>
        <v>76.62</v>
      </c>
      <c r="O258" cm="1">
        <f t="array" ref="O258">INDEX(DataAll!$AT$2:$AT$555,MATCH(LOWER(Data!A258),LOWER(DataAll!$AS$2:$AS$555),0))</f>
        <v>10.98</v>
      </c>
      <c r="P258" cm="1">
        <f t="array" ref="P258">INDEX(DataAll!$AU$2:$AU$555,MATCH(LOWER(Data!A258),LOWER(DataAll!$AS$2:$AS$555),0))</f>
        <v>10.58</v>
      </c>
      <c r="Q258" cm="1">
        <f t="array" ref="Q258">INDEX(DataAll!$AX$2:$AX$556,MATCH(LOWER(Data!A258),LOWER(DataAll!$AW$2:$AW$556),0))</f>
        <v>57.02</v>
      </c>
      <c r="R258" cm="1">
        <f t="array" ref="R258">INDEX('Longitude and Latitude'!$B$2:$B$579,MATCH(LOWER(Data!A258),LOWER('Longitude and Latitude'!$A$2:$A$579),0))</f>
        <v>-7.4530278000000001</v>
      </c>
      <c r="S258" cm="1">
        <f t="array" ref="S258">INDEX('Longitude and Latitude'!$C$2:$C$579,MATCH(LOWER(Data!A258),LOWER('Longitude and Latitude'!$A$2:$A$579),0))</f>
        <v>112.7173389</v>
      </c>
      <c r="T258" t="b">
        <f>IF(EXACT(A258, UPPER(A258)), TRUE, FALSE)</f>
        <v>0</v>
      </c>
    </row>
    <row r="259" spans="1:20" x14ac:dyDescent="0.35">
      <c r="A259" t="s">
        <v>258</v>
      </c>
      <c r="B259">
        <v>91.63</v>
      </c>
      <c r="C259" cm="1">
        <f t="array" ref="C259">INDEX(DataAll!$E$2:$E$555,MATCH(LOWER(Data!A259),LOWER(DataAll!$D$2:$D$555),0))</f>
        <v>81.25</v>
      </c>
      <c r="D259" cm="1">
        <f t="array" ref="D259">INDEX(DataAll!$H$2:$H$579,MATCH(LOWER(Data!A259),LOWER(DataAll!$G$2:$G$555),0))</f>
        <v>0.34300000000000003</v>
      </c>
      <c r="E259" cm="1">
        <f t="array" ref="E259">INDEX(DataAll!$K$2:$K$579,MATCH(LOWER(Data!A259),LOWER(DataAll!$J$2:$J$555),0))</f>
        <v>30</v>
      </c>
      <c r="F259" cm="1">
        <f t="array" ref="F259">INDEX(DataAll!$N$2:$N$555,MATCH(LOWER(Data!A259),LOWER(DataAll!$M$2:$M$555),0))</f>
        <v>47.39</v>
      </c>
      <c r="G259" cm="1">
        <f t="array" ref="G259">INDEX(DataAll!$Q$2:$Q$555,MATCH(LOWER(Data!A259),LOWER(DataAll!$P$2:$P$555),0))</f>
        <v>6.61</v>
      </c>
      <c r="H259" cm="1">
        <f t="array" ref="H259">INDEX(DataAll!$T$2:$T$555,MATCH(LOWER(Data!A259),LOWER(DataAll!$S$2:$S$555),0))</f>
        <v>0.214</v>
      </c>
      <c r="I259" cm="1">
        <f t="array" ref="I259">INDEX(DataAll!$W$2:$W$555,MATCH(LOWER(Data!A259),LOWER(DataAll!$V$2:$V$555),0))</f>
        <v>34.86</v>
      </c>
      <c r="J259" cm="1">
        <f t="array" ref="J259">INDEX(DataAll!$Z$2:$Z$555,MATCH(LOWER(Data!A259),LOWER(DataAll!$Y$2:$Y$555),0))</f>
        <v>1.95</v>
      </c>
      <c r="K259" cm="1">
        <f t="array" ref="K259">INDEX(DataAll!$AM$2:$AM$555,MATCH(LOWER(Data!A259),LOWER(DataAll!$AL$2:$AL$555),0))</f>
        <v>9.8000000000000007</v>
      </c>
      <c r="L259" cm="1">
        <f t="array" ref="L259">INDEX(DataAll!$AJ$2:$AJ$555,MATCH(LOWER(Data!A259),LOWER(DataAll!$AI$2:$AI$555),0))</f>
        <v>16.03</v>
      </c>
      <c r="M259" cm="1">
        <f t="array" ref="M259">INDEX(DataAll!$AP$2:$AP$555,MATCH(LOWER(Data!A259),LOWER(DataAll!$AO$2:$AO$555),0))</f>
        <v>71.17</v>
      </c>
      <c r="N259" cm="1">
        <f t="array" ref="N259">INDEX(DataAll!$AQ$2:$AQ$555,MATCH(LOWER(Data!A259),LOWER(DataAll!$AO$2:$AO$555),0))</f>
        <v>75.44</v>
      </c>
      <c r="O259" cm="1">
        <f t="array" ref="O259">INDEX(DataAll!$AT$2:$AT$555,MATCH(LOWER(Data!A259),LOWER(DataAll!$AS$2:$AS$555),0))</f>
        <v>9.69</v>
      </c>
      <c r="P259" cm="1">
        <f t="array" ref="P259">INDEX(DataAll!$AU$2:$AU$555,MATCH(LOWER(Data!A259),LOWER(DataAll!$AS$2:$AS$555),0))</f>
        <v>8.6</v>
      </c>
      <c r="Q259" cm="1">
        <f t="array" ref="Q259">INDEX(DataAll!$AX$2:$AX$556,MATCH(LOWER(Data!A259),LOWER(DataAll!$AW$2:$AW$556),0))</f>
        <v>37.69</v>
      </c>
      <c r="R259" cm="1">
        <f t="array" ref="R259">INDEX('Longitude and Latitude'!$B$2:$B$579,MATCH(LOWER(Data!A259),LOWER('Longitude and Latitude'!$A$2:$A$579),0))</f>
        <v>-7.4880750000000003</v>
      </c>
      <c r="S259" cm="1">
        <f t="array" ref="S259">INDEX('Longitude and Latitude'!$C$2:$C$579,MATCH(LOWER(Data!A259),LOWER('Longitude and Latitude'!$A$2:$A$579),0))</f>
        <v>112.427027</v>
      </c>
      <c r="T259" t="b">
        <f>IF(EXACT(A259, UPPER(A259)), TRUE, FALSE)</f>
        <v>0</v>
      </c>
    </row>
    <row r="260" spans="1:20" x14ac:dyDescent="0.35">
      <c r="A260" t="s">
        <v>259</v>
      </c>
      <c r="B260">
        <v>90.65</v>
      </c>
      <c r="C260" cm="1">
        <f t="array" ref="C260">INDEX(DataAll!$E$2:$E$555,MATCH(LOWER(Data!A260),LOWER(DataAll!$D$2:$D$555),0))</f>
        <v>71.319999999999993</v>
      </c>
      <c r="D260" cm="1">
        <f t="array" ref="D260">INDEX(DataAll!$H$2:$H$579,MATCH(LOWER(Data!A260),LOWER(DataAll!$G$2:$G$555),0))</f>
        <v>0.26700000000000002</v>
      </c>
      <c r="E260" cm="1">
        <f t="array" ref="E260">INDEX(DataAll!$K$2:$K$579,MATCH(LOWER(Data!A260),LOWER(DataAll!$J$2:$J$555),0))</f>
        <v>24</v>
      </c>
      <c r="F260" cm="1">
        <f t="array" ref="F260">INDEX(DataAll!$N$2:$N$555,MATCH(LOWER(Data!A260),LOWER(DataAll!$M$2:$M$555),0))</f>
        <v>55.87</v>
      </c>
      <c r="G260" cm="1">
        <f t="array" ref="G260">INDEX(DataAll!$Q$2:$Q$555,MATCH(LOWER(Data!A260),LOWER(DataAll!$P$2:$P$555),0))</f>
        <v>8.98</v>
      </c>
      <c r="H260" cm="1">
        <f t="array" ref="H260">INDEX(DataAll!$T$2:$T$555,MATCH(LOWER(Data!A260),LOWER(DataAll!$S$2:$S$555),0))</f>
        <v>0.20699999999999999</v>
      </c>
      <c r="I260" cm="1">
        <f t="array" ref="I260">INDEX(DataAll!$W$2:$W$555,MATCH(LOWER(Data!A260),LOWER(DataAll!$V$2:$V$555),0))</f>
        <v>28.21</v>
      </c>
      <c r="J260" cm="1">
        <f t="array" ref="J260">INDEX(DataAll!$Z$2:$Z$555,MATCH(LOWER(Data!A260),LOWER(DataAll!$Y$2:$Y$555),0))</f>
        <v>2.1</v>
      </c>
      <c r="K260" cm="1">
        <f t="array" ref="K260">INDEX(DataAll!$AM$2:$AM$555,MATCH(LOWER(Data!A260),LOWER(DataAll!$AL$2:$AL$555),0))</f>
        <v>9.15</v>
      </c>
      <c r="L260" cm="1">
        <f t="array" ref="L260">INDEX(DataAll!$AJ$2:$AJ$555,MATCH(LOWER(Data!A260),LOWER(DataAll!$AI$2:$AI$555),0))</f>
        <v>17.36</v>
      </c>
      <c r="M260" cm="1">
        <f t="array" ref="M260">INDEX(DataAll!$AP$2:$AP$555,MATCH(LOWER(Data!A260),LOWER(DataAll!$AO$2:$AO$555),0))</f>
        <v>71.150000000000006</v>
      </c>
      <c r="N260" cm="1">
        <f t="array" ref="N260">INDEX(DataAll!$AQ$2:$AQ$555,MATCH(LOWER(Data!A260),LOWER(DataAll!$AO$2:$AO$555),0))</f>
        <v>75.400000000000006</v>
      </c>
      <c r="O260" cm="1">
        <f t="array" ref="O260">INDEX(DataAll!$AT$2:$AT$555,MATCH(LOWER(Data!A260),LOWER(DataAll!$AS$2:$AS$555),0))</f>
        <v>9.2899999999999991</v>
      </c>
      <c r="P260" cm="1">
        <f t="array" ref="P260">INDEX(DataAll!$AU$2:$AU$555,MATCH(LOWER(Data!A260),LOWER(DataAll!$AS$2:$AS$555),0))</f>
        <v>8.23</v>
      </c>
      <c r="Q260" cm="1">
        <f t="array" ref="Q260">INDEX(DataAll!$AX$2:$AX$556,MATCH(LOWER(Data!A260),LOWER(DataAll!$AW$2:$AW$556),0))</f>
        <v>33.299999999999997</v>
      </c>
      <c r="R260" cm="1">
        <f t="array" ref="R260">INDEX('Longitude and Latitude'!$B$2:$B$579,MATCH(LOWER(Data!A260),LOWER('Longitude and Latitude'!$A$2:$A$579),0))</f>
        <v>-7.5468394999999999</v>
      </c>
      <c r="S260" cm="1">
        <f t="array" ref="S260">INDEX('Longitude and Latitude'!$C$2:$C$579,MATCH(LOWER(Data!A260),LOWER('Longitude and Latitude'!$A$2:$A$579),0))</f>
        <v>112.2264794</v>
      </c>
      <c r="T260" t="b">
        <f>IF(EXACT(A260, UPPER(A260)), TRUE, FALSE)</f>
        <v>0</v>
      </c>
    </row>
    <row r="261" spans="1:20" x14ac:dyDescent="0.35">
      <c r="A261" t="s">
        <v>260</v>
      </c>
      <c r="B261">
        <v>94.08</v>
      </c>
      <c r="C261" cm="1">
        <f t="array" ref="C261">INDEX(DataAll!$E$2:$E$555,MATCH(LOWER(Data!A261),LOWER(DataAll!$D$2:$D$555),0))</f>
        <v>72.459999999999994</v>
      </c>
      <c r="D261" cm="1">
        <f t="array" ref="D261">INDEX(DataAll!$H$2:$H$579,MATCH(LOWER(Data!A261),LOWER(DataAll!$G$2:$G$555),0))</f>
        <v>0.42699999999999999</v>
      </c>
      <c r="E261" cm="1">
        <f t="array" ref="E261">INDEX(DataAll!$K$2:$K$579,MATCH(LOWER(Data!A261),LOWER(DataAll!$J$2:$J$555),0))</f>
        <v>32</v>
      </c>
      <c r="F261" cm="1">
        <f t="array" ref="F261">INDEX(DataAll!$N$2:$N$555,MATCH(LOWER(Data!A261),LOWER(DataAll!$M$2:$M$555),0))</f>
        <v>60.51</v>
      </c>
      <c r="G261" cm="1">
        <f t="array" ref="G261">INDEX(DataAll!$Q$2:$Q$555,MATCH(LOWER(Data!A261),LOWER(DataAll!$P$2:$P$555),0))</f>
        <v>9.0299999999999994</v>
      </c>
      <c r="H261" cm="1">
        <f t="array" ref="H261">INDEX(DataAll!$T$2:$T$555,MATCH(LOWER(Data!A261),LOWER(DataAll!$S$2:$S$555),0))</f>
        <v>0.20899999999999999</v>
      </c>
      <c r="I261" cm="1">
        <f t="array" ref="I261">INDEX(DataAll!$W$2:$W$555,MATCH(LOWER(Data!A261),LOWER(DataAll!$V$2:$V$555),0))</f>
        <v>26.05</v>
      </c>
      <c r="J261" cm="1">
        <f t="array" ref="J261">INDEX(DataAll!$Z$2:$Z$555,MATCH(LOWER(Data!A261),LOWER(DataAll!$Y$2:$Y$555),0))</f>
        <v>2.02</v>
      </c>
      <c r="K261" cm="1">
        <f t="array" ref="K261">INDEX(DataAll!$AM$2:$AM$555,MATCH(LOWER(Data!A261),LOWER(DataAll!$AL$2:$AL$555),0))</f>
        <v>10.89</v>
      </c>
      <c r="L261" cm="1">
        <f t="array" ref="L261">INDEX(DataAll!$AJ$2:$AJ$555,MATCH(LOWER(Data!A261),LOWER(DataAll!$AI$2:$AI$555),0))</f>
        <v>17.38</v>
      </c>
      <c r="M261" cm="1">
        <f t="array" ref="M261">INDEX(DataAll!$AP$2:$AP$555,MATCH(LOWER(Data!A261),LOWER(DataAll!$AO$2:$AO$555),0))</f>
        <v>70.33</v>
      </c>
      <c r="N261" cm="1">
        <f t="array" ref="N261">INDEX(DataAll!$AQ$2:$AQ$555,MATCH(LOWER(Data!A261),LOWER(DataAll!$AO$2:$AO$555),0))</f>
        <v>74.34</v>
      </c>
      <c r="O261" cm="1">
        <f t="array" ref="O261">INDEX(DataAll!$AT$2:$AT$555,MATCH(LOWER(Data!A261),LOWER(DataAll!$AS$2:$AS$555),0))</f>
        <v>8.74</v>
      </c>
      <c r="P261" cm="1">
        <f t="array" ref="P261">INDEX(DataAll!$AU$2:$AU$555,MATCH(LOWER(Data!A261),LOWER(DataAll!$AS$2:$AS$555),0))</f>
        <v>7.84</v>
      </c>
      <c r="Q261" cm="1">
        <f t="array" ref="Q261">INDEX(DataAll!$AX$2:$AX$556,MATCH(LOWER(Data!A261),LOWER(DataAll!$AW$2:$AW$556),0))</f>
        <v>30.96</v>
      </c>
      <c r="R261" cm="1">
        <f t="array" ref="R261">INDEX('Longitude and Latitude'!$B$2:$B$579,MATCH(LOWER(Data!A261),LOWER('Longitude and Latitude'!$A$2:$A$579),0))</f>
        <v>-7.602932</v>
      </c>
      <c r="S261" cm="1">
        <f t="array" ref="S261">INDEX('Longitude and Latitude'!$C$2:$C$579,MATCH(LOWER(Data!A261),LOWER('Longitude and Latitude'!$A$2:$A$579),0))</f>
        <v>111.901808</v>
      </c>
      <c r="T261" t="b">
        <f>IF(EXACT(A261, UPPER(A261)), TRUE, FALSE)</f>
        <v>0</v>
      </c>
    </row>
    <row r="262" spans="1:20" x14ac:dyDescent="0.35">
      <c r="A262" t="s">
        <v>261</v>
      </c>
      <c r="B262">
        <v>92.31</v>
      </c>
      <c r="C262" cm="1">
        <f t="array" ref="C262">INDEX(DataAll!$E$2:$E$555,MATCH(LOWER(Data!A262),LOWER(DataAll!$D$2:$D$555),0))</f>
        <v>71.72</v>
      </c>
      <c r="D262" cm="1">
        <f t="array" ref="D262">INDEX(DataAll!$H$2:$H$579,MATCH(LOWER(Data!A262),LOWER(DataAll!$G$2:$G$555),0))</f>
        <v>0.40500000000000003</v>
      </c>
      <c r="E262" cm="1">
        <f t="array" ref="E262">INDEX(DataAll!$K$2:$K$579,MATCH(LOWER(Data!A262),LOWER(DataAll!$J$2:$J$555),0))</f>
        <v>24.44</v>
      </c>
      <c r="F262" cm="1">
        <f t="array" ref="F262">INDEX(DataAll!$N$2:$N$555,MATCH(LOWER(Data!A262),LOWER(DataAll!$M$2:$M$555),0))</f>
        <v>46.8</v>
      </c>
      <c r="G262" cm="1">
        <f t="array" ref="G262">INDEX(DataAll!$Q$2:$Q$555,MATCH(LOWER(Data!A262),LOWER(DataAll!$P$2:$P$555),0))</f>
        <v>12.46</v>
      </c>
      <c r="H262" cm="1">
        <f t="array" ref="H262">INDEX(DataAll!$T$2:$T$555,MATCH(LOWER(Data!A262),LOWER(DataAll!$S$2:$S$555),0))</f>
        <v>0.13</v>
      </c>
      <c r="I262" cm="1">
        <f t="array" ref="I262">INDEX(DataAll!$W$2:$W$555,MATCH(LOWER(Data!A262),LOWER(DataAll!$V$2:$V$555),0))</f>
        <v>30.01</v>
      </c>
      <c r="J262" cm="1">
        <f t="array" ref="J262">INDEX(DataAll!$Z$2:$Z$555,MATCH(LOWER(Data!A262),LOWER(DataAll!$Y$2:$Y$555),0))</f>
        <v>2.0299999999999998</v>
      </c>
      <c r="K262" cm="1">
        <f t="array" ref="K262">INDEX(DataAll!$AM$2:$AM$555,MATCH(LOWER(Data!A262),LOWER(DataAll!$AL$2:$AL$555),0))</f>
        <v>11.04</v>
      </c>
      <c r="L262" cm="1">
        <f t="array" ref="L262">INDEX(DataAll!$AJ$2:$AJ$555,MATCH(LOWER(Data!A262),LOWER(DataAll!$AI$2:$AI$555),0))</f>
        <v>16.75</v>
      </c>
      <c r="M262" cm="1">
        <f t="array" ref="M262">INDEX(DataAll!$AP$2:$AP$555,MATCH(LOWER(Data!A262),LOWER(DataAll!$AO$2:$AO$555),0))</f>
        <v>70.319999999999993</v>
      </c>
      <c r="N262" cm="1">
        <f t="array" ref="N262">INDEX(DataAll!$AQ$2:$AQ$555,MATCH(LOWER(Data!A262),LOWER(DataAll!$AO$2:$AO$555),0))</f>
        <v>74.33</v>
      </c>
      <c r="O262" cm="1">
        <f t="array" ref="O262">INDEX(DataAll!$AT$2:$AT$555,MATCH(LOWER(Data!A262),LOWER(DataAll!$AS$2:$AS$555),0))</f>
        <v>8.4700000000000006</v>
      </c>
      <c r="P262" cm="1">
        <f t="array" ref="P262">INDEX(DataAll!$AU$2:$AU$555,MATCH(LOWER(Data!A262),LOWER(DataAll!$AS$2:$AS$555),0))</f>
        <v>7.54</v>
      </c>
      <c r="Q262" cm="1">
        <f t="array" ref="Q262">INDEX(DataAll!$AX$2:$AX$556,MATCH(LOWER(Data!A262),LOWER(DataAll!$AW$2:$AW$556),0))</f>
        <v>27.8</v>
      </c>
      <c r="R262" cm="1">
        <f t="array" ref="R262">INDEX('Longitude and Latitude'!$B$2:$B$579,MATCH(LOWER(Data!A262),LOWER('Longitude and Latitude'!$A$2:$A$579),0))</f>
        <v>-7.6277530000000002</v>
      </c>
      <c r="S262" cm="1">
        <f t="array" ref="S262">INDEX('Longitude and Latitude'!$C$2:$C$579,MATCH(LOWER(Data!A262),LOWER('Longitude and Latitude'!$A$2:$A$579),0))</f>
        <v>111.505483</v>
      </c>
      <c r="T262" t="b">
        <f>IF(EXACT(A262, UPPER(A262)), TRUE, FALSE)</f>
        <v>0</v>
      </c>
    </row>
    <row r="263" spans="1:20" x14ac:dyDescent="0.35">
      <c r="A263" t="s">
        <v>262</v>
      </c>
      <c r="B263">
        <v>94.07</v>
      </c>
      <c r="C263" cm="1">
        <f t="array" ref="C263">INDEX(DataAll!$E$2:$E$555,MATCH(LOWER(Data!A263),LOWER(DataAll!$D$2:$D$555),0))</f>
        <v>72.08</v>
      </c>
      <c r="D263" cm="1">
        <f t="array" ref="D263">INDEX(DataAll!$H$2:$H$579,MATCH(LOWER(Data!A263),LOWER(DataAll!$G$2:$G$555),0))</f>
        <v>0.17299999999999999</v>
      </c>
      <c r="E263" cm="1">
        <f t="array" ref="E263">INDEX(DataAll!$K$2:$K$579,MATCH(LOWER(Data!A263),LOWER(DataAll!$J$2:$J$555),0))</f>
        <v>15.56</v>
      </c>
      <c r="F263" cm="1">
        <f t="array" ref="F263">INDEX(DataAll!$N$2:$N$555,MATCH(LOWER(Data!A263),LOWER(DataAll!$M$2:$M$555),0))</f>
        <v>52.09</v>
      </c>
      <c r="G263" cm="1">
        <f t="array" ref="G263">INDEX(DataAll!$Q$2:$Q$555,MATCH(LOWER(Data!A263),LOWER(DataAll!$P$2:$P$555),0))</f>
        <v>9.2899999999999991</v>
      </c>
      <c r="H263" cm="1">
        <f t="array" ref="H263">INDEX(DataAll!$T$2:$T$555,MATCH(LOWER(Data!A263),LOWER(DataAll!$S$2:$S$555),0))</f>
        <v>0.14399999999999999</v>
      </c>
      <c r="I263" cm="1">
        <f t="array" ref="I263">INDEX(DataAll!$W$2:$W$555,MATCH(LOWER(Data!A263),LOWER(DataAll!$V$2:$V$555),0))</f>
        <v>39.869999999999997</v>
      </c>
      <c r="J263" cm="1">
        <f t="array" ref="J263">INDEX(DataAll!$Z$2:$Z$555,MATCH(LOWER(Data!A263),LOWER(DataAll!$Y$2:$Y$555),0))</f>
        <v>1.99</v>
      </c>
      <c r="K263" cm="1">
        <f t="array" ref="K263">INDEX(DataAll!$AM$2:$AM$555,MATCH(LOWER(Data!A263),LOWER(DataAll!$AL$2:$AL$555),0))</f>
        <v>9.8000000000000007</v>
      </c>
      <c r="L263" cm="1">
        <f t="array" ref="L263">INDEX(DataAll!$AJ$2:$AJ$555,MATCH(LOWER(Data!A263),LOWER(DataAll!$AI$2:$AI$555),0))</f>
        <v>13.82</v>
      </c>
      <c r="M263" cm="1">
        <f t="array" ref="M263">INDEX(DataAll!$AP$2:$AP$555,MATCH(LOWER(Data!A263),LOWER(DataAll!$AO$2:$AO$555),0))</f>
        <v>71.19</v>
      </c>
      <c r="N263" cm="1">
        <f t="array" ref="N263">INDEX(DataAll!$AQ$2:$AQ$555,MATCH(LOWER(Data!A263),LOWER(DataAll!$AO$2:$AO$555),0))</f>
        <v>75.489999999999995</v>
      </c>
      <c r="O263" cm="1">
        <f t="array" ref="O263">INDEX(DataAll!$AT$2:$AT$555,MATCH(LOWER(Data!A263),LOWER(DataAll!$AS$2:$AS$555),0))</f>
        <v>9.1</v>
      </c>
      <c r="P263" cm="1">
        <f t="array" ref="P263">INDEX(DataAll!$AU$2:$AU$555,MATCH(LOWER(Data!A263),LOWER(DataAll!$AS$2:$AS$555),0))</f>
        <v>8.24</v>
      </c>
      <c r="Q263" cm="1">
        <f t="array" ref="Q263">INDEX(DataAll!$AX$2:$AX$556,MATCH(LOWER(Data!A263),LOWER(DataAll!$AW$2:$AW$556),0))</f>
        <v>34.020000000000003</v>
      </c>
      <c r="R263" cm="1">
        <f t="array" ref="R263">INDEX('Longitude and Latitude'!$B$2:$B$579,MATCH(LOWER(Data!A263),LOWER('Longitude and Latitude'!$A$2:$A$579),0))</f>
        <v>-7.6493412999999997</v>
      </c>
      <c r="S263" cm="1">
        <f t="array" ref="S263">INDEX('Longitude and Latitude'!$C$2:$C$579,MATCH(LOWER(Data!A263),LOWER('Longitude and Latitude'!$A$2:$A$579),0))</f>
        <v>111.3381593</v>
      </c>
      <c r="T263" t="b">
        <f>IF(EXACT(A263, UPPER(A263)), TRUE, FALSE)</f>
        <v>0</v>
      </c>
    </row>
    <row r="264" spans="1:20" x14ac:dyDescent="0.35">
      <c r="A264" t="s">
        <v>263</v>
      </c>
      <c r="B264">
        <v>92.89</v>
      </c>
      <c r="C264" cm="1">
        <f t="array" ref="C264">INDEX(DataAll!$E$2:$E$555,MATCH(LOWER(Data!A264),LOWER(DataAll!$D$2:$D$555),0))</f>
        <v>77</v>
      </c>
      <c r="D264" cm="1">
        <f t="array" ref="D264">INDEX(DataAll!$H$2:$H$579,MATCH(LOWER(Data!A264),LOWER(DataAll!$G$2:$G$555),0))</f>
        <v>0.17100000000000001</v>
      </c>
      <c r="E264" cm="1">
        <f t="array" ref="E264">INDEX(DataAll!$K$2:$K$579,MATCH(LOWER(Data!A264),LOWER(DataAll!$J$2:$J$555),0))</f>
        <v>28.89</v>
      </c>
      <c r="F264" cm="1">
        <f t="array" ref="F264">INDEX(DataAll!$N$2:$N$555,MATCH(LOWER(Data!A264),LOWER(DataAll!$M$2:$M$555),0))</f>
        <v>48.92</v>
      </c>
      <c r="G264" cm="1">
        <f t="array" ref="G264">INDEX(DataAll!$Q$2:$Q$555,MATCH(LOWER(Data!A264),LOWER(DataAll!$P$2:$P$555),0))</f>
        <v>12.28</v>
      </c>
      <c r="H264" cm="1">
        <f t="array" ref="H264">INDEX(DataAll!$T$2:$T$555,MATCH(LOWER(Data!A264),LOWER(DataAll!$S$2:$S$555),0))</f>
        <v>0.2</v>
      </c>
      <c r="I264" cm="1">
        <f t="array" ref="I264">INDEX(DataAll!$W$2:$W$555,MATCH(LOWER(Data!A264),LOWER(DataAll!$V$2:$V$555),0))</f>
        <v>33.43</v>
      </c>
      <c r="J264" cm="1">
        <f t="array" ref="J264">INDEX(DataAll!$Z$2:$Z$555,MATCH(LOWER(Data!A264),LOWER(DataAll!$Y$2:$Y$555),0))</f>
        <v>1.9</v>
      </c>
      <c r="K264" cm="1">
        <f t="array" ref="K264">INDEX(DataAll!$AM$2:$AM$555,MATCH(LOWER(Data!A264),LOWER(DataAll!$AL$2:$AL$555),0))</f>
        <v>14.4</v>
      </c>
      <c r="L264" cm="1">
        <f t="array" ref="L264">INDEX(DataAll!$AJ$2:$AJ$555,MATCH(LOWER(Data!A264),LOWER(DataAll!$AI$2:$AI$555),0))</f>
        <v>14.59</v>
      </c>
      <c r="M264" cm="1">
        <f t="array" ref="M264">INDEX(DataAll!$AP$2:$AP$555,MATCH(LOWER(Data!A264),LOWER(DataAll!$AO$2:$AO$555),0))</f>
        <v>71.14</v>
      </c>
      <c r="N264" cm="1">
        <f t="array" ref="N264">INDEX(DataAll!$AQ$2:$AQ$555,MATCH(LOWER(Data!A264),LOWER(DataAll!$AO$2:$AO$555),0))</f>
        <v>75.37</v>
      </c>
      <c r="O264" cm="1">
        <f t="array" ref="O264">INDEX(DataAll!$AT$2:$AT$555,MATCH(LOWER(Data!A264),LOWER(DataAll!$AS$2:$AS$555),0))</f>
        <v>8.34</v>
      </c>
      <c r="P264" cm="1">
        <f t="array" ref="P264">INDEX(DataAll!$AU$2:$AU$555,MATCH(LOWER(Data!A264),LOWER(DataAll!$AS$2:$AS$555),0))</f>
        <v>7.39</v>
      </c>
      <c r="Q264" cm="1">
        <f t="array" ref="Q264">INDEX(DataAll!$AX$2:$AX$556,MATCH(LOWER(Data!A264),LOWER(DataAll!$AW$2:$AW$556),0))</f>
        <v>27.61</v>
      </c>
      <c r="R264" cm="1">
        <f t="array" ref="R264">INDEX('Longitude and Latitude'!$B$2:$B$579,MATCH(LOWER(Data!A264),LOWER('Longitude and Latitude'!$A$2:$A$579),0))</f>
        <v>-7.3899299999999997</v>
      </c>
      <c r="S264" cm="1">
        <f t="array" ref="S264">INDEX('Longitude and Latitude'!$C$2:$C$579,MATCH(LOWER(Data!A264),LOWER('Longitude and Latitude'!$A$2:$A$579),0))</f>
        <v>111.46193</v>
      </c>
      <c r="T264" t="b">
        <f>IF(EXACT(A264, UPPER(A264)), TRUE, FALSE)</f>
        <v>0</v>
      </c>
    </row>
    <row r="265" spans="1:20" x14ac:dyDescent="0.35">
      <c r="A265" t="s">
        <v>264</v>
      </c>
      <c r="B265">
        <v>90.87</v>
      </c>
      <c r="C265" cm="1">
        <f t="array" ref="C265">INDEX(DataAll!$E$2:$E$555,MATCH(LOWER(Data!A265),LOWER(DataAll!$D$2:$D$555),0))</f>
        <v>56.82</v>
      </c>
      <c r="D265" cm="1">
        <f t="array" ref="D265">INDEX(DataAll!$H$2:$H$579,MATCH(LOWER(Data!A265),LOWER(DataAll!$G$2:$G$555),0))</f>
        <v>0.42299999999999999</v>
      </c>
      <c r="E265" cm="1">
        <f t="array" ref="E265">INDEX(DataAll!$K$2:$K$579,MATCH(LOWER(Data!A265),LOWER(DataAll!$J$2:$J$555),0))</f>
        <v>10</v>
      </c>
      <c r="F265" cm="1">
        <f t="array" ref="F265">INDEX(DataAll!$N$2:$N$555,MATCH(LOWER(Data!A265),LOWER(DataAll!$M$2:$M$555),0))</f>
        <v>43.22</v>
      </c>
      <c r="G265" cm="1">
        <f t="array" ref="G265">INDEX(DataAll!$Q$2:$Q$555,MATCH(LOWER(Data!A265),LOWER(DataAll!$P$2:$P$555),0))</f>
        <v>8.09</v>
      </c>
      <c r="H265" cm="1">
        <f t="array" ref="H265">INDEX(DataAll!$T$2:$T$555,MATCH(LOWER(Data!A265),LOWER(DataAll!$S$2:$S$555),0))</f>
        <v>0.309</v>
      </c>
      <c r="I265" cm="1">
        <f t="array" ref="I265">INDEX(DataAll!$W$2:$W$555,MATCH(LOWER(Data!A265),LOWER(DataAll!$V$2:$V$555),0))</f>
        <v>27.59</v>
      </c>
      <c r="J265" cm="1">
        <f t="array" ref="J265">INDEX(DataAll!$Z$2:$Z$555,MATCH(LOWER(Data!A265),LOWER(DataAll!$Y$2:$Y$555),0))</f>
        <v>1.81</v>
      </c>
      <c r="K265" cm="1">
        <f t="array" ref="K265">INDEX(DataAll!$AM$2:$AM$555,MATCH(LOWER(Data!A265),LOWER(DataAll!$AL$2:$AL$555),0))</f>
        <v>12.18</v>
      </c>
      <c r="L265" cm="1">
        <f t="array" ref="L265">INDEX(DataAll!$AJ$2:$AJ$555,MATCH(LOWER(Data!A265),LOWER(DataAll!$AI$2:$AI$555),0))</f>
        <v>15.96</v>
      </c>
      <c r="M265" cm="1">
        <f t="array" ref="M265">INDEX(DataAll!$AP$2:$AP$555,MATCH(LOWER(Data!A265),LOWER(DataAll!$AO$2:$AO$555),0))</f>
        <v>70.61</v>
      </c>
      <c r="N265" cm="1">
        <f t="array" ref="N265">INDEX(DataAll!$AQ$2:$AQ$555,MATCH(LOWER(Data!A265),LOWER(DataAll!$AO$2:$AO$555),0))</f>
        <v>74.63</v>
      </c>
      <c r="O265" cm="1">
        <f t="array" ref="O265">INDEX(DataAll!$AT$2:$AT$555,MATCH(LOWER(Data!A265),LOWER(DataAll!$AS$2:$AS$555),0))</f>
        <v>8.0399999999999991</v>
      </c>
      <c r="P265" cm="1">
        <f t="array" ref="P265">INDEX(DataAll!$AU$2:$AU$555,MATCH(LOWER(Data!A265),LOWER(DataAll!$AS$2:$AS$555),0))</f>
        <v>6.96</v>
      </c>
      <c r="Q265" cm="1">
        <f t="array" ref="Q265">INDEX(DataAll!$AX$2:$AX$556,MATCH(LOWER(Data!A265),LOWER(DataAll!$AW$2:$AW$556),0))</f>
        <v>24.45</v>
      </c>
      <c r="R265" cm="1">
        <f t="array" ref="R265">INDEX('Longitude and Latitude'!$B$2:$B$579,MATCH(LOWER(Data!A265),LOWER('Longitude and Latitude'!$A$2:$A$579),0))</f>
        <v>0.88268100000000005</v>
      </c>
      <c r="S265" cm="1">
        <f t="array" ref="S265">INDEX('Longitude and Latitude'!$C$2:$C$579,MATCH(LOWER(Data!A265),LOWER('Longitude and Latitude'!$A$2:$A$579),0))</f>
        <v>124.4669566</v>
      </c>
      <c r="T265" t="b">
        <f>IF(EXACT(A265, UPPER(A265)), TRUE, FALSE)</f>
        <v>0</v>
      </c>
    </row>
    <row r="266" spans="1:20" x14ac:dyDescent="0.35">
      <c r="A266" t="s">
        <v>265</v>
      </c>
      <c r="B266">
        <v>88.52</v>
      </c>
      <c r="C266" cm="1">
        <f t="array" ref="C266">INDEX(DataAll!$E$2:$E$555,MATCH(LOWER(Data!A266),LOWER(DataAll!$D$2:$D$555),0))</f>
        <v>65.05</v>
      </c>
      <c r="D266" cm="1">
        <f t="array" ref="D266">INDEX(DataAll!$H$2:$H$579,MATCH(LOWER(Data!A266),LOWER(DataAll!$G$2:$G$555),0))</f>
        <v>0.35899999999999999</v>
      </c>
      <c r="E266" cm="1">
        <f t="array" ref="E266">INDEX(DataAll!$K$2:$K$579,MATCH(LOWER(Data!A266),LOWER(DataAll!$J$2:$J$555),0))</f>
        <v>14</v>
      </c>
      <c r="F266" cm="1">
        <f t="array" ref="F266">INDEX(DataAll!$N$2:$N$555,MATCH(LOWER(Data!A266),LOWER(DataAll!$M$2:$M$555),0))</f>
        <v>49.92</v>
      </c>
      <c r="G266" cm="1">
        <f t="array" ref="G266">INDEX(DataAll!$Q$2:$Q$555,MATCH(LOWER(Data!A266),LOWER(DataAll!$P$2:$P$555),0))</f>
        <v>6.83</v>
      </c>
      <c r="H266" cm="1">
        <f t="array" ref="H266">INDEX(DataAll!$T$2:$T$555,MATCH(LOWER(Data!A266),LOWER(DataAll!$S$2:$S$555),0))</f>
        <v>0.25600000000000001</v>
      </c>
      <c r="I266" cm="1">
        <f t="array" ref="I266">INDEX(DataAll!$W$2:$W$555,MATCH(LOWER(Data!A266),LOWER(DataAll!$V$2:$V$555),0))</f>
        <v>30.97</v>
      </c>
      <c r="J266" cm="1">
        <f t="array" ref="J266">INDEX(DataAll!$Z$2:$Z$555,MATCH(LOWER(Data!A266),LOWER(DataAll!$Y$2:$Y$555),0))</f>
        <v>1.84</v>
      </c>
      <c r="K266" cm="1">
        <f t="array" ref="K266">INDEX(DataAll!$AM$2:$AM$555,MATCH(LOWER(Data!A266),LOWER(DataAll!$AL$2:$AL$555),0))</f>
        <v>14.91</v>
      </c>
      <c r="L266" cm="1">
        <f t="array" ref="L266">INDEX(DataAll!$AJ$2:$AJ$555,MATCH(LOWER(Data!A266),LOWER(DataAll!$AI$2:$AI$555),0))</f>
        <v>15.76</v>
      </c>
      <c r="M266" cm="1">
        <f t="array" ref="M266">INDEX(DataAll!$AP$2:$AP$555,MATCH(LOWER(Data!A266),LOWER(DataAll!$AO$2:$AO$555),0))</f>
        <v>70.400000000000006</v>
      </c>
      <c r="N266" cm="1">
        <f t="array" ref="N266">INDEX(DataAll!$AQ$2:$AQ$555,MATCH(LOWER(Data!A266),LOWER(DataAll!$AO$2:$AO$555),0))</f>
        <v>74.41</v>
      </c>
      <c r="O266" cm="1">
        <f t="array" ref="O266">INDEX(DataAll!$AT$2:$AT$555,MATCH(LOWER(Data!A266),LOWER(DataAll!$AS$2:$AS$555),0))</f>
        <v>7.88</v>
      </c>
      <c r="P266" cm="1">
        <f t="array" ref="P266">INDEX(DataAll!$AU$2:$AU$555,MATCH(LOWER(Data!A266),LOWER(DataAll!$AS$2:$AS$555),0))</f>
        <v>6.95</v>
      </c>
      <c r="Q266" cm="1">
        <f t="array" ref="Q266">INDEX(DataAll!$AX$2:$AX$556,MATCH(LOWER(Data!A266),LOWER(DataAll!$AW$2:$AW$556),0))</f>
        <v>24.12</v>
      </c>
      <c r="R266" cm="1">
        <f t="array" ref="R266">INDEX('Longitude and Latitude'!$B$2:$B$579,MATCH(LOWER(Data!A266),LOWER('Longitude and Latitude'!$A$2:$A$579),0))</f>
        <v>-8.7493145999999999</v>
      </c>
      <c r="S266" cm="1">
        <f t="array" ref="S266">INDEX('Longitude and Latitude'!$C$2:$C$579,MATCH(LOWER(Data!A266),LOWER('Longitude and Latitude'!$A$2:$A$579),0))</f>
        <v>115.1711298</v>
      </c>
      <c r="T266" t="b">
        <f>IF(EXACT(A266, UPPER(A266)), TRUE, FALSE)</f>
        <v>0</v>
      </c>
    </row>
    <row r="267" spans="1:20" x14ac:dyDescent="0.35">
      <c r="A267" t="s">
        <v>266</v>
      </c>
      <c r="B267">
        <v>89.84</v>
      </c>
      <c r="C267" cm="1">
        <f t="array" ref="C267">INDEX(DataAll!$E$2:$E$555,MATCH(LOWER(Data!A267),LOWER(DataAll!$D$2:$D$555),0))</f>
        <v>73.150000000000006</v>
      </c>
      <c r="D267" cm="1">
        <f t="array" ref="D267">INDEX(DataAll!$H$2:$H$579,MATCH(LOWER(Data!A267),LOWER(DataAll!$G$2:$G$555),0))</f>
        <v>0.33400000000000002</v>
      </c>
      <c r="E267" cm="1">
        <f t="array" ref="E267">INDEX(DataAll!$K$2:$K$579,MATCH(LOWER(Data!A267),LOWER(DataAll!$J$2:$J$555),0))</f>
        <v>22</v>
      </c>
      <c r="F267" cm="1">
        <f t="array" ref="F267">INDEX(DataAll!$N$2:$N$555,MATCH(LOWER(Data!A267),LOWER(DataAll!$M$2:$M$555),0))</f>
        <v>50.61</v>
      </c>
      <c r="G267" cm="1">
        <f t="array" ref="G267">INDEX(DataAll!$Q$2:$Q$555,MATCH(LOWER(Data!A267),LOWER(DataAll!$P$2:$P$555),0))</f>
        <v>5.0599999999999996</v>
      </c>
      <c r="H267" cm="1">
        <f t="array" ref="H267">INDEX(DataAll!$T$2:$T$555,MATCH(LOWER(Data!A267),LOWER(DataAll!$S$2:$S$555),0))</f>
        <v>0.19900000000000001</v>
      </c>
      <c r="I267" cm="1">
        <f t="array" ref="I267">INDEX(DataAll!$W$2:$W$555,MATCH(LOWER(Data!A267),LOWER(DataAll!$V$2:$V$555),0))</f>
        <v>33.49</v>
      </c>
      <c r="J267" cm="1">
        <f t="array" ref="J267">INDEX(DataAll!$Z$2:$Z$555,MATCH(LOWER(Data!A267),LOWER(DataAll!$Y$2:$Y$555),0))</f>
        <v>1.9</v>
      </c>
      <c r="K267" cm="1">
        <f t="array" ref="K267">INDEX(DataAll!$AM$2:$AM$555,MATCH(LOWER(Data!A267),LOWER(DataAll!$AL$2:$AL$555),0))</f>
        <v>12.42</v>
      </c>
      <c r="L267" cm="1">
        <f t="array" ref="L267">INDEX(DataAll!$AJ$2:$AJ$555,MATCH(LOWER(Data!A267),LOWER(DataAll!$AI$2:$AI$555),0))</f>
        <v>15.26</v>
      </c>
      <c r="M267" cm="1">
        <f t="array" ref="M267">INDEX(DataAll!$AP$2:$AP$555,MATCH(LOWER(Data!A267),LOWER(DataAll!$AO$2:$AO$555),0))</f>
        <v>71.150000000000006</v>
      </c>
      <c r="N267" cm="1">
        <f t="array" ref="N267">INDEX(DataAll!$AQ$2:$AQ$555,MATCH(LOWER(Data!A267),LOWER(DataAll!$AO$2:$AO$555),0))</f>
        <v>75.39</v>
      </c>
      <c r="O267" cm="1">
        <f t="array" ref="O267">INDEX(DataAll!$AT$2:$AT$555,MATCH(LOWER(Data!A267),LOWER(DataAll!$AS$2:$AS$555),0))</f>
        <v>8.86</v>
      </c>
      <c r="P267" cm="1">
        <f t="array" ref="P267">INDEX(DataAll!$AU$2:$AU$555,MATCH(LOWER(Data!A267),LOWER(DataAll!$AS$2:$AS$555),0))</f>
        <v>7.89</v>
      </c>
      <c r="Q267" cm="1">
        <f t="array" ref="Q267">INDEX(DataAll!$AX$2:$AX$556,MATCH(LOWER(Data!A267),LOWER(DataAll!$AW$2:$AW$556),0))</f>
        <v>30.66</v>
      </c>
      <c r="R267" cm="1">
        <f t="array" ref="R267">INDEX('Longitude and Latitude'!$B$2:$B$579,MATCH(LOWER(Data!A267),LOWER('Longitude and Latitude'!$A$2:$A$579),0))</f>
        <v>-7.4061529999999998</v>
      </c>
      <c r="S267" cm="1">
        <f t="array" ref="S267">INDEX('Longitude and Latitude'!$C$2:$C$579,MATCH(LOWER(Data!A267),LOWER('Longitude and Latitude'!$A$2:$A$579),0))</f>
        <v>109.3946794</v>
      </c>
      <c r="T267" t="b">
        <f>IF(EXACT(A267, UPPER(A267)), TRUE, FALSE)</f>
        <v>0</v>
      </c>
    </row>
    <row r="268" spans="1:20" x14ac:dyDescent="0.35">
      <c r="A268" t="s">
        <v>267</v>
      </c>
      <c r="B268">
        <v>91.01</v>
      </c>
      <c r="C268" cm="1">
        <f t="array" ref="C268">INDEX(DataAll!$E$2:$E$555,MATCH(LOWER(Data!A268),LOWER(DataAll!$D$2:$D$555),0))</f>
        <v>70.47</v>
      </c>
      <c r="D268" cm="1">
        <f t="array" ref="D268">INDEX(DataAll!$H$2:$H$579,MATCH(LOWER(Data!A268),LOWER(DataAll!$G$2:$G$555),0))</f>
        <v>0.40899999999999997</v>
      </c>
      <c r="E268" cm="1">
        <f t="array" ref="E268">INDEX(DataAll!$K$2:$K$579,MATCH(LOWER(Data!A268),LOWER(DataAll!$J$2:$J$555),0))</f>
        <v>18.75</v>
      </c>
      <c r="F268" cm="1">
        <f t="array" ref="F268">INDEX(DataAll!$N$2:$N$555,MATCH(LOWER(Data!A268),LOWER(DataAll!$M$2:$M$555),0))</f>
        <v>52.93</v>
      </c>
      <c r="G268" cm="1">
        <f t="array" ref="G268">INDEX(DataAll!$Q$2:$Q$555,MATCH(LOWER(Data!A268),LOWER(DataAll!$P$2:$P$555),0))</f>
        <v>3.67</v>
      </c>
      <c r="H268" cm="1">
        <f t="array" ref="H268">INDEX(DataAll!$T$2:$T$555,MATCH(LOWER(Data!A268),LOWER(DataAll!$S$2:$S$555),0))</f>
        <v>0.17100000000000001</v>
      </c>
      <c r="I268" cm="1">
        <f t="array" ref="I268">INDEX(DataAll!$W$2:$W$555,MATCH(LOWER(Data!A268),LOWER(DataAll!$V$2:$V$555),0))</f>
        <v>31.45</v>
      </c>
      <c r="J268" cm="1">
        <f t="array" ref="J268">INDEX(DataAll!$Z$2:$Z$555,MATCH(LOWER(Data!A268),LOWER(DataAll!$Y$2:$Y$555),0))</f>
        <v>1.95</v>
      </c>
      <c r="K268" cm="1">
        <f t="array" ref="K268">INDEX(DataAll!$AM$2:$AM$555,MATCH(LOWER(Data!A268),LOWER(DataAll!$AL$2:$AL$555),0))</f>
        <v>10.96</v>
      </c>
      <c r="L268" cm="1">
        <f t="array" ref="L268">INDEX(DataAll!$AJ$2:$AJ$555,MATCH(LOWER(Data!A268),LOWER(DataAll!$AI$2:$AI$555),0))</f>
        <v>18.22</v>
      </c>
      <c r="M268" cm="1">
        <f t="array" ref="M268">INDEX(DataAll!$AP$2:$AP$555,MATCH(LOWER(Data!A268),LOWER(DataAll!$AO$2:$AO$555),0))</f>
        <v>71.2</v>
      </c>
      <c r="N268" cm="1">
        <f t="array" ref="N268">INDEX(DataAll!$AQ$2:$AQ$555,MATCH(LOWER(Data!A268),LOWER(DataAll!$AO$2:$AO$555),0))</f>
        <v>75.5</v>
      </c>
      <c r="O268" cm="1">
        <f t="array" ref="O268">INDEX(DataAll!$AT$2:$AT$555,MATCH(LOWER(Data!A268),LOWER(DataAll!$AS$2:$AS$555),0))</f>
        <v>10.33</v>
      </c>
      <c r="P268" cm="1">
        <f t="array" ref="P268">INDEX(DataAll!$AU$2:$AU$555,MATCH(LOWER(Data!A268),LOWER(DataAll!$AS$2:$AS$555),0))</f>
        <v>9.7200000000000006</v>
      </c>
      <c r="Q268" cm="1">
        <f t="array" ref="Q268">INDEX(DataAll!$AX$2:$AX$556,MATCH(LOWER(Data!A268),LOWER(DataAll!$AW$2:$AW$556),0))</f>
        <v>50.24</v>
      </c>
      <c r="R268" cm="1">
        <f t="array" ref="R268">INDEX('Longitude and Latitude'!$B$2:$B$579,MATCH(LOWER(Data!A268),LOWER('Longitude and Latitude'!$A$2:$A$579),0))</f>
        <v>-7.15665</v>
      </c>
      <c r="S268" cm="1">
        <f t="array" ref="S268">INDEX('Longitude and Latitude'!$C$2:$C$579,MATCH(LOWER(Data!A268),LOWER('Longitude and Latitude'!$A$2:$A$579),0))</f>
        <v>112.6555</v>
      </c>
      <c r="T268" t="b">
        <f>IF(EXACT(A268, UPPER(A268)), TRUE, FALSE)</f>
        <v>0</v>
      </c>
    </row>
    <row r="269" spans="1:20" x14ac:dyDescent="0.35">
      <c r="A269" t="s">
        <v>268</v>
      </c>
      <c r="B269">
        <v>87.56</v>
      </c>
      <c r="C269" cm="1">
        <f t="array" ref="C269">INDEX(DataAll!$E$2:$E$555,MATCH(LOWER(Data!A269),LOWER(DataAll!$D$2:$D$555),0))</f>
        <v>62.34</v>
      </c>
      <c r="D269" cm="1">
        <f t="array" ref="D269">INDEX(DataAll!$H$2:$H$579,MATCH(LOWER(Data!A269),LOWER(DataAll!$G$2:$G$555),0))</f>
        <v>0.61499999999999999</v>
      </c>
      <c r="E269" cm="1">
        <f t="array" ref="E269">INDEX(DataAll!$K$2:$K$579,MATCH(LOWER(Data!A269),LOWER(DataAll!$J$2:$J$555),0))</f>
        <v>8</v>
      </c>
      <c r="F269" cm="1">
        <f t="array" ref="F269">INDEX(DataAll!$N$2:$N$555,MATCH(LOWER(Data!A269),LOWER(DataAll!$M$2:$M$555),0))</f>
        <v>48.68</v>
      </c>
      <c r="G269" cm="1">
        <f t="array" ref="G269">INDEX(DataAll!$Q$2:$Q$555,MATCH(LOWER(Data!A269),LOWER(DataAll!$P$2:$P$555),0))</f>
        <v>9.19</v>
      </c>
      <c r="H269" cm="1">
        <f t="array" ref="H269">INDEX(DataAll!$T$2:$T$555,MATCH(LOWER(Data!A269),LOWER(DataAll!$S$2:$S$555),0))</f>
        <v>0.28599999999999998</v>
      </c>
      <c r="I269" cm="1">
        <f t="array" ref="I269">INDEX(DataAll!$W$2:$W$555,MATCH(LOWER(Data!A269),LOWER(DataAll!$V$2:$V$555),0))</f>
        <v>36.880000000000003</v>
      </c>
      <c r="J269" cm="1">
        <f t="array" ref="J269">INDEX(DataAll!$Z$2:$Z$555,MATCH(LOWER(Data!A269),LOWER(DataAll!$Y$2:$Y$555),0))</f>
        <v>2.1</v>
      </c>
      <c r="K269" cm="1">
        <f t="array" ref="K269">INDEX(DataAll!$AM$2:$AM$555,MATCH(LOWER(Data!A269),LOWER(DataAll!$AL$2:$AL$555),0))</f>
        <v>19.350000000000001</v>
      </c>
      <c r="L269" cm="1">
        <f t="array" ref="L269">INDEX(DataAll!$AJ$2:$AJ$555,MATCH(LOWER(Data!A269),LOWER(DataAll!$AI$2:$AI$555),0))</f>
        <v>22.81</v>
      </c>
      <c r="M269" cm="1">
        <f t="array" ref="M269">INDEX(DataAll!$AP$2:$AP$555,MATCH(LOWER(Data!A269),LOWER(DataAll!$AO$2:$AO$555),0))</f>
        <v>68.86</v>
      </c>
      <c r="N269" cm="1">
        <f t="array" ref="N269">INDEX(DataAll!$AQ$2:$AQ$555,MATCH(LOWER(Data!A269),LOWER(DataAll!$AO$2:$AO$555),0))</f>
        <v>72.81</v>
      </c>
      <c r="O269" cm="1">
        <f t="array" ref="O269">INDEX(DataAll!$AT$2:$AT$555,MATCH(LOWER(Data!A269),LOWER(DataAll!$AS$2:$AS$555),0))</f>
        <v>6.75</v>
      </c>
      <c r="P269" cm="1">
        <f t="array" ref="P269">INDEX(DataAll!$AU$2:$AU$555,MATCH(LOWER(Data!A269),LOWER(DataAll!$AS$2:$AS$555),0))</f>
        <v>5.37</v>
      </c>
      <c r="Q269" cm="1">
        <f t="array" ref="Q269">INDEX(DataAll!$AX$2:$AX$556,MATCH(LOWER(Data!A269),LOWER(DataAll!$AW$2:$AW$556),0))</f>
        <v>15.05</v>
      </c>
      <c r="R269" cm="1">
        <f t="array" ref="R269">INDEX('Longitude and Latitude'!$B$2:$B$579,MATCH(LOWER(Data!A269),LOWER('Longitude and Latitude'!$A$2:$A$579),0))</f>
        <v>-7.0306911999999997</v>
      </c>
      <c r="S269" cm="1">
        <f t="array" ref="S269">INDEX('Longitude and Latitude'!$C$2:$C$579,MATCH(LOWER(Data!A269),LOWER('Longitude and Latitude'!$A$2:$A$579),0))</f>
        <v>112.7450068</v>
      </c>
      <c r="T269" t="b">
        <f>IF(EXACT(A269, UPPER(A269)), TRUE, FALSE)</f>
        <v>0</v>
      </c>
    </row>
    <row r="270" spans="1:20" x14ac:dyDescent="0.35">
      <c r="A270" t="s">
        <v>269</v>
      </c>
      <c r="B270">
        <v>86.97</v>
      </c>
      <c r="C270" cm="1">
        <f t="array" ref="C270">INDEX(DataAll!$E$2:$E$555,MATCH(LOWER(Data!A270),LOWER(DataAll!$D$2:$D$555),0))</f>
        <v>59.04</v>
      </c>
      <c r="D270" cm="1">
        <f t="array" ref="D270">INDEX(DataAll!$H$2:$H$579,MATCH(LOWER(Data!A270),LOWER(DataAll!$G$2:$G$555),0))</f>
        <v>0.58199999999999996</v>
      </c>
      <c r="E270" cm="1">
        <f t="array" ref="E270">INDEX(DataAll!$K$2:$K$579,MATCH(LOWER(Data!A270),LOWER(DataAll!$J$2:$J$555),0))</f>
        <v>8.89</v>
      </c>
      <c r="F270" cm="1">
        <f t="array" ref="F270">INDEX(DataAll!$N$2:$N$555,MATCH(LOWER(Data!A270),LOWER(DataAll!$M$2:$M$555),0))</f>
        <v>43.05</v>
      </c>
      <c r="G270" cm="1">
        <f t="array" ref="G270">INDEX(DataAll!$Q$2:$Q$555,MATCH(LOWER(Data!A270),LOWER(DataAll!$P$2:$P$555),0))</f>
        <v>9.09</v>
      </c>
      <c r="H270" cm="1">
        <f t="array" ref="H270">INDEX(DataAll!$T$2:$T$555,MATCH(LOWER(Data!A270),LOWER(DataAll!$S$2:$S$555),0))</f>
        <v>0.33200000000000002</v>
      </c>
      <c r="I270" cm="1">
        <f t="array" ref="I270">INDEX(DataAll!$W$2:$W$555,MATCH(LOWER(Data!A270),LOWER(DataAll!$V$2:$V$555),0))</f>
        <v>31.06</v>
      </c>
      <c r="J270" cm="1">
        <f t="array" ref="J270">INDEX(DataAll!$Z$2:$Z$555,MATCH(LOWER(Data!A270),LOWER(DataAll!$Y$2:$Y$555),0))</f>
        <v>2.36</v>
      </c>
      <c r="K270" cm="1">
        <f t="array" ref="K270">INDEX(DataAll!$AM$2:$AM$555,MATCH(LOWER(Data!A270),LOWER(DataAll!$AL$2:$AL$555),0))</f>
        <v>21.76</v>
      </c>
      <c r="L270" cm="1">
        <f t="array" ref="L270">INDEX(DataAll!$AJ$2:$AJ$555,MATCH(LOWER(Data!A270),LOWER(DataAll!$AI$2:$AI$555),0))</f>
        <v>22.11</v>
      </c>
      <c r="M270" cm="1">
        <f t="array" ref="M270">INDEX(DataAll!$AP$2:$AP$555,MATCH(LOWER(Data!A270),LOWER(DataAll!$AO$2:$AO$555),0))</f>
        <v>66.7</v>
      </c>
      <c r="N270" cm="1">
        <f t="array" ref="N270">INDEX(DataAll!$AQ$2:$AQ$555,MATCH(LOWER(Data!A270),LOWER(DataAll!$AO$2:$AO$555),0))</f>
        <v>70.67</v>
      </c>
      <c r="O270" cm="1">
        <f t="array" ref="O270">INDEX(DataAll!$AT$2:$AT$555,MATCH(LOWER(Data!A270),LOWER(DataAll!$AS$2:$AS$555),0))</f>
        <v>5.58</v>
      </c>
      <c r="P270" cm="1">
        <f t="array" ref="P270">INDEX(DataAll!$AU$2:$AU$555,MATCH(LOWER(Data!A270),LOWER(DataAll!$AS$2:$AS$555),0))</f>
        <v>4.6399999999999997</v>
      </c>
      <c r="Q270" cm="1">
        <f t="array" ref="Q270">INDEX(DataAll!$AX$2:$AX$556,MATCH(LOWER(Data!A270),LOWER(DataAll!$AW$2:$AW$556),0))</f>
        <v>8.9600000000000009</v>
      </c>
      <c r="R270" cm="1">
        <f t="array" ref="R270">INDEX('Longitude and Latitude'!$B$2:$B$579,MATCH(LOWER(Data!A270),LOWER('Longitude and Latitude'!$A$2:$A$579),0))</f>
        <v>-7.5782556000000003</v>
      </c>
      <c r="S270" cm="1">
        <f t="array" ref="S270">INDEX('Longitude and Latitude'!$C$2:$C$579,MATCH(LOWER(Data!A270),LOWER('Longitude and Latitude'!$A$2:$A$579),0))</f>
        <v>109.20584359999999</v>
      </c>
      <c r="T270" t="b">
        <f>IF(EXACT(A270, UPPER(A270)), TRUE, FALSE)</f>
        <v>0</v>
      </c>
    </row>
    <row r="271" spans="1:20" x14ac:dyDescent="0.35">
      <c r="A271" t="s">
        <v>270</v>
      </c>
      <c r="B271">
        <v>86.97</v>
      </c>
      <c r="C271" cm="1">
        <f t="array" ref="C271">INDEX(DataAll!$E$2:$E$555,MATCH(LOWER(Data!A271),LOWER(DataAll!$D$2:$D$555),0))</f>
        <v>55.85</v>
      </c>
      <c r="D271" cm="1">
        <f t="array" ref="D271">INDEX(DataAll!$H$2:$H$579,MATCH(LOWER(Data!A271),LOWER(DataAll!$G$2:$G$555),0))</f>
        <v>0.60099999999999998</v>
      </c>
      <c r="E271" cm="1">
        <f t="array" ref="E271">INDEX(DataAll!$K$2:$K$579,MATCH(LOWER(Data!A271),LOWER(DataAll!$J$2:$J$555),0))</f>
        <v>4.4400000000000004</v>
      </c>
      <c r="F271" cm="1">
        <f t="array" ref="F271">INDEX(DataAll!$N$2:$N$555,MATCH(LOWER(Data!A271),LOWER(DataAll!$M$2:$M$555),0))</f>
        <v>41.14</v>
      </c>
      <c r="G271" cm="1">
        <f t="array" ref="G271">INDEX(DataAll!$Q$2:$Q$555,MATCH(LOWER(Data!A271),LOWER(DataAll!$P$2:$P$555),0))</f>
        <v>9.43</v>
      </c>
      <c r="H271" cm="1">
        <f t="array" ref="H271">INDEX(DataAll!$T$2:$T$555,MATCH(LOWER(Data!A271),LOWER(DataAll!$S$2:$S$555),0))</f>
        <v>0.29199999999999998</v>
      </c>
      <c r="I271" cm="1">
        <f t="array" ref="I271">INDEX(DataAll!$W$2:$W$555,MATCH(LOWER(Data!A271),LOWER(DataAll!$V$2:$V$555),0))</f>
        <v>35.22</v>
      </c>
      <c r="J271" cm="1">
        <f t="array" ref="J271">INDEX(DataAll!$Z$2:$Z$555,MATCH(LOWER(Data!A271),LOWER(DataAll!$Y$2:$Y$555),0))</f>
        <v>2.16</v>
      </c>
      <c r="K271" cm="1">
        <f t="array" ref="K271">INDEX(DataAll!$AM$2:$AM$555,MATCH(LOWER(Data!A271),LOWER(DataAll!$AL$2:$AL$555),0))</f>
        <v>13.85</v>
      </c>
      <c r="L271" cm="1">
        <f t="array" ref="L271">INDEX(DataAll!$AJ$2:$AJ$555,MATCH(LOWER(Data!A271),LOWER(DataAll!$AI$2:$AI$555),0))</f>
        <v>21.88</v>
      </c>
      <c r="M271" cm="1">
        <f t="array" ref="M271">INDEX(DataAll!$AP$2:$AP$555,MATCH(LOWER(Data!A271),LOWER(DataAll!$AO$2:$AO$555),0))</f>
        <v>66.37</v>
      </c>
      <c r="N271" cm="1">
        <f t="array" ref="N271">INDEX(DataAll!$AQ$2:$AQ$555,MATCH(LOWER(Data!A271),LOWER(DataAll!$AO$2:$AO$555),0))</f>
        <v>70.349999999999994</v>
      </c>
      <c r="O271" cm="1">
        <f t="array" ref="O271">INDEX(DataAll!$AT$2:$AT$555,MATCH(LOWER(Data!A271),LOWER(DataAll!$AS$2:$AS$555),0))</f>
        <v>7.95</v>
      </c>
      <c r="P271" cm="1">
        <f t="array" ref="P271">INDEX(DataAll!$AU$2:$AU$555,MATCH(LOWER(Data!A271),LOWER(DataAll!$AS$2:$AS$555),0))</f>
        <v>6.42</v>
      </c>
      <c r="Q271" cm="1">
        <f t="array" ref="Q271">INDEX(DataAll!$AX$2:$AX$556,MATCH(LOWER(Data!A271),LOWER(DataAll!$AW$2:$AW$556),0))</f>
        <v>23.56</v>
      </c>
      <c r="R271" cm="1">
        <f t="array" ref="R271">INDEX('Longitude and Latitude'!$B$2:$B$579,MATCH(LOWER(Data!A271),LOWER('Longitude and Latitude'!$A$2:$A$579),0))</f>
        <v>-7.1666667000000004</v>
      </c>
      <c r="S271" cm="1">
        <f t="array" ref="S271">INDEX('Longitude and Latitude'!$C$2:$C$579,MATCH(LOWER(Data!A271),LOWER('Longitude and Latitude'!$A$2:$A$579),0))</f>
        <v>113.4666667</v>
      </c>
      <c r="T271" t="b">
        <f>IF(EXACT(A271, UPPER(A271)), TRUE, FALSE)</f>
        <v>0</v>
      </c>
    </row>
    <row r="272" spans="1:20" x14ac:dyDescent="0.35">
      <c r="A272" t="s">
        <v>271</v>
      </c>
      <c r="B272">
        <v>82.29</v>
      </c>
      <c r="C272" cm="1">
        <f t="array" ref="C272">INDEX(DataAll!$E$2:$E$555,MATCH(LOWER(Data!A272),LOWER(DataAll!$D$2:$D$555),0))</f>
        <v>62.77</v>
      </c>
      <c r="D272" cm="1">
        <f t="array" ref="D272">INDEX(DataAll!$H$2:$H$579,MATCH(LOWER(Data!A272),LOWER(DataAll!$G$2:$G$555),0))</f>
        <v>0.59299999999999997</v>
      </c>
      <c r="E272" cm="1">
        <f t="array" ref="E272">INDEX(DataAll!$K$2:$K$579,MATCH(LOWER(Data!A272),LOWER(DataAll!$J$2:$J$555),0))</f>
        <v>8</v>
      </c>
      <c r="F272" cm="1">
        <f t="array" ref="F272">INDEX(DataAll!$N$2:$N$555,MATCH(LOWER(Data!A272),LOWER(DataAll!$M$2:$M$555),0))</f>
        <v>44.1</v>
      </c>
      <c r="G272" cm="1">
        <f t="array" ref="G272">INDEX(DataAll!$Q$2:$Q$555,MATCH(LOWER(Data!A272),LOWER(DataAll!$P$2:$P$555),0))</f>
        <v>3.95</v>
      </c>
      <c r="H272" cm="1">
        <f t="array" ref="H272">INDEX(DataAll!$T$2:$T$555,MATCH(LOWER(Data!A272),LOWER(DataAll!$S$2:$S$555),0))</f>
        <v>0.38700000000000001</v>
      </c>
      <c r="I272" cm="1">
        <f t="array" ref="I272">INDEX(DataAll!$W$2:$W$555,MATCH(LOWER(Data!A272),LOWER(DataAll!$V$2:$V$555),0))</f>
        <v>37.64</v>
      </c>
      <c r="J272" cm="1">
        <f t="array" ref="J272">INDEX(DataAll!$Z$2:$Z$555,MATCH(LOWER(Data!A272),LOWER(DataAll!$Y$2:$Y$555),0))</f>
        <v>2.12</v>
      </c>
      <c r="K272" cm="1">
        <f t="array" ref="K272">INDEX(DataAll!$AM$2:$AM$555,MATCH(LOWER(Data!A272),LOWER(DataAll!$AL$2:$AL$555),0))</f>
        <v>18.7</v>
      </c>
      <c r="L272" cm="1">
        <f t="array" ref="L272">INDEX(DataAll!$AJ$2:$AJ$555,MATCH(LOWER(Data!A272),LOWER(DataAll!$AI$2:$AI$555),0))</f>
        <v>20.88</v>
      </c>
      <c r="M272" cm="1">
        <f t="array" ref="M272">INDEX(DataAll!$AP$2:$AP$555,MATCH(LOWER(Data!A272),LOWER(DataAll!$AO$2:$AO$555),0))</f>
        <v>70.510000000000005</v>
      </c>
      <c r="N272" cm="1">
        <f t="array" ref="N272">INDEX(DataAll!$AQ$2:$AQ$555,MATCH(LOWER(Data!A272),LOWER(DataAll!$AO$2:$AO$555),0))</f>
        <v>74.53</v>
      </c>
      <c r="O272" cm="1">
        <f t="array" ref="O272">INDEX(DataAll!$AT$2:$AT$555,MATCH(LOWER(Data!A272),LOWER(DataAll!$AS$2:$AS$555),0))</f>
        <v>6.93</v>
      </c>
      <c r="P272" cm="1">
        <f t="array" ref="P272">INDEX(DataAll!$AU$2:$AU$555,MATCH(LOWER(Data!A272),LOWER(DataAll!$AS$2:$AS$555),0))</f>
        <v>5.19</v>
      </c>
      <c r="Q272" cm="1">
        <f t="array" ref="Q272">INDEX(DataAll!$AX$2:$AX$556,MATCH(LOWER(Data!A272),LOWER(DataAll!$AW$2:$AW$556),0))</f>
        <v>17.88</v>
      </c>
      <c r="R272" cm="1">
        <f t="array" ref="R272">INDEX('Longitude and Latitude'!$B$2:$B$579,MATCH(LOWER(Data!A272),LOWER('Longitude and Latitude'!$A$2:$A$579),0))</f>
        <v>-6.9253999000000004</v>
      </c>
      <c r="S272" cm="1">
        <f t="array" ref="S272">INDEX('Longitude and Latitude'!$C$2:$C$579,MATCH(LOWER(Data!A272),LOWER('Longitude and Latitude'!$A$2:$A$579),0))</f>
        <v>113.9060624</v>
      </c>
      <c r="T272" t="b">
        <f>IF(EXACT(A272, UPPER(A272)), TRUE, FALSE)</f>
        <v>0</v>
      </c>
    </row>
    <row r="273" spans="1:20" x14ac:dyDescent="0.35">
      <c r="A273" t="s">
        <v>272</v>
      </c>
      <c r="B273">
        <v>94.58</v>
      </c>
      <c r="C273" cm="1">
        <f t="array" ref="C273">INDEX(DataAll!$E$2:$E$555,MATCH(LOWER(Data!A273),LOWER(DataAll!$D$2:$D$555),0))</f>
        <v>86.29</v>
      </c>
      <c r="D273" cm="1">
        <f t="array" ref="D273">INDEX(DataAll!$H$2:$H$579,MATCH(LOWER(Data!A273),LOWER(DataAll!$G$2:$G$555),0))</f>
        <v>9.2999999999999999E-2</v>
      </c>
      <c r="E273" cm="1">
        <f t="array" ref="E273">INDEX(DataAll!$K$2:$K$579,MATCH(LOWER(Data!A273),LOWER(DataAll!$J$2:$J$555),0))</f>
        <v>40</v>
      </c>
      <c r="F273" cm="1">
        <f t="array" ref="F273">INDEX(DataAll!$N$2:$N$555,MATCH(LOWER(Data!A273),LOWER(DataAll!$M$2:$M$555),0))</f>
        <v>51.66</v>
      </c>
      <c r="G273" cm="1">
        <f t="array" ref="G273">INDEX(DataAll!$Q$2:$Q$555,MATCH(LOWER(Data!A273),LOWER(DataAll!$P$2:$P$555),0))</f>
        <v>6.6</v>
      </c>
      <c r="H273" cm="1">
        <f t="array" ref="H273">INDEX(DataAll!$T$2:$T$555,MATCH(LOWER(Data!A273),LOWER(DataAll!$S$2:$S$555),0))</f>
        <v>9.5000000000000001E-2</v>
      </c>
      <c r="I273" cm="1">
        <f t="array" ref="I273">INDEX(DataAll!$W$2:$W$555,MATCH(LOWER(Data!A273),LOWER(DataAll!$V$2:$V$555),0))</f>
        <v>35.97</v>
      </c>
      <c r="J273" cm="1">
        <f t="array" ref="J273">INDEX(DataAll!$Z$2:$Z$555,MATCH(LOWER(Data!A273),LOWER(DataAll!$Y$2:$Y$555),0))</f>
        <v>2</v>
      </c>
      <c r="K273" cm="1">
        <f t="array" ref="K273">INDEX(DataAll!$AM$2:$AM$555,MATCH(LOWER(Data!A273),LOWER(DataAll!$AL$2:$AL$555),0))</f>
        <v>7.15</v>
      </c>
      <c r="L273" cm="1">
        <f t="array" ref="L273">INDEX(DataAll!$AJ$2:$AJ$555,MATCH(LOWER(Data!A273),LOWER(DataAll!$AI$2:$AI$555),0))</f>
        <v>12.14</v>
      </c>
      <c r="M273" cm="1">
        <f t="array" ref="M273">INDEX(DataAll!$AP$2:$AP$555,MATCH(LOWER(Data!A273),LOWER(DataAll!$AO$2:$AO$555),0))</f>
        <v>72.930000000000007</v>
      </c>
      <c r="N273" cm="1">
        <f t="array" ref="N273">INDEX(DataAll!$AQ$2:$AQ$555,MATCH(LOWER(Data!A273),LOWER(DataAll!$AO$2:$AO$555),0))</f>
        <v>76.599999999999994</v>
      </c>
      <c r="O273" cm="1">
        <f t="array" ref="O273">INDEX(DataAll!$AT$2:$AT$555,MATCH(LOWER(Data!A273),LOWER(DataAll!$AS$2:$AS$555),0))</f>
        <v>11.37</v>
      </c>
      <c r="P273" cm="1">
        <f t="array" ref="P273">INDEX(DataAll!$AU$2:$AU$555,MATCH(LOWER(Data!A273),LOWER(DataAll!$AS$2:$AS$555),0))</f>
        <v>10.199999999999999</v>
      </c>
      <c r="Q273" cm="1">
        <f t="array" ref="Q273">INDEX(DataAll!$AX$2:$AX$556,MATCH(LOWER(Data!A273),LOWER(DataAll!$AW$2:$AW$556),0))</f>
        <v>57.24</v>
      </c>
      <c r="R273" cm="1">
        <f t="array" ref="R273">INDEX('Longitude and Latitude'!$B$2:$B$579,MATCH(LOWER(Data!A273),LOWER('Longitude and Latitude'!$A$2:$A$579),0))</f>
        <v>-7.8168949999999997</v>
      </c>
      <c r="S273" cm="1">
        <f t="array" ref="S273">INDEX('Longitude and Latitude'!$C$2:$C$579,MATCH(LOWER(Data!A273),LOWER('Longitude and Latitude'!$A$2:$A$579),0))</f>
        <v>112.011398</v>
      </c>
      <c r="T273" t="b">
        <f>IF(EXACT(A273, UPPER(A273)), TRUE, FALSE)</f>
        <v>0</v>
      </c>
    </row>
    <row r="274" spans="1:20" x14ac:dyDescent="0.35">
      <c r="A274" t="s">
        <v>273</v>
      </c>
      <c r="B274">
        <v>97.49</v>
      </c>
      <c r="C274" cm="1">
        <f t="array" ref="C274">INDEX(DataAll!$E$2:$E$555,MATCH(LOWER(Data!A274),LOWER(DataAll!$D$2:$D$555),0))</f>
        <v>67.63</v>
      </c>
      <c r="D274" cm="1">
        <f t="array" ref="D274">INDEX(DataAll!$H$2:$H$579,MATCH(LOWER(Data!A274),LOWER(DataAll!$G$2:$G$555),0))</f>
        <v>0.188</v>
      </c>
      <c r="E274" cm="1">
        <f t="array" ref="E274">INDEX(DataAll!$K$2:$K$579,MATCH(LOWER(Data!A274),LOWER(DataAll!$J$2:$J$555),0))</f>
        <v>12</v>
      </c>
      <c r="F274" cm="1">
        <f t="array" ref="F274">INDEX(DataAll!$N$2:$N$555,MATCH(LOWER(Data!A274),LOWER(DataAll!$M$2:$M$555),0))</f>
        <v>59.95</v>
      </c>
      <c r="G274" cm="1">
        <f t="array" ref="G274">INDEX(DataAll!$Q$2:$Q$555,MATCH(LOWER(Data!A274),LOWER(DataAll!$P$2:$P$555),0))</f>
        <v>6.11</v>
      </c>
      <c r="H274" cm="1">
        <f t="array" ref="H274">INDEX(DataAll!$T$2:$T$555,MATCH(LOWER(Data!A274),LOWER(DataAll!$S$2:$S$555),0))</f>
        <v>0.155</v>
      </c>
      <c r="I274" cm="1">
        <f t="array" ref="I274">INDEX(DataAll!$W$2:$W$555,MATCH(LOWER(Data!A274),LOWER(DataAll!$V$2:$V$555),0))</f>
        <v>38.69</v>
      </c>
      <c r="J274" cm="1">
        <f t="array" ref="J274">INDEX(DataAll!$Z$2:$Z$555,MATCH(LOWER(Data!A274),LOWER(DataAll!$Y$2:$Y$555),0))</f>
        <v>1.92</v>
      </c>
      <c r="K274" cm="1">
        <f t="array" ref="K274">INDEX(DataAll!$AM$2:$AM$555,MATCH(LOWER(Data!A274),LOWER(DataAll!$AL$2:$AL$555),0))</f>
        <v>7.3</v>
      </c>
      <c r="L274" cm="1">
        <f t="array" ref="L274">INDEX(DataAll!$AJ$2:$AJ$555,MATCH(LOWER(Data!A274),LOWER(DataAll!$AI$2:$AI$555),0))</f>
        <v>14.8</v>
      </c>
      <c r="M274" cm="1">
        <f t="array" ref="M274">INDEX(DataAll!$AP$2:$AP$555,MATCH(LOWER(Data!A274),LOWER(DataAll!$AO$2:$AO$555),0))</f>
        <v>72.92</v>
      </c>
      <c r="N274" cm="1">
        <f t="array" ref="N274">INDEX(DataAll!$AQ$2:$AQ$555,MATCH(LOWER(Data!A274),LOWER(DataAll!$AO$2:$AO$555),0))</f>
        <v>76.59</v>
      </c>
      <c r="O274" cm="1">
        <f t="array" ref="O274">INDEX(DataAll!$AT$2:$AT$555,MATCH(LOWER(Data!A274),LOWER(DataAll!$AS$2:$AS$555),0))</f>
        <v>10.99</v>
      </c>
      <c r="P274" cm="1">
        <f t="array" ref="P274">INDEX(DataAll!$AU$2:$AU$555,MATCH(LOWER(Data!A274),LOWER(DataAll!$AS$2:$AS$555),0))</f>
        <v>10.7</v>
      </c>
      <c r="Q274" cm="1">
        <f t="array" ref="Q274">INDEX(DataAll!$AX$2:$AX$556,MATCH(LOWER(Data!A274),LOWER(DataAll!$AW$2:$AW$556),0))</f>
        <v>59.21</v>
      </c>
      <c r="R274" cm="1">
        <f t="array" ref="R274">INDEX('Longitude and Latitude'!$B$2:$B$579,MATCH(LOWER(Data!A274),LOWER('Longitude and Latitude'!$A$2:$A$579),0))</f>
        <v>-8.1</v>
      </c>
      <c r="S274" cm="1">
        <f t="array" ref="S274">INDEX('Longitude and Latitude'!$C$2:$C$579,MATCH(LOWER(Data!A274),LOWER('Longitude and Latitude'!$A$2:$A$579),0))</f>
        <v>112.15</v>
      </c>
      <c r="T274" t="b">
        <f>IF(EXACT(A274, UPPER(A274)), TRUE, FALSE)</f>
        <v>0</v>
      </c>
    </row>
    <row r="275" spans="1:20" x14ac:dyDescent="0.35">
      <c r="A275" t="s">
        <v>274</v>
      </c>
      <c r="B275">
        <v>95.67</v>
      </c>
      <c r="C275" cm="1">
        <f t="array" ref="C275">INDEX(DataAll!$E$2:$E$555,MATCH(LOWER(Data!A275),LOWER(DataAll!$D$2:$D$555),0))</f>
        <v>78.540000000000006</v>
      </c>
      <c r="D275" cm="1">
        <f t="array" ref="D275">INDEX(DataAll!$H$2:$H$579,MATCH(LOWER(Data!A275),LOWER(DataAll!$G$2:$G$555),0))</f>
        <v>0.13100000000000001</v>
      </c>
      <c r="E275" cm="1">
        <f t="array" ref="E275">INDEX(DataAll!$K$2:$K$579,MATCH(LOWER(Data!A275),LOWER(DataAll!$J$2:$J$555),0))</f>
        <v>26.67</v>
      </c>
      <c r="F275" cm="1">
        <f t="array" ref="F275">INDEX(DataAll!$N$2:$N$555,MATCH(LOWER(Data!A275),LOWER(DataAll!$M$2:$M$555),0))</f>
        <v>50.48</v>
      </c>
      <c r="G275" cm="1">
        <f t="array" ref="G275">INDEX(DataAll!$Q$2:$Q$555,MATCH(LOWER(Data!A275),LOWER(DataAll!$P$2:$P$555),0))</f>
        <v>5.04</v>
      </c>
      <c r="H275" cm="1">
        <f t="array" ref="H275">INDEX(DataAll!$T$2:$T$555,MATCH(LOWER(Data!A275),LOWER(DataAll!$S$2:$S$555),0))</f>
        <v>0.122</v>
      </c>
      <c r="I275" cm="1">
        <f t="array" ref="I275">INDEX(DataAll!$W$2:$W$555,MATCH(LOWER(Data!A275),LOWER(DataAll!$V$2:$V$555),0))</f>
        <v>34.29</v>
      </c>
      <c r="J275" cm="1">
        <f t="array" ref="J275">INDEX(DataAll!$Z$2:$Z$555,MATCH(LOWER(Data!A275),LOWER(DataAll!$Y$2:$Y$555),0))</f>
        <v>1.82</v>
      </c>
      <c r="K275" cm="1">
        <f t="array" ref="K275">INDEX(DataAll!$AM$2:$AM$555,MATCH(LOWER(Data!A275),LOWER(DataAll!$AL$2:$AL$555),0))</f>
        <v>4.26</v>
      </c>
      <c r="L275" cm="1">
        <f t="array" ref="L275">INDEX(DataAll!$AJ$2:$AJ$555,MATCH(LOWER(Data!A275),LOWER(DataAll!$AI$2:$AI$555),0))</f>
        <v>13.18</v>
      </c>
      <c r="M275" cm="1">
        <f t="array" ref="M275">INDEX(DataAll!$AP$2:$AP$555,MATCH(LOWER(Data!A275),LOWER(DataAll!$AO$2:$AO$555),0))</f>
        <v>72.36</v>
      </c>
      <c r="N275" cm="1">
        <f t="array" ref="N275">INDEX(DataAll!$AQ$2:$AQ$555,MATCH(LOWER(Data!A275),LOWER(DataAll!$AO$2:$AO$555),0))</f>
        <v>76.069999999999993</v>
      </c>
      <c r="O275" cm="1">
        <f t="array" ref="O275">INDEX(DataAll!$AT$2:$AT$555,MATCH(LOWER(Data!A275),LOWER(DataAll!$AS$2:$AS$555),0))</f>
        <v>11.38</v>
      </c>
      <c r="P275" cm="1">
        <f t="array" ref="P275">INDEX(DataAll!$AU$2:$AU$555,MATCH(LOWER(Data!A275),LOWER(DataAll!$AS$2:$AS$555),0))</f>
        <v>10.9</v>
      </c>
      <c r="Q275" cm="1">
        <f t="array" ref="Q275">INDEX(DataAll!$AX$2:$AX$556,MATCH(LOWER(Data!A275),LOWER(DataAll!$AW$2:$AW$556),0))</f>
        <v>61.36</v>
      </c>
      <c r="R275" cm="1">
        <f t="array" ref="R275">INDEX('Longitude and Latitude'!$B$2:$B$579,MATCH(LOWER(Data!A275),LOWER('Longitude and Latitude'!$A$2:$A$579),0))</f>
        <v>-7.9818939999999996</v>
      </c>
      <c r="S275" cm="1">
        <f t="array" ref="S275">INDEX('Longitude and Latitude'!$C$2:$C$579,MATCH(LOWER(Data!A275),LOWER('Longitude and Latitude'!$A$2:$A$579),0))</f>
        <v>112.626503</v>
      </c>
      <c r="T275" t="b">
        <f>IF(EXACT(A275, UPPER(A275)), TRUE, FALSE)</f>
        <v>0</v>
      </c>
    </row>
    <row r="276" spans="1:20" x14ac:dyDescent="0.35">
      <c r="A276" t="s">
        <v>275</v>
      </c>
      <c r="B276">
        <v>96.48</v>
      </c>
      <c r="C276" cm="1">
        <f t="array" ref="C276">INDEX(DataAll!$E$2:$E$555,MATCH(LOWER(Data!A276),LOWER(DataAll!$D$2:$D$555),0))</f>
        <v>68.739999999999995</v>
      </c>
      <c r="D276" cm="1">
        <f t="array" ref="D276">INDEX(DataAll!$H$2:$H$579,MATCH(LOWER(Data!A276),LOWER(DataAll!$G$2:$G$555),0))</f>
        <v>0.39200000000000002</v>
      </c>
      <c r="E276" cm="1">
        <f t="array" ref="E276">INDEX(DataAll!$K$2:$K$579,MATCH(LOWER(Data!A276),LOWER(DataAll!$J$2:$J$555),0))</f>
        <v>16.670000000000002</v>
      </c>
      <c r="F276" cm="1">
        <f t="array" ref="F276">INDEX(DataAll!$N$2:$N$555,MATCH(LOWER(Data!A276),LOWER(DataAll!$M$2:$M$555),0))</f>
        <v>47.81</v>
      </c>
      <c r="G276" cm="1">
        <f t="array" ref="G276">INDEX(DataAll!$Q$2:$Q$555,MATCH(LOWER(Data!A276),LOWER(DataAll!$P$2:$P$555),0))</f>
        <v>5.29</v>
      </c>
      <c r="H276" cm="1">
        <f t="array" ref="H276">INDEX(DataAll!$T$2:$T$555,MATCH(LOWER(Data!A276),LOWER(DataAll!$S$2:$S$555),0))</f>
        <v>0.22</v>
      </c>
      <c r="I276" cm="1">
        <f t="array" ref="I276">INDEX(DataAll!$W$2:$W$555,MATCH(LOWER(Data!A276),LOWER(DataAll!$V$2:$V$555),0))</f>
        <v>31.09</v>
      </c>
      <c r="J276" cm="1">
        <f t="array" ref="J276">INDEX(DataAll!$Z$2:$Z$555,MATCH(LOWER(Data!A276),LOWER(DataAll!$Y$2:$Y$555),0))</f>
        <v>2.0499999999999998</v>
      </c>
      <c r="K276" cm="1">
        <f t="array" ref="K276">INDEX(DataAll!$AM$2:$AM$555,MATCH(LOWER(Data!A276),LOWER(DataAll!$AL$2:$AL$555),0))</f>
        <v>6.48</v>
      </c>
      <c r="L276" cm="1">
        <f t="array" ref="L276">INDEX(DataAll!$AJ$2:$AJ$555,MATCH(LOWER(Data!A276),LOWER(DataAll!$AI$2:$AI$555),0))</f>
        <v>18.96</v>
      </c>
      <c r="M276" cm="1">
        <f t="array" ref="M276">INDEX(DataAll!$AP$2:$AP$555,MATCH(LOWER(Data!A276),LOWER(DataAll!$AO$2:$AO$555),0))</f>
        <v>69.06</v>
      </c>
      <c r="N276" cm="1">
        <f t="array" ref="N276">INDEX(DataAll!$AQ$2:$AQ$555,MATCH(LOWER(Data!A276),LOWER(DataAll!$AO$2:$AO$555),0))</f>
        <v>73.010000000000005</v>
      </c>
      <c r="O276" cm="1">
        <f t="array" ref="O276">INDEX(DataAll!$AT$2:$AT$555,MATCH(LOWER(Data!A276),LOWER(DataAll!$AS$2:$AS$555),0))</f>
        <v>10.01</v>
      </c>
      <c r="P276" cm="1">
        <f t="array" ref="P276">INDEX(DataAll!$AU$2:$AU$555,MATCH(LOWER(Data!A276),LOWER(DataAll!$AS$2:$AS$555),0))</f>
        <v>9.0500000000000007</v>
      </c>
      <c r="Q276" cm="1">
        <f t="array" ref="Q276">INDEX(DataAll!$AX$2:$AX$556,MATCH(LOWER(Data!A276),LOWER(DataAll!$AW$2:$AW$556),0))</f>
        <v>47.63</v>
      </c>
      <c r="R276" cm="1">
        <f t="array" ref="R276">INDEX('Longitude and Latitude'!$B$2:$B$579,MATCH(LOWER(Data!A276),LOWER('Longitude and Latitude'!$A$2:$A$579),0))</f>
        <v>-7.7569280000000003</v>
      </c>
      <c r="S276" cm="1">
        <f t="array" ref="S276">INDEX('Longitude and Latitude'!$C$2:$C$579,MATCH(LOWER(Data!A276),LOWER('Longitude and Latitude'!$A$2:$A$579),0))</f>
        <v>113.211502</v>
      </c>
      <c r="T276" t="b">
        <f>IF(EXACT(A276, UPPER(A276)), TRUE, FALSE)</f>
        <v>0</v>
      </c>
    </row>
    <row r="277" spans="1:20" x14ac:dyDescent="0.35">
      <c r="A277" t="s">
        <v>276</v>
      </c>
      <c r="B277">
        <v>96.81</v>
      </c>
      <c r="C277" cm="1">
        <f t="array" ref="C277">INDEX(DataAll!$E$2:$E$555,MATCH(LOWER(Data!A277),LOWER(DataAll!$D$2:$D$555),0))</f>
        <v>56.11</v>
      </c>
      <c r="D277" cm="1">
        <f t="array" ref="D277">INDEX(DataAll!$H$2:$H$579,MATCH(LOWER(Data!A277),LOWER(DataAll!$G$2:$G$555),0))</f>
        <v>0.31</v>
      </c>
      <c r="E277" cm="1">
        <f t="array" ref="E277">INDEX(DataAll!$K$2:$K$579,MATCH(LOWER(Data!A277),LOWER(DataAll!$J$2:$J$555),0))</f>
        <v>3.33</v>
      </c>
      <c r="F277" cm="1">
        <f t="array" ref="F277">INDEX(DataAll!$N$2:$N$555,MATCH(LOWER(Data!A277),LOWER(DataAll!$M$2:$M$555),0))</f>
        <v>51.96</v>
      </c>
      <c r="G277" cm="1">
        <f t="array" ref="G277">INDEX(DataAll!$Q$2:$Q$555,MATCH(LOWER(Data!A277),LOWER(DataAll!$P$2:$P$555),0))</f>
        <v>5.96</v>
      </c>
      <c r="H277" cm="1">
        <f t="array" ref="H277">INDEX(DataAll!$T$2:$T$555,MATCH(LOWER(Data!A277),LOWER(DataAll!$S$2:$S$555),0))</f>
        <v>0.2</v>
      </c>
      <c r="I277" cm="1">
        <f t="array" ref="I277">INDEX(DataAll!$W$2:$W$555,MATCH(LOWER(Data!A277),LOWER(DataAll!$V$2:$V$555),0))</f>
        <v>32.56</v>
      </c>
      <c r="J277" cm="1">
        <f t="array" ref="J277">INDEX(DataAll!$Z$2:$Z$555,MATCH(LOWER(Data!A277),LOWER(DataAll!$Y$2:$Y$555),0))</f>
        <v>2.13</v>
      </c>
      <c r="K277" cm="1">
        <f t="array" ref="K277">INDEX(DataAll!$AM$2:$AM$555,MATCH(LOWER(Data!A277),LOWER(DataAll!$AL$2:$AL$555),0))</f>
        <v>6.6</v>
      </c>
      <c r="L277" cm="1">
        <f t="array" ref="L277">INDEX(DataAll!$AJ$2:$AJ$555,MATCH(LOWER(Data!A277),LOWER(DataAll!$AI$2:$AI$555),0))</f>
        <v>16.41</v>
      </c>
      <c r="M277" cm="1">
        <f t="array" ref="M277">INDEX(DataAll!$AP$2:$AP$555,MATCH(LOWER(Data!A277),LOWER(DataAll!$AO$2:$AO$555),0))</f>
        <v>70.349999999999994</v>
      </c>
      <c r="N277" cm="1">
        <f t="array" ref="N277">INDEX(DataAll!$AQ$2:$AQ$555,MATCH(LOWER(Data!A277),LOWER(DataAll!$AO$2:$AO$555),0))</f>
        <v>74.36</v>
      </c>
      <c r="O277" cm="1">
        <f t="array" ref="O277">INDEX(DataAll!$AT$2:$AT$555,MATCH(LOWER(Data!A277),LOWER(DataAll!$AS$2:$AS$555),0))</f>
        <v>10.19</v>
      </c>
      <c r="P277" cm="1">
        <f t="array" ref="P277">INDEX(DataAll!$AU$2:$AU$555,MATCH(LOWER(Data!A277),LOWER(DataAll!$AS$2:$AS$555),0))</f>
        <v>9.18</v>
      </c>
      <c r="Q277" cm="1">
        <f t="array" ref="Q277">INDEX(DataAll!$AX$2:$AX$556,MATCH(LOWER(Data!A277),LOWER(DataAll!$AW$2:$AW$556),0))</f>
        <v>46.86</v>
      </c>
      <c r="R277" cm="1">
        <f t="array" ref="R277">INDEX('Longitude and Latitude'!$B$2:$B$579,MATCH(LOWER(Data!A277),LOWER('Longitude and Latitude'!$A$2:$A$579),0))</f>
        <v>-7.6448720000000003</v>
      </c>
      <c r="S277" cm="1">
        <f t="array" ref="S277">INDEX('Longitude and Latitude'!$C$2:$C$579,MATCH(LOWER(Data!A277),LOWER('Longitude and Latitude'!$A$2:$A$579),0))</f>
        <v>112.90329699999999</v>
      </c>
      <c r="T277" t="b">
        <f>IF(EXACT(A277, UPPER(A277)), TRUE, FALSE)</f>
        <v>0</v>
      </c>
    </row>
    <row r="278" spans="1:20" x14ac:dyDescent="0.35">
      <c r="A278" t="s">
        <v>277</v>
      </c>
      <c r="B278">
        <v>93.89</v>
      </c>
      <c r="C278" cm="1">
        <f t="array" ref="C278">INDEX(DataAll!$E$2:$E$555,MATCH(LOWER(Data!A278),LOWER(DataAll!$D$2:$D$555),0))</f>
        <v>76.150000000000006</v>
      </c>
      <c r="D278" cm="1">
        <f t="array" ref="D278">INDEX(DataAll!$H$2:$H$579,MATCH(LOWER(Data!A278),LOWER(DataAll!$G$2:$G$555),0))</f>
        <v>0.11899999999999999</v>
      </c>
      <c r="E278" cm="1">
        <f t="array" ref="E278">INDEX(DataAll!$K$2:$K$579,MATCH(LOWER(Data!A278),LOWER(DataAll!$J$2:$J$555),0))</f>
        <v>20</v>
      </c>
      <c r="F278" cm="1">
        <f t="array" ref="F278">INDEX(DataAll!$N$2:$N$555,MATCH(LOWER(Data!A278),LOWER(DataAll!$M$2:$M$555),0))</f>
        <v>53.91</v>
      </c>
      <c r="G278" cm="1">
        <f t="array" ref="G278">INDEX(DataAll!$Q$2:$Q$555,MATCH(LOWER(Data!A278),LOWER(DataAll!$P$2:$P$555),0))</f>
        <v>5.18</v>
      </c>
      <c r="H278" cm="1">
        <f t="array" ref="H278">INDEX(DataAll!$T$2:$T$555,MATCH(LOWER(Data!A278),LOWER(DataAll!$S$2:$S$555),0))</f>
        <v>8.4000000000000005E-2</v>
      </c>
      <c r="I278" cm="1">
        <f t="array" ref="I278">INDEX(DataAll!$W$2:$W$555,MATCH(LOWER(Data!A278),LOWER(DataAll!$V$2:$V$555),0))</f>
        <v>38.22</v>
      </c>
      <c r="J278" cm="1">
        <f t="array" ref="J278">INDEX(DataAll!$Z$2:$Z$555,MATCH(LOWER(Data!A278),LOWER(DataAll!$Y$2:$Y$555),0))</f>
        <v>1.87</v>
      </c>
      <c r="K278" cm="1">
        <f t="array" ref="K278">INDEX(DataAll!$AM$2:$AM$555,MATCH(LOWER(Data!A278),LOWER(DataAll!$AL$2:$AL$555),0))</f>
        <v>5.77</v>
      </c>
      <c r="L278" cm="1">
        <f t="array" ref="L278">INDEX(DataAll!$AJ$2:$AJ$555,MATCH(LOWER(Data!A278),LOWER(DataAll!$AI$2:$AI$555),0))</f>
        <v>12.09</v>
      </c>
      <c r="M278" cm="1">
        <f t="array" ref="M278">INDEX(DataAll!$AP$2:$AP$555,MATCH(LOWER(Data!A278),LOWER(DataAll!$AO$2:$AO$555),0))</f>
        <v>72.319999999999993</v>
      </c>
      <c r="N278" cm="1">
        <f t="array" ref="N278">INDEX(DataAll!$AQ$2:$AQ$555,MATCH(LOWER(Data!A278),LOWER(DataAll!$AO$2:$AO$555),0))</f>
        <v>76.040000000000006</v>
      </c>
      <c r="O278" cm="1">
        <f t="array" ref="O278">INDEX(DataAll!$AT$2:$AT$555,MATCH(LOWER(Data!A278),LOWER(DataAll!$AS$2:$AS$555),0))</f>
        <v>11.44</v>
      </c>
      <c r="P278" cm="1">
        <f t="array" ref="P278">INDEX(DataAll!$AU$2:$AU$555,MATCH(LOWER(Data!A278),LOWER(DataAll!$AS$2:$AS$555),0))</f>
        <v>10.56</v>
      </c>
      <c r="Q278" cm="1">
        <f t="array" ref="Q278">INDEX(DataAll!$AX$2:$AX$556,MATCH(LOWER(Data!A278),LOWER(DataAll!$AW$2:$AW$556),0))</f>
        <v>65.78</v>
      </c>
      <c r="R278" cm="1">
        <f t="array" ref="R278">INDEX('Longitude and Latitude'!$B$2:$B$579,MATCH(LOWER(Data!A278),LOWER('Longitude and Latitude'!$A$2:$A$579),0))</f>
        <v>-7.4722222</v>
      </c>
      <c r="S278" cm="1">
        <f t="array" ref="S278">INDEX('Longitude and Latitude'!$C$2:$C$579,MATCH(LOWER(Data!A278),LOWER('Longitude and Latitude'!$A$2:$A$579),0))</f>
        <v>112.43361109999999</v>
      </c>
      <c r="T278" t="b">
        <f>IF(EXACT(A278, UPPER(A278)), TRUE, FALSE)</f>
        <v>0</v>
      </c>
    </row>
    <row r="279" spans="1:20" x14ac:dyDescent="0.35">
      <c r="A279" t="s">
        <v>278</v>
      </c>
      <c r="B279">
        <v>95.18</v>
      </c>
      <c r="C279" cm="1">
        <f t="array" ref="C279">INDEX(DataAll!$E$2:$E$555,MATCH(LOWER(Data!A279),LOWER(DataAll!$D$2:$D$555),0))</f>
        <v>78.94</v>
      </c>
      <c r="D279" cm="1">
        <f t="array" ref="D279">INDEX(DataAll!$H$2:$H$579,MATCH(LOWER(Data!A279),LOWER(DataAll!$G$2:$G$555),0))</f>
        <v>7.9000000000000001E-2</v>
      </c>
      <c r="E279" cm="1">
        <f t="array" ref="E279">INDEX(DataAll!$K$2:$K$579,MATCH(LOWER(Data!A279),LOWER(DataAll!$J$2:$J$555),0))</f>
        <v>24.14</v>
      </c>
      <c r="F279" cm="1">
        <f t="array" ref="F279">INDEX(DataAll!$N$2:$N$555,MATCH(LOWER(Data!A279),LOWER(DataAll!$M$2:$M$555),0))</f>
        <v>53.13</v>
      </c>
      <c r="G279" cm="1">
        <f t="array" ref="G279">INDEX(DataAll!$Q$2:$Q$555,MATCH(LOWER(Data!A279),LOWER(DataAll!$P$2:$P$555),0))</f>
        <v>5.84</v>
      </c>
      <c r="H279" cm="1">
        <f t="array" ref="H279">INDEX(DataAll!$T$2:$T$555,MATCH(LOWER(Data!A279),LOWER(DataAll!$S$2:$S$555),0))</f>
        <v>0.05</v>
      </c>
      <c r="I279" cm="1">
        <f t="array" ref="I279">INDEX(DataAll!$W$2:$W$555,MATCH(LOWER(Data!A279),LOWER(DataAll!$V$2:$V$555),0))</f>
        <v>39.299999999999997</v>
      </c>
      <c r="J279" cm="1">
        <f t="array" ref="J279">INDEX(DataAll!$Z$2:$Z$555,MATCH(LOWER(Data!A279),LOWER(DataAll!$Y$2:$Y$555),0))</f>
        <v>1.85</v>
      </c>
      <c r="K279" cm="1">
        <f t="array" ref="K279">INDEX(DataAll!$AM$2:$AM$555,MATCH(LOWER(Data!A279),LOWER(DataAll!$AL$2:$AL$555),0))</f>
        <v>4.74</v>
      </c>
      <c r="L279" cm="1">
        <f t="array" ref="L279">INDEX(DataAll!$AJ$2:$AJ$555,MATCH(LOWER(Data!A279),LOWER(DataAll!$AI$2:$AI$555),0))</f>
        <v>12.92</v>
      </c>
      <c r="M279" cm="1">
        <f t="array" ref="M279">INDEX(DataAll!$AP$2:$AP$555,MATCH(LOWER(Data!A279),LOWER(DataAll!$AO$2:$AO$555),0))</f>
        <v>71.290000000000006</v>
      </c>
      <c r="N279" cm="1">
        <f t="array" ref="N279">INDEX(DataAll!$AQ$2:$AQ$555,MATCH(LOWER(Data!A279),LOWER(DataAll!$AO$2:$AO$555),0))</f>
        <v>75.69</v>
      </c>
      <c r="O279" cm="1">
        <f t="array" ref="O279">INDEX(DataAll!$AT$2:$AT$555,MATCH(LOWER(Data!A279),LOWER(DataAll!$AS$2:$AS$555),0))</f>
        <v>12.09</v>
      </c>
      <c r="P279" cm="1">
        <f t="array" ref="P279">INDEX(DataAll!$AU$2:$AU$555,MATCH(LOWER(Data!A279),LOWER(DataAll!$AS$2:$AS$555),0))</f>
        <v>11.39</v>
      </c>
      <c r="Q279" cm="1">
        <f t="array" ref="Q279">INDEX(DataAll!$AX$2:$AX$556,MATCH(LOWER(Data!A279),LOWER(DataAll!$AW$2:$AW$556),0))</f>
        <v>69.69</v>
      </c>
      <c r="R279" cm="1">
        <f t="array" ref="R279">INDEX('Longitude and Latitude'!$B$2:$B$579,MATCH(LOWER(Data!A279),LOWER('Longitude and Latitude'!$A$2:$A$579),0))</f>
        <v>-7.6297139999999999</v>
      </c>
      <c r="S279" cm="1">
        <f t="array" ref="S279">INDEX('Longitude and Latitude'!$C$2:$C$579,MATCH(LOWER(Data!A279),LOWER('Longitude and Latitude'!$A$2:$A$579),0))</f>
        <v>111.51370199999999</v>
      </c>
      <c r="T279" t="b">
        <f>IF(EXACT(A279, UPPER(A279)), TRUE, FALSE)</f>
        <v>0</v>
      </c>
    </row>
    <row r="280" spans="1:20" x14ac:dyDescent="0.35">
      <c r="A280" t="s">
        <v>279</v>
      </c>
      <c r="B280">
        <v>94.36</v>
      </c>
      <c r="C280" cm="1">
        <f t="array" ref="C280">INDEX(DataAll!$E$2:$E$555,MATCH(LOWER(Data!A280),LOWER(DataAll!$D$2:$D$555),0))</f>
        <v>85.29</v>
      </c>
      <c r="D280" cm="1">
        <f t="array" ref="D280">INDEX(DataAll!$H$2:$H$579,MATCH(LOWER(Data!A280),LOWER(DataAll!$G$2:$G$555),0))</f>
        <v>0.128</v>
      </c>
      <c r="E280" cm="1">
        <f t="array" ref="E280">INDEX(DataAll!$K$2:$K$579,MATCH(LOWER(Data!A280),LOWER(DataAll!$J$2:$J$555),0))</f>
        <v>36</v>
      </c>
      <c r="F280" cm="1">
        <f t="array" ref="F280">INDEX(DataAll!$N$2:$N$555,MATCH(LOWER(Data!A280),LOWER(DataAll!$M$2:$M$555),0))</f>
        <v>52.53</v>
      </c>
      <c r="G280" cm="1">
        <f t="array" ref="G280">INDEX(DataAll!$Q$2:$Q$555,MATCH(LOWER(Data!A280),LOWER(DataAll!$P$2:$P$555),0))</f>
        <v>4.0599999999999996</v>
      </c>
      <c r="H280" cm="1">
        <f t="array" ref="H280">INDEX(DataAll!$T$2:$T$555,MATCH(LOWER(Data!A280),LOWER(DataAll!$S$2:$S$555),0))</f>
        <v>0.151</v>
      </c>
      <c r="I280" cm="1">
        <f t="array" ref="I280">INDEX(DataAll!$W$2:$W$555,MATCH(LOWER(Data!A280),LOWER(DataAll!$V$2:$V$555),0))</f>
        <v>36.049999999999997</v>
      </c>
      <c r="J280" cm="1">
        <f t="array" ref="J280">INDEX(DataAll!$Z$2:$Z$555,MATCH(LOWER(Data!A280),LOWER(DataAll!$Y$2:$Y$555),0))</f>
        <v>1.7</v>
      </c>
      <c r="K280" cm="1">
        <f t="array" ref="K280">INDEX(DataAll!$AM$2:$AM$555,MATCH(LOWER(Data!A280),LOWER(DataAll!$AL$2:$AL$555),0))</f>
        <v>4.6500000000000004</v>
      </c>
      <c r="L280" cm="1">
        <f t="array" ref="L280">INDEX(DataAll!$AJ$2:$AJ$555,MATCH(LOWER(Data!A280),LOWER(DataAll!$AI$2:$AI$555),0))</f>
        <v>11.93</v>
      </c>
      <c r="M280" cm="1">
        <f t="array" ref="M280">INDEX(DataAll!$AP$2:$AP$555,MATCH(LOWER(Data!A280),LOWER(DataAll!$AO$2:$AO$555),0))</f>
        <v>73.010000000000005</v>
      </c>
      <c r="N280" cm="1">
        <f t="array" ref="N280">INDEX(DataAll!$AQ$2:$AQ$555,MATCH(LOWER(Data!A280),LOWER(DataAll!$AO$2:$AO$555),0))</f>
        <v>76.67</v>
      </c>
      <c r="O280" cm="1">
        <f t="array" ref="O280">INDEX(DataAll!$AT$2:$AT$555,MATCH(LOWER(Data!A280),LOWER(DataAll!$AS$2:$AS$555),0))</f>
        <v>11.06</v>
      </c>
      <c r="P280" cm="1">
        <f t="array" ref="P280">INDEX(DataAll!$AU$2:$AU$555,MATCH(LOWER(Data!A280),LOWER(DataAll!$AS$2:$AS$555),0))</f>
        <v>10.35</v>
      </c>
      <c r="Q280" cm="1">
        <f t="array" ref="Q280">INDEX(DataAll!$AX$2:$AX$556,MATCH(LOWER(Data!A280),LOWER(DataAll!$AW$2:$AW$556),0))</f>
        <v>55.52</v>
      </c>
      <c r="R280" cm="1">
        <f t="array" ref="R280">INDEX('Longitude and Latitude'!$B$2:$B$579,MATCH(LOWER(Data!A280),LOWER('Longitude and Latitude'!$A$2:$A$579),0))</f>
        <v>-7.2891659999999998</v>
      </c>
      <c r="S280" cm="1">
        <f t="array" ref="S280">INDEX('Longitude and Latitude'!$C$2:$C$579,MATCH(LOWER(Data!A280),LOWER('Longitude and Latitude'!$A$2:$A$579),0))</f>
        <v>112.734398</v>
      </c>
      <c r="T280" t="b">
        <f>IF(EXACT(A280, UPPER(A280)), TRUE, FALSE)</f>
        <v>0</v>
      </c>
    </row>
    <row r="281" spans="1:20" x14ac:dyDescent="0.35">
      <c r="A281" t="s">
        <v>280</v>
      </c>
      <c r="B281">
        <v>90.54</v>
      </c>
      <c r="C281" cm="1">
        <f t="array" ref="C281">INDEX(DataAll!$E$2:$E$555,MATCH(LOWER(Data!A281),LOWER(DataAll!$D$2:$D$555),0))</f>
        <v>68.650000000000006</v>
      </c>
      <c r="D281" cm="1">
        <f t="array" ref="D281">INDEX(DataAll!$H$2:$H$579,MATCH(LOWER(Data!A281),LOWER(DataAll!$G$2:$G$555),0))</f>
        <v>0.378</v>
      </c>
      <c r="E281" cm="1">
        <f t="array" ref="E281">INDEX(DataAll!$K$2:$K$579,MATCH(LOWER(Data!A281),LOWER(DataAll!$J$2:$J$555),0))</f>
        <v>16.670000000000002</v>
      </c>
      <c r="F281" cm="1">
        <f t="array" ref="F281">INDEX(DataAll!$N$2:$N$555,MATCH(LOWER(Data!A281),LOWER(DataAll!$M$2:$M$555),0))</f>
        <v>52.75</v>
      </c>
      <c r="G281" cm="1">
        <f t="array" ref="G281">INDEX(DataAll!$Q$2:$Q$555,MATCH(LOWER(Data!A281),LOWER(DataAll!$P$2:$P$555),0))</f>
        <v>5.09</v>
      </c>
      <c r="H281" cm="1">
        <f t="array" ref="H281">INDEX(DataAll!$T$2:$T$555,MATCH(LOWER(Data!A281),LOWER(DataAll!$S$2:$S$555),0))</f>
        <v>0.24</v>
      </c>
      <c r="I281" cm="1">
        <f t="array" ref="I281">INDEX(DataAll!$W$2:$W$555,MATCH(LOWER(Data!A281),LOWER(DataAll!$V$2:$V$555),0))</f>
        <v>30.33</v>
      </c>
      <c r="J281" cm="1">
        <f t="array" ref="J281">INDEX(DataAll!$Z$2:$Z$555,MATCH(LOWER(Data!A281),LOWER(DataAll!$Y$2:$Y$555),0))</f>
        <v>1.95</v>
      </c>
      <c r="K281" cm="1">
        <f t="array" ref="K281">INDEX(DataAll!$AM$2:$AM$555,MATCH(LOWER(Data!A281),LOWER(DataAll!$AL$2:$AL$555),0))</f>
        <v>3.31</v>
      </c>
      <c r="L281" cm="1">
        <f t="array" ref="L281">INDEX(DataAll!$AJ$2:$AJ$555,MATCH(LOWER(Data!A281),LOWER(DataAll!$AI$2:$AI$555),0))</f>
        <v>14.06</v>
      </c>
      <c r="M281" cm="1">
        <f t="array" ref="M281">INDEX(DataAll!$AP$2:$AP$555,MATCH(LOWER(Data!A281),LOWER(DataAll!$AO$2:$AO$555),0))</f>
        <v>71.19</v>
      </c>
      <c r="N281" cm="1">
        <f t="array" ref="N281">INDEX(DataAll!$AQ$2:$AQ$555,MATCH(LOWER(Data!A281),LOWER(DataAll!$AO$2:$AO$555),0))</f>
        <v>75.489999999999995</v>
      </c>
      <c r="O281" cm="1">
        <f t="array" ref="O281">INDEX(DataAll!$AT$2:$AT$555,MATCH(LOWER(Data!A281),LOWER(DataAll!$AS$2:$AS$555),0))</f>
        <v>10.119999999999999</v>
      </c>
      <c r="P281" cm="1">
        <f t="array" ref="P281">INDEX(DataAll!$AU$2:$AU$555,MATCH(LOWER(Data!A281),LOWER(DataAll!$AS$2:$AS$555),0))</f>
        <v>9.6300000000000008</v>
      </c>
      <c r="Q281" cm="1">
        <f t="array" ref="Q281">INDEX(DataAll!$AX$2:$AX$556,MATCH(LOWER(Data!A281),LOWER(DataAll!$AW$2:$AW$556),0))</f>
        <v>47.9</v>
      </c>
      <c r="R281" cm="1">
        <f t="array" ref="R281">INDEX('Longitude and Latitude'!$B$2:$B$579,MATCH(LOWER(Data!A281),LOWER('Longitude and Latitude'!$A$2:$A$579),0))</f>
        <v>-7.8670999999999998</v>
      </c>
      <c r="S281" cm="1">
        <f t="array" ref="S281">INDEX('Longitude and Latitude'!$C$2:$C$579,MATCH(LOWER(Data!A281),LOWER('Longitude and Latitude'!$A$2:$A$579),0))</f>
        <v>112.5239</v>
      </c>
      <c r="T281" t="b">
        <f>IF(EXACT(A281, UPPER(A281)), TRUE, FALSE)</f>
        <v>0</v>
      </c>
    </row>
    <row r="282" spans="1:20" x14ac:dyDescent="0.35">
      <c r="A282" t="s">
        <v>281</v>
      </c>
      <c r="B282">
        <v>92.48</v>
      </c>
      <c r="C282" cm="1">
        <f t="array" ref="C282">INDEX(DataAll!$E$2:$E$555,MATCH(LOWER(Data!A282),LOWER(DataAll!$D$2:$D$555),0))</f>
        <v>69.87</v>
      </c>
      <c r="D282" cm="1">
        <f t="array" ref="D282">INDEX(DataAll!$H$2:$H$579,MATCH(LOWER(Data!A282),LOWER(DataAll!$G$2:$G$555),0))</f>
        <v>0.46400000000000002</v>
      </c>
      <c r="E282" cm="1">
        <f t="array" ref="E282">INDEX(DataAll!$K$2:$K$579,MATCH(LOWER(Data!A282),LOWER(DataAll!$J$2:$J$555),0))</f>
        <v>18.82</v>
      </c>
      <c r="F282" cm="1">
        <f t="array" ref="F282">INDEX(DataAll!$N$2:$N$555,MATCH(LOWER(Data!A282),LOWER(DataAll!$M$2:$M$555),0))</f>
        <v>43.21</v>
      </c>
      <c r="G282" t="e" cm="1">
        <f t="array" ref="G282">INDEX(DataAll!$Q$2:$Q$555,MATCH(LOWER(Data!A282),LOWER(DataAll!$P$2:$P$555),0))</f>
        <v>#N/A</v>
      </c>
      <c r="H282" cm="1">
        <f t="array" ref="H282">INDEX(DataAll!$T$2:$T$555,MATCH(LOWER(Data!A282),LOWER(DataAll!$S$2:$S$555),0))</f>
        <v>0.254</v>
      </c>
      <c r="I282" cm="1">
        <f t="array" ref="I282">INDEX(DataAll!$W$2:$W$555,MATCH(LOWER(Data!A282),LOWER(DataAll!$V$2:$V$555),0))</f>
        <v>32.14</v>
      </c>
      <c r="J282" cm="1">
        <f t="array" ref="J282">INDEX(DataAll!$Z$2:$Z$555,MATCH(LOWER(Data!A282),LOWER(DataAll!$Y$2:$Y$555),0))</f>
        <v>2.0099999999999998</v>
      </c>
      <c r="K282" cm="1">
        <f t="array" ref="K282">INDEX(DataAll!$AM$2:$AM$555,MATCH(LOWER(Data!A282),LOWER(DataAll!$AL$2:$AL$555),0))</f>
        <v>6.17</v>
      </c>
      <c r="L282" cm="1">
        <f t="array" ref="L282">INDEX(DataAll!$AJ$2:$AJ$555,MATCH(LOWER(Data!A282),LOWER(DataAll!$AI$2:$AI$555),0))</f>
        <v>16.149999999999999</v>
      </c>
      <c r="M282" cm="1">
        <f t="array" ref="M282">INDEX(DataAll!$AP$2:$AP$555,MATCH(LOWER(Data!A282),LOWER(DataAll!$AO$2:$AO$555),0))</f>
        <v>68.849999999999994</v>
      </c>
      <c r="N282" cm="1">
        <f t="array" ref="N282">INDEX(DataAll!$AQ$2:$AQ$555,MATCH(LOWER(Data!A282),LOWER(DataAll!$AO$2:$AO$555),0))</f>
        <v>72.790000000000006</v>
      </c>
      <c r="O282" cm="1">
        <f t="array" ref="O282">INDEX(DataAll!$AT$2:$AT$555,MATCH(LOWER(Data!A282),LOWER(DataAll!$AS$2:$AS$555),0))</f>
        <v>9.49</v>
      </c>
      <c r="P282" cm="1">
        <f t="array" ref="P282">INDEX(DataAll!$AU$2:$AU$555,MATCH(LOWER(Data!A282),LOWER(DataAll!$AS$2:$AS$555),0))</f>
        <v>8.85</v>
      </c>
      <c r="Q282" cm="1">
        <f t="array" ref="Q282">INDEX(DataAll!$AX$2:$AX$556,MATCH(LOWER(Data!A282),LOWER(DataAll!$AW$2:$AW$556),0))</f>
        <v>39.729999999999997</v>
      </c>
      <c r="R282" cm="1">
        <f t="array" ref="R282">INDEX('Longitude and Latitude'!$B$2:$B$579,MATCH(LOWER(Data!A282),LOWER('Longitude and Latitude'!$A$2:$A$579),0))</f>
        <v>-6.4058172000000004</v>
      </c>
      <c r="S282" cm="1">
        <f t="array" ref="S282">INDEX('Longitude and Latitude'!$C$2:$C$579,MATCH(LOWER(Data!A282),LOWER('Longitude and Latitude'!$A$2:$A$579),0))</f>
        <v>106.0640179</v>
      </c>
      <c r="T282" t="b">
        <f>IF(EXACT(A282, UPPER(A282)), TRUE, FALSE)</f>
        <v>1</v>
      </c>
    </row>
    <row r="283" spans="1:20" x14ac:dyDescent="0.35">
      <c r="A283" t="s">
        <v>282</v>
      </c>
      <c r="B283">
        <v>87.09</v>
      </c>
      <c r="C283" cm="1">
        <f t="array" ref="C283">INDEX(DataAll!$E$2:$E$555,MATCH(LOWER(Data!A283),LOWER(DataAll!$D$2:$D$555),0))</f>
        <v>65.22</v>
      </c>
      <c r="D283" cm="1">
        <f t="array" ref="D283">INDEX(DataAll!$H$2:$H$579,MATCH(LOWER(Data!A283),LOWER(DataAll!$G$2:$G$555),0))</f>
        <v>0.56100000000000005</v>
      </c>
      <c r="E283" cm="1">
        <f t="array" ref="E283">INDEX(DataAll!$K$2:$K$579,MATCH(LOWER(Data!A283),LOWER(DataAll!$J$2:$J$555),0))</f>
        <v>14.29</v>
      </c>
      <c r="F283" cm="1">
        <f t="array" ref="F283">INDEX(DataAll!$N$2:$N$555,MATCH(LOWER(Data!A283),LOWER(DataAll!$M$2:$M$555),0))</f>
        <v>45.96</v>
      </c>
      <c r="G283" cm="1">
        <f t="array" ref="G283">INDEX(DataAll!$Q$2:$Q$555,MATCH(LOWER(Data!A283),LOWER(DataAll!$P$2:$P$555),0))</f>
        <v>4.6900000000000004</v>
      </c>
      <c r="H283" cm="1">
        <f t="array" ref="H283">INDEX(DataAll!$T$2:$T$555,MATCH(LOWER(Data!A283),LOWER(DataAll!$S$2:$S$555),0))</f>
        <v>0.36499999999999999</v>
      </c>
      <c r="I283" cm="1">
        <f t="array" ref="I283">INDEX(DataAll!$W$2:$W$555,MATCH(LOWER(Data!A283),LOWER(DataAll!$V$2:$V$555),0))</f>
        <v>30.36</v>
      </c>
      <c r="J283" cm="1">
        <f t="array" ref="J283">INDEX(DataAll!$Z$2:$Z$555,MATCH(LOWER(Data!A283),LOWER(DataAll!$Y$2:$Y$555),0))</f>
        <v>2.2799999999999998</v>
      </c>
      <c r="K283" cm="1">
        <f t="array" ref="K283">INDEX(DataAll!$AM$2:$AM$555,MATCH(LOWER(Data!A283),LOWER(DataAll!$AL$2:$AL$555),0))</f>
        <v>9.27</v>
      </c>
      <c r="L283" cm="1">
        <f t="array" ref="L283">INDEX(DataAll!$AJ$2:$AJ$555,MATCH(LOWER(Data!A283),LOWER(DataAll!$AI$2:$AI$555),0))</f>
        <v>20.97</v>
      </c>
      <c r="M283" cm="1">
        <f t="array" ref="M283">INDEX(DataAll!$AP$2:$AP$555,MATCH(LOWER(Data!A283),LOWER(DataAll!$AO$2:$AO$555),0))</f>
        <v>63.7</v>
      </c>
      <c r="N283" cm="1">
        <f t="array" ref="N283">INDEX(DataAll!$AQ$2:$AQ$555,MATCH(LOWER(Data!A283),LOWER(DataAll!$AO$2:$AO$555),0))</f>
        <v>67.56</v>
      </c>
      <c r="O283" cm="1">
        <f t="array" ref="O283">INDEX(DataAll!$AT$2:$AT$555,MATCH(LOWER(Data!A283),LOWER(DataAll!$AS$2:$AS$555),0))</f>
        <v>7.64</v>
      </c>
      <c r="P283" cm="1">
        <f t="array" ref="P283">INDEX(DataAll!$AU$2:$AU$555,MATCH(LOWER(Data!A283),LOWER(DataAll!$AS$2:$AS$555),0))</f>
        <v>6.68</v>
      </c>
      <c r="Q283" cm="1">
        <f t="array" ref="Q283">INDEX(DataAll!$AX$2:$AX$556,MATCH(LOWER(Data!A283),LOWER(DataAll!$AW$2:$AW$556),0))</f>
        <v>17.010000000000002</v>
      </c>
      <c r="R283" cm="1">
        <f t="array" ref="R283">INDEX('Longitude and Latitude'!$B$2:$B$579,MATCH(LOWER(Data!A283),LOWER('Longitude and Latitude'!$A$2:$A$579),0))</f>
        <v>-6.3148350000000004</v>
      </c>
      <c r="S283" cm="1">
        <f t="array" ref="S283">INDEX('Longitude and Latitude'!$C$2:$C$579,MATCH(LOWER(Data!A283),LOWER('Longitude and Latitude'!$A$2:$A$579),0))</f>
        <v>106.103897</v>
      </c>
      <c r="T283" t="b">
        <f>IF(EXACT(A283, UPPER(A283)), TRUE, FALSE)</f>
        <v>0</v>
      </c>
    </row>
    <row r="284" spans="1:20" x14ac:dyDescent="0.35">
      <c r="A284" t="s">
        <v>283</v>
      </c>
      <c r="B284">
        <v>80.75</v>
      </c>
      <c r="C284" cm="1">
        <f t="array" ref="C284">INDEX(DataAll!$E$2:$E$555,MATCH(LOWER(Data!A284),LOWER(DataAll!$D$2:$D$555),0))</f>
        <v>60.08</v>
      </c>
      <c r="D284" cm="1">
        <f t="array" ref="D284">INDEX(DataAll!$H$2:$H$579,MATCH(LOWER(Data!A284),LOWER(DataAll!$G$2:$G$555),0))</f>
        <v>0.6</v>
      </c>
      <c r="E284" cm="1">
        <f t="array" ref="E284">INDEX(DataAll!$K$2:$K$579,MATCH(LOWER(Data!A284),LOWER(DataAll!$J$2:$J$555),0))</f>
        <v>8</v>
      </c>
      <c r="F284" cm="1">
        <f t="array" ref="F284">INDEX(DataAll!$N$2:$N$555,MATCH(LOWER(Data!A284),LOWER(DataAll!$M$2:$M$555),0))</f>
        <v>48.61</v>
      </c>
      <c r="G284" cm="1">
        <f t="array" ref="G284">INDEX(DataAll!$Q$2:$Q$555,MATCH(LOWER(Data!A284),LOWER(DataAll!$P$2:$P$555),0))</f>
        <v>4.82</v>
      </c>
      <c r="H284" cm="1">
        <f t="array" ref="H284">INDEX(DataAll!$T$2:$T$555,MATCH(LOWER(Data!A284),LOWER(DataAll!$S$2:$S$555),0))</f>
        <v>0.39700000000000002</v>
      </c>
      <c r="I284" cm="1">
        <f t="array" ref="I284">INDEX(DataAll!$W$2:$W$555,MATCH(LOWER(Data!A284),LOWER(DataAll!$V$2:$V$555),0))</f>
        <v>32.03</v>
      </c>
      <c r="J284" cm="1">
        <f t="array" ref="J284">INDEX(DataAll!$Z$2:$Z$555,MATCH(LOWER(Data!A284),LOWER(DataAll!$Y$2:$Y$555),0))</f>
        <v>2.21</v>
      </c>
      <c r="K284" cm="1">
        <f t="array" ref="K284">INDEX(DataAll!$AM$2:$AM$555,MATCH(LOWER(Data!A284),LOWER(DataAll!$AL$2:$AL$555),0))</f>
        <v>8.68</v>
      </c>
      <c r="L284" cm="1">
        <f t="array" ref="L284">INDEX(DataAll!$AJ$2:$AJ$555,MATCH(LOWER(Data!A284),LOWER(DataAll!$AI$2:$AI$555),0))</f>
        <v>21.92</v>
      </c>
      <c r="M284" cm="1">
        <f t="array" ref="M284">INDEX(DataAll!$AP$2:$AP$555,MATCH(LOWER(Data!A284),LOWER(DataAll!$AO$2:$AO$555),0))</f>
        <v>66.19</v>
      </c>
      <c r="N284" cm="1">
        <f t="array" ref="N284">INDEX(DataAll!$AQ$2:$AQ$555,MATCH(LOWER(Data!A284),LOWER(DataAll!$AO$2:$AO$555),0))</f>
        <v>70.17</v>
      </c>
      <c r="O284" cm="1">
        <f t="array" ref="O284">INDEX(DataAll!$AT$2:$AT$555,MATCH(LOWER(Data!A284),LOWER(DataAll!$AS$2:$AS$555),0))</f>
        <v>7.07</v>
      </c>
      <c r="P284" cm="1">
        <f t="array" ref="P284">INDEX(DataAll!$AU$2:$AU$555,MATCH(LOWER(Data!A284),LOWER(DataAll!$AS$2:$AS$555),0))</f>
        <v>6.26</v>
      </c>
      <c r="Q284" cm="1">
        <f t="array" ref="Q284">INDEX(DataAll!$AX$2:$AX$556,MATCH(LOWER(Data!A284),LOWER(DataAll!$AW$2:$AW$556),0))</f>
        <v>11.72</v>
      </c>
      <c r="R284" cm="1">
        <f t="array" ref="R284">INDEX('Longitude and Latitude'!$B$2:$B$579,MATCH(LOWER(Data!A284),LOWER('Longitude and Latitude'!$A$2:$A$579),0))</f>
        <v>-6.5643956000000001</v>
      </c>
      <c r="S284" cm="1">
        <f t="array" ref="S284">INDEX('Longitude and Latitude'!$C$2:$C$579,MATCH(LOWER(Data!A284),LOWER('Longitude and Latitude'!$A$2:$A$579),0))</f>
        <v>106.25221430000001</v>
      </c>
      <c r="T284" t="b">
        <f>IF(EXACT(A284, UPPER(A284)), TRUE, FALSE)</f>
        <v>0</v>
      </c>
    </row>
    <row r="285" spans="1:20" x14ac:dyDescent="0.35">
      <c r="A285" t="s">
        <v>284</v>
      </c>
      <c r="B285">
        <v>91.67</v>
      </c>
      <c r="C285" cm="1">
        <f t="array" ref="C285">INDEX(DataAll!$E$2:$E$555,MATCH(LOWER(Data!A285),LOWER(DataAll!$D$2:$D$555),0))</f>
        <v>63.84</v>
      </c>
      <c r="D285" cm="1">
        <f t="array" ref="D285">INDEX(DataAll!$H$2:$H$579,MATCH(LOWER(Data!A285),LOWER(DataAll!$G$2:$G$555),0))</f>
        <v>0.40200000000000002</v>
      </c>
      <c r="E285" cm="1">
        <f t="array" ref="E285">INDEX(DataAll!$K$2:$K$579,MATCH(LOWER(Data!A285),LOWER(DataAll!$J$2:$J$555),0))</f>
        <v>14</v>
      </c>
      <c r="F285" cm="1">
        <f t="array" ref="F285">INDEX(DataAll!$N$2:$N$555,MATCH(LOWER(Data!A285),LOWER(DataAll!$M$2:$M$555),0))</f>
        <v>44.12</v>
      </c>
      <c r="G285" cm="1">
        <f t="array" ref="G285">INDEX(DataAll!$Q$2:$Q$555,MATCH(LOWER(Data!A285),LOWER(DataAll!$P$2:$P$555),0))</f>
        <v>2.59</v>
      </c>
      <c r="H285" cm="1">
        <f t="array" ref="H285">INDEX(DataAll!$T$2:$T$555,MATCH(LOWER(Data!A285),LOWER(DataAll!$S$2:$S$555),0))</f>
        <v>0.251</v>
      </c>
      <c r="I285" cm="1">
        <f t="array" ref="I285">INDEX(DataAll!$W$2:$W$555,MATCH(LOWER(Data!A285),LOWER(DataAll!$V$2:$V$555),0))</f>
        <v>28.74</v>
      </c>
      <c r="J285" cm="1">
        <f t="array" ref="J285">INDEX(DataAll!$Z$2:$Z$555,MATCH(LOWER(Data!A285),LOWER(DataAll!$Y$2:$Y$555),0))</f>
        <v>1.91</v>
      </c>
      <c r="K285" cm="1">
        <f t="array" ref="K285">INDEX(DataAll!$AM$2:$AM$555,MATCH(LOWER(Data!A285),LOWER(DataAll!$AL$2:$AL$555),0))</f>
        <v>6.93</v>
      </c>
      <c r="L285" cm="1">
        <f t="array" ref="L285">INDEX(DataAll!$AJ$2:$AJ$555,MATCH(LOWER(Data!A285),LOWER(DataAll!$AI$2:$AI$555),0))</f>
        <v>14.06</v>
      </c>
      <c r="M285" cm="1">
        <f t="array" ref="M285">INDEX(DataAll!$AP$2:$AP$555,MATCH(LOWER(Data!A285),LOWER(DataAll!$AO$2:$AO$555),0))</f>
        <v>68.73</v>
      </c>
      <c r="N285" cm="1">
        <f t="array" ref="N285">INDEX(DataAll!$AQ$2:$AQ$555,MATCH(LOWER(Data!A285),LOWER(DataAll!$AO$2:$AO$555),0))</f>
        <v>72.67</v>
      </c>
      <c r="O285" cm="1">
        <f t="array" ref="O285">INDEX(DataAll!$AT$2:$AT$555,MATCH(LOWER(Data!A285),LOWER(DataAll!$AS$2:$AS$555),0))</f>
        <v>9.32</v>
      </c>
      <c r="P285" cm="1">
        <f t="array" ref="P285">INDEX(DataAll!$AU$2:$AU$555,MATCH(LOWER(Data!A285),LOWER(DataAll!$AS$2:$AS$555),0))</f>
        <v>8.56</v>
      </c>
      <c r="Q285" cm="1">
        <f t="array" ref="Q285">INDEX(DataAll!$AX$2:$AX$556,MATCH(LOWER(Data!A285),LOWER(DataAll!$AW$2:$AW$556),0))</f>
        <v>39.01</v>
      </c>
      <c r="R285" cm="1">
        <f t="array" ref="R285">INDEX('Longitude and Latitude'!$B$2:$B$579,MATCH(LOWER(Data!A285),LOWER('Longitude and Latitude'!$A$2:$A$579),0))</f>
        <v>-6.1783055999999998</v>
      </c>
      <c r="S285" cm="1">
        <f t="array" ref="S285">INDEX('Longitude and Latitude'!$C$2:$C$579,MATCH(LOWER(Data!A285),LOWER('Longitude and Latitude'!$A$2:$A$579),0))</f>
        <v>106.63188890000001</v>
      </c>
      <c r="T285" t="b">
        <f>IF(EXACT(A285, UPPER(A285)), TRUE, FALSE)</f>
        <v>0</v>
      </c>
    </row>
    <row r="286" spans="1:20" x14ac:dyDescent="0.35">
      <c r="A286" t="s">
        <v>285</v>
      </c>
      <c r="B286">
        <v>92.49</v>
      </c>
      <c r="C286" cm="1">
        <f t="array" ref="C286">INDEX(DataAll!$E$2:$E$555,MATCH(LOWER(Data!A286),LOWER(DataAll!$D$2:$D$555),0))</f>
        <v>61.91</v>
      </c>
      <c r="D286" cm="1">
        <f t="array" ref="D286">INDEX(DataAll!$H$2:$H$579,MATCH(LOWER(Data!A286),LOWER(DataAll!$G$2:$G$555),0))</f>
        <v>0.54400000000000004</v>
      </c>
      <c r="E286" cm="1">
        <f t="array" ref="E286">INDEX(DataAll!$K$2:$K$579,MATCH(LOWER(Data!A286),LOWER(DataAll!$J$2:$J$555),0))</f>
        <v>14</v>
      </c>
      <c r="F286" cm="1">
        <f t="array" ref="F286">INDEX(DataAll!$N$2:$N$555,MATCH(LOWER(Data!A286),LOWER(DataAll!$M$2:$M$555),0))</f>
        <v>41.71</v>
      </c>
      <c r="G286" cm="1">
        <f t="array" ref="G286">INDEX(DataAll!$Q$2:$Q$555,MATCH(LOWER(Data!A286),LOWER(DataAll!$P$2:$P$555),0))</f>
        <v>3.23</v>
      </c>
      <c r="H286" cm="1">
        <f t="array" ref="H286">INDEX(DataAll!$T$2:$T$555,MATCH(LOWER(Data!A286),LOWER(DataAll!$S$2:$S$555),0))</f>
        <v>0.27800000000000002</v>
      </c>
      <c r="I286" cm="1">
        <f t="array" ref="I286">INDEX(DataAll!$W$2:$W$555,MATCH(LOWER(Data!A286),LOWER(DataAll!$V$2:$V$555),0))</f>
        <v>27.65</v>
      </c>
      <c r="J286" cm="1">
        <f t="array" ref="J286">INDEX(DataAll!$Z$2:$Z$555,MATCH(LOWER(Data!A286),LOWER(DataAll!$Y$2:$Y$555),0))</f>
        <v>2.1800000000000002</v>
      </c>
      <c r="K286" cm="1">
        <f t="array" ref="K286">INDEX(DataAll!$AM$2:$AM$555,MATCH(LOWER(Data!A286),LOWER(DataAll!$AL$2:$AL$555),0))</f>
        <v>4.8499999999999996</v>
      </c>
      <c r="L286" cm="1">
        <f t="array" ref="L286">INDEX(DataAll!$AJ$2:$AJ$555,MATCH(LOWER(Data!A286),LOWER(DataAll!$AI$2:$AI$555),0))</f>
        <v>18.18</v>
      </c>
      <c r="M286" cm="1">
        <f t="array" ref="M286">INDEX(DataAll!$AP$2:$AP$555,MATCH(LOWER(Data!A286),LOWER(DataAll!$AO$2:$AO$555),0))</f>
        <v>63.72</v>
      </c>
      <c r="N286" cm="1">
        <f t="array" ref="N286">INDEX(DataAll!$AQ$2:$AQ$555,MATCH(LOWER(Data!A286),LOWER(DataAll!$AO$2:$AO$555),0))</f>
        <v>67.58</v>
      </c>
      <c r="O286" cm="1">
        <f t="array" ref="O286">INDEX(DataAll!$AT$2:$AT$555,MATCH(LOWER(Data!A286),LOWER(DataAll!$AS$2:$AS$555),0))</f>
        <v>8.25</v>
      </c>
      <c r="P286" cm="1">
        <f t="array" ref="P286">INDEX(DataAll!$AU$2:$AU$555,MATCH(LOWER(Data!A286),LOWER(DataAll!$AS$2:$AS$555),0))</f>
        <v>7.41</v>
      </c>
      <c r="Q286" cm="1">
        <f t="array" ref="Q286">INDEX(DataAll!$AX$2:$AX$556,MATCH(LOWER(Data!A286),LOWER(DataAll!$AW$2:$AW$556),0))</f>
        <v>24.13</v>
      </c>
      <c r="R286" cm="1">
        <f t="array" ref="R286">INDEX('Longitude and Latitude'!$B$2:$B$579,MATCH(LOWER(Data!A286),LOWER('Longitude and Latitude'!$A$2:$A$579),0))</f>
        <v>-6.1200900000000003</v>
      </c>
      <c r="S286" cm="1">
        <f t="array" ref="S286">INDEX('Longitude and Latitude'!$C$2:$C$579,MATCH(LOWER(Data!A286),LOWER('Longitude and Latitude'!$A$2:$A$579),0))</f>
        <v>106.150299</v>
      </c>
      <c r="T286" t="b">
        <f>IF(EXACT(A286, UPPER(A286)), TRUE, FALSE)</f>
        <v>0</v>
      </c>
    </row>
    <row r="287" spans="1:20" x14ac:dyDescent="0.35">
      <c r="A287" t="s">
        <v>286</v>
      </c>
      <c r="B287">
        <v>94.89</v>
      </c>
      <c r="C287" cm="1">
        <f t="array" ref="C287">INDEX(DataAll!$E$2:$E$555,MATCH(LOWER(Data!A287),LOWER(DataAll!$D$2:$D$555),0))</f>
        <v>63.02</v>
      </c>
      <c r="D287" cm="1">
        <f t="array" ref="D287">INDEX(DataAll!$H$2:$H$579,MATCH(LOWER(Data!A287),LOWER(DataAll!$G$2:$G$555),0))</f>
        <v>0.28399999999999997</v>
      </c>
      <c r="E287" cm="1">
        <f t="array" ref="E287">INDEX(DataAll!$K$2:$K$579,MATCH(LOWER(Data!A287),LOWER(DataAll!$J$2:$J$555),0))</f>
        <v>12</v>
      </c>
      <c r="F287" cm="1">
        <f t="array" ref="F287">INDEX(DataAll!$N$2:$N$555,MATCH(LOWER(Data!A287),LOWER(DataAll!$M$2:$M$555),0))</f>
        <v>40.4</v>
      </c>
      <c r="G287" cm="1">
        <f t="array" ref="G287">INDEX(DataAll!$Q$2:$Q$555,MATCH(LOWER(Data!A287),LOWER(DataAll!$P$2:$P$555),0))</f>
        <v>1.58</v>
      </c>
      <c r="H287" cm="1">
        <f t="array" ref="H287">INDEX(DataAll!$T$2:$T$555,MATCH(LOWER(Data!A287),LOWER(DataAll!$S$2:$S$555),0))</f>
        <v>0.17</v>
      </c>
      <c r="I287" cm="1">
        <f t="array" ref="I287">INDEX(DataAll!$W$2:$W$555,MATCH(LOWER(Data!A287),LOWER(DataAll!$V$2:$V$555),0))</f>
        <v>31.98</v>
      </c>
      <c r="J287" cm="1">
        <f t="array" ref="J287">INDEX(DataAll!$Z$2:$Z$555,MATCH(LOWER(Data!A287),LOWER(DataAll!$Y$2:$Y$555),0))</f>
        <v>1.84</v>
      </c>
      <c r="K287" cm="1">
        <f t="array" ref="K287">INDEX(DataAll!$AM$2:$AM$555,MATCH(LOWER(Data!A287),LOWER(DataAll!$AL$2:$AL$555),0))</f>
        <v>5.89</v>
      </c>
      <c r="L287" cm="1">
        <f t="array" ref="L287">INDEX(DataAll!$AJ$2:$AJ$555,MATCH(LOWER(Data!A287),LOWER(DataAll!$AI$2:$AI$555),0))</f>
        <v>13.05</v>
      </c>
      <c r="M287" cm="1">
        <f t="array" ref="M287">INDEX(DataAll!$AP$2:$AP$555,MATCH(LOWER(Data!A287),LOWER(DataAll!$AO$2:$AO$555),0))</f>
        <v>70.28</v>
      </c>
      <c r="N287" cm="1">
        <f t="array" ref="N287">INDEX(DataAll!$AQ$2:$AQ$555,MATCH(LOWER(Data!A287),LOWER(DataAll!$AO$2:$AO$555),0))</f>
        <v>74.290000000000006</v>
      </c>
      <c r="O287" cm="1">
        <f t="array" ref="O287">INDEX(DataAll!$AT$2:$AT$555,MATCH(LOWER(Data!A287),LOWER(DataAll!$AS$2:$AS$555),0))</f>
        <v>11.3</v>
      </c>
      <c r="P287" cm="1">
        <f t="array" ref="P287">INDEX(DataAll!$AU$2:$AU$555,MATCH(LOWER(Data!A287),LOWER(DataAll!$AS$2:$AS$555),0))</f>
        <v>10.53</v>
      </c>
      <c r="Q287" cm="1">
        <f t="array" ref="Q287">INDEX(DataAll!$AX$2:$AX$556,MATCH(LOWER(Data!A287),LOWER(DataAll!$AW$2:$AW$556),0))</f>
        <v>56.81</v>
      </c>
      <c r="R287" cm="1">
        <f t="array" ref="R287">INDEX('Longitude and Latitude'!$B$2:$B$579,MATCH(LOWER(Data!A287),LOWER('Longitude and Latitude'!$A$2:$A$579),0))</f>
        <v>-6.1783055999999998</v>
      </c>
      <c r="S287" cm="1">
        <f t="array" ref="S287">INDEX('Longitude and Latitude'!$C$2:$C$579,MATCH(LOWER(Data!A287),LOWER('Longitude and Latitude'!$A$2:$A$579),0))</f>
        <v>106.63188890000001</v>
      </c>
      <c r="T287" t="b">
        <f>IF(EXACT(A287, UPPER(A287)), TRUE, FALSE)</f>
        <v>0</v>
      </c>
    </row>
    <row r="288" spans="1:20" x14ac:dyDescent="0.35">
      <c r="A288" t="s">
        <v>287</v>
      </c>
      <c r="B288">
        <v>88.05</v>
      </c>
      <c r="C288" cm="1">
        <f t="array" ref="C288">INDEX(DataAll!$E$2:$E$555,MATCH(LOWER(Data!A288),LOWER(DataAll!$D$2:$D$555),0))</f>
        <v>52.16</v>
      </c>
      <c r="D288" cm="1">
        <f t="array" ref="D288">INDEX(DataAll!$H$2:$H$579,MATCH(LOWER(Data!A288),LOWER(DataAll!$G$2:$G$555),0))</f>
        <v>0.26</v>
      </c>
      <c r="E288" cm="1">
        <f t="array" ref="E288">INDEX(DataAll!$K$2:$K$579,MATCH(LOWER(Data!A288),LOWER(DataAll!$J$2:$J$555),0))</f>
        <v>10</v>
      </c>
      <c r="F288" cm="1">
        <f t="array" ref="F288">INDEX(DataAll!$N$2:$N$555,MATCH(LOWER(Data!A288),LOWER(DataAll!$M$2:$M$555),0))</f>
        <v>42.39</v>
      </c>
      <c r="G288" cm="1">
        <f t="array" ref="G288">INDEX(DataAll!$Q$2:$Q$555,MATCH(LOWER(Data!A288),LOWER(DataAll!$P$2:$P$555),0))</f>
        <v>2.19</v>
      </c>
      <c r="H288" cm="1">
        <f t="array" ref="H288">INDEX(DataAll!$T$2:$T$555,MATCH(LOWER(Data!A288),LOWER(DataAll!$S$2:$S$555),0))</f>
        <v>0.188</v>
      </c>
      <c r="I288" cm="1">
        <f t="array" ref="I288">INDEX(DataAll!$W$2:$W$555,MATCH(LOWER(Data!A288),LOWER(DataAll!$V$2:$V$555),0))</f>
        <v>20.73</v>
      </c>
      <c r="J288" cm="1">
        <f t="array" ref="J288">INDEX(DataAll!$Z$2:$Z$555,MATCH(LOWER(Data!A288),LOWER(DataAll!$Y$2:$Y$555),0))</f>
        <v>2.11</v>
      </c>
      <c r="K288" cm="1">
        <f t="array" ref="K288">INDEX(DataAll!$AM$2:$AM$555,MATCH(LOWER(Data!A288),LOWER(DataAll!$AL$2:$AL$555),0))</f>
        <v>3.98</v>
      </c>
      <c r="L288" cm="1">
        <f t="array" ref="L288">INDEX(DataAll!$AJ$2:$AJ$555,MATCH(LOWER(Data!A288),LOWER(DataAll!$AI$2:$AI$555),0))</f>
        <v>15.59</v>
      </c>
      <c r="M288" cm="1">
        <f t="array" ref="M288">INDEX(DataAll!$AP$2:$AP$555,MATCH(LOWER(Data!A288),LOWER(DataAll!$AO$2:$AO$555),0))</f>
        <v>65.459999999999994</v>
      </c>
      <c r="N288" cm="1">
        <f t="array" ref="N288">INDEX(DataAll!$AQ$2:$AQ$555,MATCH(LOWER(Data!A288),LOWER(DataAll!$AO$2:$AO$555),0))</f>
        <v>69.42</v>
      </c>
      <c r="O288" cm="1">
        <f t="array" ref="O288">INDEX(DataAll!$AT$2:$AT$555,MATCH(LOWER(Data!A288),LOWER(DataAll!$AS$2:$AS$555),0))</f>
        <v>10.68</v>
      </c>
      <c r="P288" cm="1">
        <f t="array" ref="P288">INDEX(DataAll!$AU$2:$AU$555,MATCH(LOWER(Data!A288),LOWER(DataAll!$AS$2:$AS$555),0))</f>
        <v>10.050000000000001</v>
      </c>
      <c r="Q288" cm="1">
        <f t="array" ref="Q288">INDEX(DataAll!$AX$2:$AX$556,MATCH(LOWER(Data!A288),LOWER(DataAll!$AW$2:$AW$556),0))</f>
        <v>52.02</v>
      </c>
      <c r="R288" cm="1">
        <f t="array" ref="R288">INDEX('Longitude and Latitude'!$B$2:$B$579,MATCH(LOWER(Data!A288),LOWER('Longitude and Latitude'!$A$2:$A$579),0))</f>
        <v>-6.0169825000000001</v>
      </c>
      <c r="S288" cm="1">
        <f t="array" ref="S288">INDEX('Longitude and Latitude'!$C$2:$C$579,MATCH(LOWER(Data!A288),LOWER('Longitude and Latitude'!$A$2:$A$579),0))</f>
        <v>106.04050599999999</v>
      </c>
      <c r="T288" t="b">
        <f>IF(EXACT(A288, UPPER(A288)), TRUE, FALSE)</f>
        <v>0</v>
      </c>
    </row>
    <row r="289" spans="1:20" x14ac:dyDescent="0.35">
      <c r="A289" t="s">
        <v>288</v>
      </c>
      <c r="B289">
        <v>92.49</v>
      </c>
      <c r="C289" cm="1">
        <f t="array" ref="C289">INDEX(DataAll!$E$2:$E$555,MATCH(LOWER(Data!A289),LOWER(DataAll!$D$2:$D$555),0))</f>
        <v>62.98</v>
      </c>
      <c r="D289" cm="1">
        <f t="array" ref="D289">INDEX(DataAll!$H$2:$H$579,MATCH(LOWER(Data!A289),LOWER(DataAll!$G$2:$G$555),0))</f>
        <v>0.53</v>
      </c>
      <c r="E289" cm="1">
        <f t="array" ref="E289">INDEX(DataAll!$K$2:$K$579,MATCH(LOWER(Data!A289),LOWER(DataAll!$J$2:$J$555),0))</f>
        <v>13.33</v>
      </c>
      <c r="F289" cm="1">
        <f t="array" ref="F289">INDEX(DataAll!$N$2:$N$555,MATCH(LOWER(Data!A289),LOWER(DataAll!$M$2:$M$555),0))</f>
        <v>47.76</v>
      </c>
      <c r="G289" cm="1">
        <f t="array" ref="G289">INDEX(DataAll!$Q$2:$Q$555,MATCH(LOWER(Data!A289),LOWER(DataAll!$P$2:$P$555),0))</f>
        <v>2.2999999999999998</v>
      </c>
      <c r="H289" cm="1">
        <f t="array" ref="H289">INDEX(DataAll!$T$2:$T$555,MATCH(LOWER(Data!A289),LOWER(DataAll!$S$2:$S$555),0))</f>
        <v>0.23899999999999999</v>
      </c>
      <c r="I289" cm="1">
        <f t="array" ref="I289">INDEX(DataAll!$W$2:$W$555,MATCH(LOWER(Data!A289),LOWER(DataAll!$V$2:$V$555),0))</f>
        <v>28.31</v>
      </c>
      <c r="J289" cm="1">
        <f t="array" ref="J289">INDEX(DataAll!$Z$2:$Z$555,MATCH(LOWER(Data!A289),LOWER(DataAll!$Y$2:$Y$555),0))</f>
        <v>2.1</v>
      </c>
      <c r="K289" cm="1">
        <f t="array" ref="K289">INDEX(DataAll!$AM$2:$AM$555,MATCH(LOWER(Data!A289),LOWER(DataAll!$AL$2:$AL$555),0))</f>
        <v>6.2</v>
      </c>
      <c r="L289" cm="1">
        <f t="array" ref="L289">INDEX(DataAll!$AJ$2:$AJ$555,MATCH(LOWER(Data!A289),LOWER(DataAll!$AI$2:$AI$555),0))</f>
        <v>14.59</v>
      </c>
      <c r="M289" cm="1">
        <f t="array" ref="M289">INDEX(DataAll!$AP$2:$AP$555,MATCH(LOWER(Data!A289),LOWER(DataAll!$AO$2:$AO$555),0))</f>
        <v>67.05</v>
      </c>
      <c r="N289" cm="1">
        <f t="array" ref="N289">INDEX(DataAll!$AQ$2:$AQ$555,MATCH(LOWER(Data!A289),LOWER(DataAll!$AO$2:$AO$555),0))</f>
        <v>71.02</v>
      </c>
      <c r="O289" cm="1">
        <f t="array" ref="O289">INDEX(DataAll!$AT$2:$AT$555,MATCH(LOWER(Data!A289),LOWER(DataAll!$AS$2:$AS$555),0))</f>
        <v>9.58</v>
      </c>
      <c r="P289" cm="1">
        <f t="array" ref="P289">INDEX(DataAll!$AU$2:$AU$555,MATCH(LOWER(Data!A289),LOWER(DataAll!$AS$2:$AS$555),0))</f>
        <v>8.5</v>
      </c>
      <c r="Q289" cm="1">
        <f t="array" ref="Q289">INDEX(DataAll!$AX$2:$AX$556,MATCH(LOWER(Data!A289),LOWER(DataAll!$AW$2:$AW$556),0))</f>
        <v>32.24</v>
      </c>
      <c r="R289" cm="1">
        <f t="array" ref="R289">INDEX('Longitude and Latitude'!$B$2:$B$579,MATCH(LOWER(Data!A289),LOWER('Longitude and Latitude'!$A$2:$A$579),0))</f>
        <v>-6.1200900000000003</v>
      </c>
      <c r="S289" cm="1">
        <f t="array" ref="S289">INDEX('Longitude and Latitude'!$C$2:$C$579,MATCH(LOWER(Data!A289),LOWER('Longitude and Latitude'!$A$2:$A$579),0))</f>
        <v>106.150299</v>
      </c>
      <c r="T289" t="b">
        <f>IF(EXACT(A289, UPPER(A289)), TRUE, FALSE)</f>
        <v>0</v>
      </c>
    </row>
    <row r="290" spans="1:20" x14ac:dyDescent="0.35">
      <c r="A290" t="s">
        <v>289</v>
      </c>
      <c r="B290">
        <v>94.23</v>
      </c>
      <c r="C290" cm="1">
        <f t="array" ref="C290">INDEX(DataAll!$E$2:$E$555,MATCH(LOWER(Data!A290),LOWER(DataAll!$D$2:$D$555),0))</f>
        <v>72.36</v>
      </c>
      <c r="D290" cm="1">
        <f t="array" ref="D290">INDEX(DataAll!$H$2:$H$579,MATCH(LOWER(Data!A290),LOWER(DataAll!$G$2:$G$555),0))</f>
        <v>0.2</v>
      </c>
      <c r="E290" cm="1">
        <f t="array" ref="E290">INDEX(DataAll!$K$2:$K$579,MATCH(LOWER(Data!A290),LOWER(DataAll!$J$2:$J$555),0))</f>
        <v>30</v>
      </c>
      <c r="F290" cm="1">
        <f t="array" ref="F290">INDEX(DataAll!$N$2:$N$555,MATCH(LOWER(Data!A290),LOWER(DataAll!$M$2:$M$555),0))</f>
        <v>43.1</v>
      </c>
      <c r="G290" cm="1">
        <f t="array" ref="G290">INDEX(DataAll!$Q$2:$Q$555,MATCH(LOWER(Data!A290),LOWER(DataAll!$P$2:$P$555),0))</f>
        <v>1.92</v>
      </c>
      <c r="H290" cm="1">
        <f t="array" ref="H290">INDEX(DataAll!$T$2:$T$555,MATCH(LOWER(Data!A290),LOWER(DataAll!$S$2:$S$555),0))</f>
        <v>0.17899999999999999</v>
      </c>
      <c r="I290" cm="1">
        <f t="array" ref="I290">INDEX(DataAll!$W$2:$W$555,MATCH(LOWER(Data!A290),LOWER(DataAll!$V$2:$V$555),0))</f>
        <v>26.35</v>
      </c>
      <c r="J290" cm="1">
        <f t="array" ref="J290">INDEX(DataAll!$Z$2:$Z$555,MATCH(LOWER(Data!A290),LOWER(DataAll!$Y$2:$Y$555),0))</f>
        <v>1.71</v>
      </c>
      <c r="K290" cm="1">
        <f t="array" ref="K290">INDEX(DataAll!$AM$2:$AM$555,MATCH(LOWER(Data!A290),LOWER(DataAll!$AL$2:$AL$555),0))</f>
        <v>2.57</v>
      </c>
      <c r="L290" cm="1">
        <f t="array" ref="L290">INDEX(DataAll!$AJ$2:$AJ$555,MATCH(LOWER(Data!A290),LOWER(DataAll!$AI$2:$AI$555),0))</f>
        <v>12.1</v>
      </c>
      <c r="M290" cm="1">
        <f t="array" ref="M290">INDEX(DataAll!$AP$2:$AP$555,MATCH(LOWER(Data!A290),LOWER(DataAll!$AO$2:$AO$555),0))</f>
        <v>71.069999999999993</v>
      </c>
      <c r="N290" cm="1">
        <f t="array" ref="N290">INDEX(DataAll!$AQ$2:$AQ$555,MATCH(LOWER(Data!A290),LOWER(DataAll!$AO$2:$AO$555),0))</f>
        <v>75.239999999999995</v>
      </c>
      <c r="O290" cm="1">
        <f t="array" ref="O290">INDEX(DataAll!$AT$2:$AT$555,MATCH(LOWER(Data!A290),LOWER(DataAll!$AS$2:$AS$555),0))</f>
        <v>12.12</v>
      </c>
      <c r="P290" cm="1">
        <f t="array" ref="P290">INDEX(DataAll!$AU$2:$AU$555,MATCH(LOWER(Data!A290),LOWER(DataAll!$AS$2:$AS$555),0))</f>
        <v>11.28</v>
      </c>
      <c r="Q290" cm="1">
        <f t="array" ref="Q290">INDEX(DataAll!$AX$2:$AX$556,MATCH(LOWER(Data!A290),LOWER(DataAll!$AW$2:$AW$556),0))</f>
        <v>62.91</v>
      </c>
      <c r="R290" cm="1">
        <f t="array" ref="R290">INDEX('Longitude and Latitude'!$B$2:$B$579,MATCH(LOWER(Data!A290),LOWER('Longitude and Latitude'!$A$2:$A$579),0))</f>
        <v>-6.2888888999999999</v>
      </c>
      <c r="S290" cm="1">
        <f t="array" ref="S290">INDEX('Longitude and Latitude'!$C$2:$C$579,MATCH(LOWER(Data!A290),LOWER('Longitude and Latitude'!$A$2:$A$579),0))</f>
        <v>106.7180556</v>
      </c>
      <c r="T290" t="b">
        <f>IF(EXACT(A290, UPPER(A290)), TRUE, FALSE)</f>
        <v>0</v>
      </c>
    </row>
    <row r="291" spans="1:20" x14ac:dyDescent="0.35">
      <c r="A291" t="s">
        <v>290</v>
      </c>
      <c r="B291">
        <v>94.59</v>
      </c>
      <c r="C291" cm="1">
        <f t="array" ref="C291">INDEX(DataAll!$E$2:$E$555,MATCH(LOWER(Data!A291),LOWER(DataAll!$D$2:$D$555),0))</f>
        <v>73.77</v>
      </c>
      <c r="D291" cm="1">
        <f t="array" ref="D291">INDEX(DataAll!$H$2:$H$579,MATCH(LOWER(Data!A291),LOWER(DataAll!$G$2:$G$555),0))</f>
        <v>0.23899999999999999</v>
      </c>
      <c r="E291" cm="1">
        <f t="array" ref="E291">INDEX(DataAll!$K$2:$K$579,MATCH(LOWER(Data!A291),LOWER(DataAll!$J$2:$J$555),0))</f>
        <v>18.18</v>
      </c>
      <c r="F291" cm="1">
        <f t="array" ref="F291">INDEX(DataAll!$N$2:$N$555,MATCH(LOWER(Data!A291),LOWER(DataAll!$M$2:$M$555),0))</f>
        <v>50.36</v>
      </c>
      <c r="G291" t="e" cm="1">
        <f t="array" ref="G291">INDEX(DataAll!$Q$2:$Q$555,MATCH(LOWER(Data!A291),LOWER(DataAll!$P$2:$P$555),0))</f>
        <v>#N/A</v>
      </c>
      <c r="H291" cm="1">
        <f t="array" ref="H291">INDEX(DataAll!$T$2:$T$555,MATCH(LOWER(Data!A291),LOWER(DataAll!$S$2:$S$555),0))</f>
        <v>0.21299999999999999</v>
      </c>
      <c r="I291" cm="1">
        <f t="array" ref="I291">INDEX(DataAll!$W$2:$W$555,MATCH(LOWER(Data!A291),LOWER(DataAll!$V$2:$V$555),0))</f>
        <v>38.4</v>
      </c>
      <c r="J291" cm="1">
        <f t="array" ref="J291">INDEX(DataAll!$Z$2:$Z$555,MATCH(LOWER(Data!A291),LOWER(DataAll!$Y$2:$Y$555),0))</f>
        <v>2.04</v>
      </c>
      <c r="K291" cm="1">
        <f t="array" ref="K291">INDEX(DataAll!$AM$2:$AM$555,MATCH(LOWER(Data!A291),LOWER(DataAll!$AL$2:$AL$555),0))</f>
        <v>4.25</v>
      </c>
      <c r="L291" cm="1">
        <f t="array" ref="L291">INDEX(DataAll!$AJ$2:$AJ$555,MATCH(LOWER(Data!A291),LOWER(DataAll!$AI$2:$AI$555),0))</f>
        <v>15.37</v>
      </c>
      <c r="M291" cm="1">
        <f t="array" ref="M291">INDEX(DataAll!$AP$2:$AP$555,MATCH(LOWER(Data!A291),LOWER(DataAll!$AO$2:$AO$555),0))</f>
        <v>70.989999999999995</v>
      </c>
      <c r="N291" cm="1">
        <f t="array" ref="N291">INDEX(DataAll!$AQ$2:$AQ$555,MATCH(LOWER(Data!A291),LOWER(DataAll!$AO$2:$AO$555),0))</f>
        <v>75.069999999999993</v>
      </c>
      <c r="O291" cm="1">
        <f t="array" ref="O291">INDEX(DataAll!$AT$2:$AT$555,MATCH(LOWER(Data!A291),LOWER(DataAll!$AS$2:$AS$555),0))</f>
        <v>10.039999999999999</v>
      </c>
      <c r="P291" cm="1">
        <f t="array" ref="P291">INDEX(DataAll!$AU$2:$AU$555,MATCH(LOWER(Data!A291),LOWER(DataAll!$AS$2:$AS$555),0))</f>
        <v>8.8000000000000007</v>
      </c>
      <c r="Q291" cm="1">
        <f t="array" ref="Q291">INDEX(DataAll!$AX$2:$AX$556,MATCH(LOWER(Data!A291),LOWER(DataAll!$AW$2:$AW$556),0))</f>
        <v>43.01</v>
      </c>
      <c r="R291" cm="1">
        <f t="array" ref="R291">INDEX('Longitude and Latitude'!$B$2:$B$579,MATCH(LOWER(Data!A291),LOWER('Longitude and Latitude'!$A$2:$A$579),0))</f>
        <v>-8.4095177999999997</v>
      </c>
      <c r="S291" cm="1">
        <f t="array" ref="S291">INDEX('Longitude and Latitude'!$C$2:$C$579,MATCH(LOWER(Data!A291),LOWER('Longitude and Latitude'!$A$2:$A$579),0))</f>
        <v>115.18891600000001</v>
      </c>
      <c r="T291" t="b">
        <f>IF(EXACT(A291, UPPER(A291)), TRUE, FALSE)</f>
        <v>1</v>
      </c>
    </row>
    <row r="292" spans="1:20" x14ac:dyDescent="0.35">
      <c r="A292" t="s">
        <v>291</v>
      </c>
      <c r="B292">
        <v>94.52</v>
      </c>
      <c r="C292" cm="1">
        <f t="array" ref="C292">INDEX(DataAll!$E$2:$E$555,MATCH(LOWER(Data!A292),LOWER(DataAll!$D$2:$D$555),0))</f>
        <v>72.44</v>
      </c>
      <c r="D292" cm="1">
        <f t="array" ref="D292">INDEX(DataAll!$H$2:$H$579,MATCH(LOWER(Data!A292),LOWER(DataAll!$G$2:$G$555),0))</f>
        <v>0.21099999999999999</v>
      </c>
      <c r="E292" cm="1">
        <f t="array" ref="E292">INDEX(DataAll!$K$2:$K$579,MATCH(LOWER(Data!A292),LOWER(DataAll!$J$2:$J$555),0))</f>
        <v>17.14</v>
      </c>
      <c r="F292" cm="1">
        <f t="array" ref="F292">INDEX(DataAll!$N$2:$N$555,MATCH(LOWER(Data!A292),LOWER(DataAll!$M$2:$M$555),0))</f>
        <v>55.08</v>
      </c>
      <c r="G292" cm="1">
        <f t="array" ref="G292">INDEX(DataAll!$Q$2:$Q$555,MATCH(LOWER(Data!A292),LOWER(DataAll!$P$2:$P$555),0))</f>
        <v>7.6</v>
      </c>
      <c r="H292" cm="1">
        <f t="array" ref="H292">INDEX(DataAll!$T$2:$T$555,MATCH(LOWER(Data!A292),LOWER(DataAll!$S$2:$S$555),0))</f>
        <v>0.26600000000000001</v>
      </c>
      <c r="I292" cm="1">
        <f t="array" ref="I292">INDEX(DataAll!$W$2:$W$555,MATCH(LOWER(Data!A292),LOWER(DataAll!$V$2:$V$555),0))</f>
        <v>39.159999999999997</v>
      </c>
      <c r="J292" cm="1">
        <f t="array" ref="J292">INDEX(DataAll!$Z$2:$Z$555,MATCH(LOWER(Data!A292),LOWER(DataAll!$Y$2:$Y$555),0))</f>
        <v>2.15</v>
      </c>
      <c r="K292" cm="1">
        <f t="array" ref="K292">INDEX(DataAll!$AM$2:$AM$555,MATCH(LOWER(Data!A292),LOWER(DataAll!$AL$2:$AL$555),0))</f>
        <v>4.96</v>
      </c>
      <c r="L292" cm="1">
        <f t="array" ref="L292">INDEX(DataAll!$AJ$2:$AJ$555,MATCH(LOWER(Data!A292),LOWER(DataAll!$AI$2:$AI$555),0))</f>
        <v>15.95</v>
      </c>
      <c r="M292" cm="1">
        <f t="array" ref="M292">INDEX(DataAll!$AP$2:$AP$555,MATCH(LOWER(Data!A292),LOWER(DataAll!$AO$2:$AO$555),0))</f>
        <v>71.14</v>
      </c>
      <c r="N292" cm="1">
        <f t="array" ref="N292">INDEX(DataAll!$AQ$2:$AQ$555,MATCH(LOWER(Data!A292),LOWER(DataAll!$AO$2:$AO$555),0))</f>
        <v>75.37</v>
      </c>
      <c r="O292" cm="1">
        <f t="array" ref="O292">INDEX(DataAll!$AT$2:$AT$555,MATCH(LOWER(Data!A292),LOWER(DataAll!$AS$2:$AS$555),0))</f>
        <v>9.4</v>
      </c>
      <c r="P292" cm="1">
        <f t="array" ref="P292">INDEX(DataAll!$AU$2:$AU$555,MATCH(LOWER(Data!A292),LOWER(DataAll!$AS$2:$AS$555),0))</f>
        <v>7.91</v>
      </c>
      <c r="Q292" cm="1">
        <f t="array" ref="Q292">INDEX(DataAll!$AX$2:$AX$556,MATCH(LOWER(Data!A292),LOWER(DataAll!$AW$2:$AW$556),0))</f>
        <v>33.229999999999997</v>
      </c>
      <c r="R292" cm="1">
        <f t="array" ref="R292">INDEX('Longitude and Latitude'!$B$2:$B$579,MATCH(LOWER(Data!A292),LOWER('Longitude and Latitude'!$A$2:$A$579),0))</f>
        <v>-8.3618520000000007</v>
      </c>
      <c r="S292" cm="1">
        <f t="array" ref="S292">INDEX('Longitude and Latitude'!$C$2:$C$579,MATCH(LOWER(Data!A292),LOWER('Longitude and Latitude'!$A$2:$A$579),0))</f>
        <v>114.6418</v>
      </c>
      <c r="T292" t="b">
        <f>IF(EXACT(A292, UPPER(A292)), TRUE, FALSE)</f>
        <v>0</v>
      </c>
    </row>
    <row r="293" spans="1:20" x14ac:dyDescent="0.35">
      <c r="A293" t="s">
        <v>292</v>
      </c>
      <c r="B293">
        <v>95.72</v>
      </c>
      <c r="C293" cm="1">
        <f t="array" ref="C293">INDEX(DataAll!$E$2:$E$555,MATCH(LOWER(Data!A293),LOWER(DataAll!$D$2:$D$555),0))</f>
        <v>78.069999999999993</v>
      </c>
      <c r="D293" cm="1">
        <f t="array" ref="D293">INDEX(DataAll!$H$2:$H$579,MATCH(LOWER(Data!A293),LOWER(DataAll!$G$2:$G$555),0))</f>
        <v>0.17</v>
      </c>
      <c r="E293" cm="1">
        <f t="array" ref="E293">INDEX(DataAll!$K$2:$K$579,MATCH(LOWER(Data!A293),LOWER(DataAll!$J$2:$J$555),0))</f>
        <v>25</v>
      </c>
      <c r="F293" cm="1">
        <f t="array" ref="F293">INDEX(DataAll!$N$2:$N$555,MATCH(LOWER(Data!A293),LOWER(DataAll!$M$2:$M$555),0))</f>
        <v>45.14</v>
      </c>
      <c r="G293" cm="1">
        <f t="array" ref="G293">INDEX(DataAll!$Q$2:$Q$555,MATCH(LOWER(Data!A293),LOWER(DataAll!$P$2:$P$555),0))</f>
        <v>3.15</v>
      </c>
      <c r="H293" cm="1">
        <f t="array" ref="H293">INDEX(DataAll!$T$2:$T$555,MATCH(LOWER(Data!A293),LOWER(DataAll!$S$2:$S$555),0))</f>
        <v>0.20899999999999999</v>
      </c>
      <c r="I293" cm="1">
        <f t="array" ref="I293">INDEX(DataAll!$W$2:$W$555,MATCH(LOWER(Data!A293),LOWER(DataAll!$V$2:$V$555),0))</f>
        <v>38.51</v>
      </c>
      <c r="J293" cm="1">
        <f t="array" ref="J293">INDEX(DataAll!$Z$2:$Z$555,MATCH(LOWER(Data!A293),LOWER(DataAll!$Y$2:$Y$555),0))</f>
        <v>1.81</v>
      </c>
      <c r="K293" cm="1">
        <f t="array" ref="K293">INDEX(DataAll!$AM$2:$AM$555,MATCH(LOWER(Data!A293),LOWER(DataAll!$AL$2:$AL$555),0))</f>
        <v>4.7</v>
      </c>
      <c r="L293" cm="1">
        <f t="array" ref="L293">INDEX(DataAll!$AJ$2:$AJ$555,MATCH(LOWER(Data!A293),LOWER(DataAll!$AI$2:$AI$555),0))</f>
        <v>13.02</v>
      </c>
      <c r="M293" cm="1">
        <f t="array" ref="M293">INDEX(DataAll!$AP$2:$AP$555,MATCH(LOWER(Data!A293),LOWER(DataAll!$AO$2:$AO$555),0))</f>
        <v>72.709999999999994</v>
      </c>
      <c r="N293" cm="1">
        <f t="array" ref="N293">INDEX(DataAll!$AQ$2:$AQ$555,MATCH(LOWER(Data!A293),LOWER(DataAll!$AO$2:$AO$555),0))</f>
        <v>76.38</v>
      </c>
      <c r="O293" cm="1">
        <f t="array" ref="O293">INDEX(DataAll!$AT$2:$AT$555,MATCH(LOWER(Data!A293),LOWER(DataAll!$AS$2:$AS$555),0))</f>
        <v>10.01</v>
      </c>
      <c r="P293" cm="1">
        <f t="array" ref="P293">INDEX(DataAll!$AU$2:$AU$555,MATCH(LOWER(Data!A293),LOWER(DataAll!$AS$2:$AS$555),0))</f>
        <v>8.7799999999999994</v>
      </c>
      <c r="Q293" cm="1">
        <f t="array" ref="Q293">INDEX(DataAll!$AX$2:$AX$556,MATCH(LOWER(Data!A293),LOWER(DataAll!$AW$2:$AW$556),0))</f>
        <v>39.89</v>
      </c>
      <c r="R293" cm="1">
        <f t="array" ref="R293">INDEX('Longitude and Latitude'!$B$2:$B$579,MATCH(LOWER(Data!A293),LOWER('Longitude and Latitude'!$A$2:$A$579),0))</f>
        <v>-8.5445159999999998</v>
      </c>
      <c r="S293" cm="1">
        <f t="array" ref="S293">INDEX('Longitude and Latitude'!$C$2:$C$579,MATCH(LOWER(Data!A293),LOWER('Longitude and Latitude'!$A$2:$A$579),0))</f>
        <v>115.11979700000001</v>
      </c>
      <c r="T293" t="b">
        <f>IF(EXACT(A293, UPPER(A293)), TRUE, FALSE)</f>
        <v>0</v>
      </c>
    </row>
    <row r="294" spans="1:20" x14ac:dyDescent="0.35">
      <c r="A294" t="s">
        <v>293</v>
      </c>
      <c r="B294">
        <v>95.94</v>
      </c>
      <c r="C294" cm="1">
        <f t="array" ref="C294">INDEX(DataAll!$E$2:$E$555,MATCH(LOWER(Data!A294),LOWER(DataAll!$D$2:$D$555),0))</f>
        <v>76.08</v>
      </c>
      <c r="D294" cm="1">
        <f t="array" ref="D294">INDEX(DataAll!$H$2:$H$579,MATCH(LOWER(Data!A294),LOWER(DataAll!$G$2:$G$555),0))</f>
        <v>0.126</v>
      </c>
      <c r="E294" cm="1">
        <f t="array" ref="E294">INDEX(DataAll!$K$2:$K$579,MATCH(LOWER(Data!A294),LOWER(DataAll!$J$2:$J$555),0))</f>
        <v>22.5</v>
      </c>
      <c r="F294" cm="1">
        <f t="array" ref="F294">INDEX(DataAll!$N$2:$N$555,MATCH(LOWER(Data!A294),LOWER(DataAll!$M$2:$M$555),0))</f>
        <v>54.8</v>
      </c>
      <c r="G294" cm="1">
        <f t="array" ref="G294">INDEX(DataAll!$Q$2:$Q$555,MATCH(LOWER(Data!A294),LOWER(DataAll!$P$2:$P$555),0))</f>
        <v>1.23</v>
      </c>
      <c r="H294" cm="1">
        <f t="array" ref="H294">INDEX(DataAll!$T$2:$T$555,MATCH(LOWER(Data!A294),LOWER(DataAll!$S$2:$S$555),0))</f>
        <v>0.10199999999999999</v>
      </c>
      <c r="I294" cm="1">
        <f t="array" ref="I294">INDEX(DataAll!$W$2:$W$555,MATCH(LOWER(Data!A294),LOWER(DataAll!$V$2:$V$555),0))</f>
        <v>35.72</v>
      </c>
      <c r="J294" cm="1">
        <f t="array" ref="J294">INDEX(DataAll!$Z$2:$Z$555,MATCH(LOWER(Data!A294),LOWER(DataAll!$Y$2:$Y$555),0))</f>
        <v>1.89</v>
      </c>
      <c r="K294" cm="1">
        <f t="array" ref="K294">INDEX(DataAll!$AM$2:$AM$555,MATCH(LOWER(Data!A294),LOWER(DataAll!$AL$2:$AL$555),0))</f>
        <v>2.2999999999999998</v>
      </c>
      <c r="L294" cm="1">
        <f t="array" ref="L294">INDEX(DataAll!$AJ$2:$AJ$555,MATCH(LOWER(Data!A294),LOWER(DataAll!$AI$2:$AI$555),0))</f>
        <v>12.87</v>
      </c>
      <c r="M294" cm="1">
        <f t="array" ref="M294">INDEX(DataAll!$AP$2:$AP$555,MATCH(LOWER(Data!A294),LOWER(DataAll!$AO$2:$AO$555),0))</f>
        <v>74.02</v>
      </c>
      <c r="N294" cm="1">
        <f t="array" ref="N294">INDEX(DataAll!$AQ$2:$AQ$555,MATCH(LOWER(Data!A294),LOWER(DataAll!$AO$2:$AO$555),0))</f>
        <v>77.78</v>
      </c>
      <c r="O294" cm="1">
        <f t="array" ref="O294">INDEX(DataAll!$AT$2:$AT$555,MATCH(LOWER(Data!A294),LOWER(DataAll!$AS$2:$AS$555),0))</f>
        <v>11.32</v>
      </c>
      <c r="P294" cm="1">
        <f t="array" ref="P294">INDEX(DataAll!$AU$2:$AU$555,MATCH(LOWER(Data!A294),LOWER(DataAll!$AS$2:$AS$555),0))</f>
        <v>10.52</v>
      </c>
      <c r="Q294" cm="1">
        <f t="array" ref="Q294">INDEX(DataAll!$AX$2:$AX$556,MATCH(LOWER(Data!A294),LOWER(DataAll!$AW$2:$AW$556),0))</f>
        <v>57.78</v>
      </c>
      <c r="R294" cm="1">
        <f t="array" ref="R294">INDEX('Longitude and Latitude'!$B$2:$B$579,MATCH(LOWER(Data!A294),LOWER('Longitude and Latitude'!$A$2:$A$579),0))</f>
        <v>-8.5819296000000005</v>
      </c>
      <c r="S294" cm="1">
        <f t="array" ref="S294">INDEX('Longitude and Latitude'!$C$2:$C$579,MATCH(LOWER(Data!A294),LOWER('Longitude and Latitude'!$A$2:$A$579),0))</f>
        <v>115.1770586</v>
      </c>
      <c r="T294" t="b">
        <f>IF(EXACT(A294, UPPER(A294)), TRUE, FALSE)</f>
        <v>0</v>
      </c>
    </row>
    <row r="295" spans="1:20" x14ac:dyDescent="0.35">
      <c r="A295" t="s">
        <v>294</v>
      </c>
      <c r="B295">
        <v>95.09</v>
      </c>
      <c r="C295" cm="1">
        <f t="array" ref="C295">INDEX(DataAll!$E$2:$E$555,MATCH(LOWER(Data!A295),LOWER(DataAll!$D$2:$D$555),0))</f>
        <v>68.819999999999993</v>
      </c>
      <c r="D295" cm="1">
        <f t="array" ref="D295">INDEX(DataAll!$H$2:$H$579,MATCH(LOWER(Data!A295),LOWER(DataAll!$G$2:$G$555),0))</f>
        <v>0.193</v>
      </c>
      <c r="E295" cm="1">
        <f t="array" ref="E295">INDEX(DataAll!$K$2:$K$579,MATCH(LOWER(Data!A295),LOWER(DataAll!$J$2:$J$555),0))</f>
        <v>12.5</v>
      </c>
      <c r="F295" cm="1">
        <f t="array" ref="F295">INDEX(DataAll!$N$2:$N$555,MATCH(LOWER(Data!A295),LOWER(DataAll!$M$2:$M$555),0))</f>
        <v>55.15</v>
      </c>
      <c r="G295" cm="1">
        <f t="array" ref="G295">INDEX(DataAll!$Q$2:$Q$555,MATCH(LOWER(Data!A295),LOWER(DataAll!$P$2:$P$555),0))</f>
        <v>1.66</v>
      </c>
      <c r="H295" cm="1">
        <f t="array" ref="H295">INDEX(DataAll!$T$2:$T$555,MATCH(LOWER(Data!A295),LOWER(DataAll!$S$2:$S$555),0))</f>
        <v>0.16800000000000001</v>
      </c>
      <c r="I295" cm="1">
        <f t="array" ref="I295">INDEX(DataAll!$W$2:$W$555,MATCH(LOWER(Data!A295),LOWER(DataAll!$V$2:$V$555),0))</f>
        <v>38.24</v>
      </c>
      <c r="J295" cm="1">
        <f t="array" ref="J295">INDEX(DataAll!$Z$2:$Z$555,MATCH(LOWER(Data!A295),LOWER(DataAll!$Y$2:$Y$555),0))</f>
        <v>1.91</v>
      </c>
      <c r="K295" cm="1">
        <f t="array" ref="K295">INDEX(DataAll!$AM$2:$AM$555,MATCH(LOWER(Data!A295),LOWER(DataAll!$AL$2:$AL$555),0))</f>
        <v>4.47</v>
      </c>
      <c r="L295" cm="1">
        <f t="array" ref="L295">INDEX(DataAll!$AJ$2:$AJ$555,MATCH(LOWER(Data!A295),LOWER(DataAll!$AI$2:$AI$555),0))</f>
        <v>13.14</v>
      </c>
      <c r="M295" cm="1">
        <f t="array" ref="M295">INDEX(DataAll!$AP$2:$AP$555,MATCH(LOWER(Data!A295),LOWER(DataAll!$AO$2:$AO$555),0))</f>
        <v>72.75</v>
      </c>
      <c r="N295" cm="1">
        <f t="array" ref="N295">INDEX(DataAll!$AQ$2:$AQ$555,MATCH(LOWER(Data!A295),LOWER(DataAll!$AO$2:$AO$555),0))</f>
        <v>76.42</v>
      </c>
      <c r="O295" cm="1">
        <f t="array" ref="O295">INDEX(DataAll!$AT$2:$AT$555,MATCH(LOWER(Data!A295),LOWER(DataAll!$AS$2:$AS$555),0))</f>
        <v>10.38</v>
      </c>
      <c r="P295" cm="1">
        <f t="array" ref="P295">INDEX(DataAll!$AU$2:$AU$555,MATCH(LOWER(Data!A295),LOWER(DataAll!$AS$2:$AS$555),0))</f>
        <v>9.19</v>
      </c>
      <c r="Q295" cm="1">
        <f t="array" ref="Q295">INDEX(DataAll!$AX$2:$AX$556,MATCH(LOWER(Data!A295),LOWER(DataAll!$AW$2:$AW$556),0))</f>
        <v>49.9</v>
      </c>
      <c r="R295" cm="1">
        <f t="array" ref="R295">INDEX('Longitude and Latitude'!$B$2:$B$579,MATCH(LOWER(Data!A295),LOWER('Longitude and Latitude'!$A$2:$A$579),0))</f>
        <v>-8.5441850000000006</v>
      </c>
      <c r="S295" cm="1">
        <f t="array" ref="S295">INDEX('Longitude and Latitude'!$C$2:$C$579,MATCH(LOWER(Data!A295),LOWER('Longitude and Latitude'!$A$2:$A$579),0))</f>
        <v>115.32550000000001</v>
      </c>
      <c r="T295" t="b">
        <f>IF(EXACT(A295, UPPER(A295)), TRUE, FALSE)</f>
        <v>0</v>
      </c>
    </row>
    <row r="296" spans="1:20" x14ac:dyDescent="0.35">
      <c r="A296" t="s">
        <v>295</v>
      </c>
      <c r="B296">
        <v>91.79</v>
      </c>
      <c r="C296" cm="1">
        <f t="array" ref="C296">INDEX(DataAll!$E$2:$E$555,MATCH(LOWER(Data!A296),LOWER(DataAll!$D$2:$D$555),0))</f>
        <v>76.069999999999993</v>
      </c>
      <c r="D296" cm="1">
        <f t="array" ref="D296">INDEX(DataAll!$H$2:$H$579,MATCH(LOWER(Data!A296),LOWER(DataAll!$G$2:$G$555),0))</f>
        <v>0.186</v>
      </c>
      <c r="E296" cm="1">
        <f t="array" ref="E296">INDEX(DataAll!$K$2:$K$579,MATCH(LOWER(Data!A296),LOWER(DataAll!$J$2:$J$555),0))</f>
        <v>16.670000000000002</v>
      </c>
      <c r="F296" cm="1">
        <f t="array" ref="F296">INDEX(DataAll!$N$2:$N$555,MATCH(LOWER(Data!A296),LOWER(DataAll!$M$2:$M$555),0))</f>
        <v>48.59</v>
      </c>
      <c r="G296" cm="1">
        <f t="array" ref="G296">INDEX(DataAll!$Q$2:$Q$555,MATCH(LOWER(Data!A296),LOWER(DataAll!$P$2:$P$555),0))</f>
        <v>4.9400000000000004</v>
      </c>
      <c r="H296" cm="1">
        <f t="array" ref="H296">INDEX(DataAll!$T$2:$T$555,MATCH(LOWER(Data!A296),LOWER(DataAll!$S$2:$S$555),0))</f>
        <v>0.186</v>
      </c>
      <c r="I296" cm="1">
        <f t="array" ref="I296">INDEX(DataAll!$W$2:$W$555,MATCH(LOWER(Data!A296),LOWER(DataAll!$V$2:$V$555),0))</f>
        <v>48.7</v>
      </c>
      <c r="J296" cm="1">
        <f t="array" ref="J296">INDEX(DataAll!$Z$2:$Z$555,MATCH(LOWER(Data!A296),LOWER(DataAll!$Y$2:$Y$555),0))</f>
        <v>2.16</v>
      </c>
      <c r="K296" cm="1">
        <f t="array" ref="K296">INDEX(DataAll!$AM$2:$AM$555,MATCH(LOWER(Data!A296),LOWER(DataAll!$AL$2:$AL$555),0))</f>
        <v>5.61</v>
      </c>
      <c r="L296" cm="1">
        <f t="array" ref="L296">INDEX(DataAll!$AJ$2:$AJ$555,MATCH(LOWER(Data!A296),LOWER(DataAll!$AI$2:$AI$555),0))</f>
        <v>16.84</v>
      </c>
      <c r="M296" cm="1">
        <f t="array" ref="M296">INDEX(DataAll!$AP$2:$AP$555,MATCH(LOWER(Data!A296),LOWER(DataAll!$AO$2:$AO$555),0))</f>
        <v>70.319999999999993</v>
      </c>
      <c r="N296" cm="1">
        <f t="array" ref="N296">INDEX(DataAll!$AQ$2:$AQ$555,MATCH(LOWER(Data!A296),LOWER(DataAll!$AO$2:$AO$555),0))</f>
        <v>74.33</v>
      </c>
      <c r="O296" cm="1">
        <f t="array" ref="O296">INDEX(DataAll!$AT$2:$AT$555,MATCH(LOWER(Data!A296),LOWER(DataAll!$AS$2:$AS$555),0))</f>
        <v>9.51</v>
      </c>
      <c r="P296" cm="1">
        <f t="array" ref="P296">INDEX(DataAll!$AU$2:$AU$555,MATCH(LOWER(Data!A296),LOWER(DataAll!$AS$2:$AS$555),0))</f>
        <v>7.63</v>
      </c>
      <c r="Q296" cm="1">
        <f t="array" ref="Q296">INDEX(DataAll!$AX$2:$AX$556,MATCH(LOWER(Data!A296),LOWER(DataAll!$AW$2:$AW$556),0))</f>
        <v>36.4</v>
      </c>
      <c r="R296" cm="1">
        <f t="array" ref="R296">INDEX('Longitude and Latitude'!$B$2:$B$579,MATCH(LOWER(Data!A296),LOWER('Longitude and Latitude'!$A$2:$A$579),0))</f>
        <v>-8.5389222</v>
      </c>
      <c r="S296" cm="1">
        <f t="array" ref="S296">INDEX('Longitude and Latitude'!$C$2:$C$579,MATCH(LOWER(Data!A296),LOWER('Longitude and Latitude'!$A$2:$A$579),0))</f>
        <v>115.40451109999999</v>
      </c>
      <c r="T296" t="b">
        <f>IF(EXACT(A296, UPPER(A296)), TRUE, FALSE)</f>
        <v>0</v>
      </c>
    </row>
    <row r="297" spans="1:20" x14ac:dyDescent="0.35">
      <c r="A297" t="s">
        <v>296</v>
      </c>
      <c r="B297">
        <v>92.23</v>
      </c>
      <c r="C297" cm="1">
        <f t="array" ref="C297">INDEX(DataAll!$E$2:$E$555,MATCH(LOWER(Data!A297),LOWER(DataAll!$D$2:$D$555),0))</f>
        <v>65.569999999999993</v>
      </c>
      <c r="D297" cm="1">
        <f t="array" ref="D297">INDEX(DataAll!$H$2:$H$579,MATCH(LOWER(Data!A297),LOWER(DataAll!$G$2:$G$555),0))</f>
        <v>0.249</v>
      </c>
      <c r="E297" cm="1">
        <f t="array" ref="E297">INDEX(DataAll!$K$2:$K$579,MATCH(LOWER(Data!A297),LOWER(DataAll!$J$2:$J$555),0))</f>
        <v>10</v>
      </c>
      <c r="F297" cm="1">
        <f t="array" ref="F297">INDEX(DataAll!$N$2:$N$555,MATCH(LOWER(Data!A297),LOWER(DataAll!$M$2:$M$555),0))</f>
        <v>46.37</v>
      </c>
      <c r="G297" cm="1">
        <f t="array" ref="G297">INDEX(DataAll!$Q$2:$Q$555,MATCH(LOWER(Data!A297),LOWER(DataAll!$P$2:$P$555),0))</f>
        <v>3.71</v>
      </c>
      <c r="H297" cm="1">
        <f t="array" ref="H297">INDEX(DataAll!$T$2:$T$555,MATCH(LOWER(Data!A297),LOWER(DataAll!$S$2:$S$555),0))</f>
        <v>0.312</v>
      </c>
      <c r="I297" cm="1">
        <f t="array" ref="I297">INDEX(DataAll!$W$2:$W$555,MATCH(LOWER(Data!A297),LOWER(DataAll!$V$2:$V$555),0))</f>
        <v>37</v>
      </c>
      <c r="J297" cm="1">
        <f t="array" ref="J297">INDEX(DataAll!$Z$2:$Z$555,MATCH(LOWER(Data!A297),LOWER(DataAll!$Y$2:$Y$555),0))</f>
        <v>2.15</v>
      </c>
      <c r="K297" cm="1">
        <f t="array" ref="K297">INDEX(DataAll!$AM$2:$AM$555,MATCH(LOWER(Data!A297),LOWER(DataAll!$AL$2:$AL$555),0))</f>
        <v>5.28</v>
      </c>
      <c r="L297" cm="1">
        <f t="array" ref="L297">INDEX(DataAll!$AJ$2:$AJ$555,MATCH(LOWER(Data!A297),LOWER(DataAll!$AI$2:$AI$555),0))</f>
        <v>20.260000000000002</v>
      </c>
      <c r="M297" cm="1">
        <f t="array" ref="M297">INDEX(DataAll!$AP$2:$AP$555,MATCH(LOWER(Data!A297),LOWER(DataAll!$AO$2:$AO$555),0))</f>
        <v>69.400000000000006</v>
      </c>
      <c r="N297" cm="1">
        <f t="array" ref="N297">INDEX(DataAll!$AQ$2:$AQ$555,MATCH(LOWER(Data!A297),LOWER(DataAll!$AO$2:$AO$555),0))</f>
        <v>73.37</v>
      </c>
      <c r="O297" cm="1">
        <f t="array" ref="O297">INDEX(DataAll!$AT$2:$AT$555,MATCH(LOWER(Data!A297),LOWER(DataAll!$AS$2:$AS$555),0))</f>
        <v>8.23</v>
      </c>
      <c r="P297" cm="1">
        <f t="array" ref="P297">INDEX(DataAll!$AU$2:$AU$555,MATCH(LOWER(Data!A297),LOWER(DataAll!$AS$2:$AS$555),0))</f>
        <v>7.15</v>
      </c>
      <c r="Q297" cm="1">
        <f t="array" ref="Q297">INDEX(DataAll!$AX$2:$AX$556,MATCH(LOWER(Data!A297),LOWER(DataAll!$AW$2:$AW$556),0))</f>
        <v>26.85</v>
      </c>
      <c r="R297" cm="1">
        <f t="array" ref="R297">INDEX('Longitude and Latitude'!$B$2:$B$579,MATCH(LOWER(Data!A297),LOWER('Longitude and Latitude'!$A$2:$A$579),0))</f>
        <v>-8.4543029999999995</v>
      </c>
      <c r="S297" cm="1">
        <f t="array" ref="S297">INDEX('Longitude and Latitude'!$C$2:$C$579,MATCH(LOWER(Data!A297),LOWER('Longitude and Latitude'!$A$2:$A$579),0))</f>
        <v>115.35489699999999</v>
      </c>
      <c r="T297" t="b">
        <f>IF(EXACT(A297, UPPER(A297)), TRUE, FALSE)</f>
        <v>0</v>
      </c>
    </row>
    <row r="298" spans="1:20" x14ac:dyDescent="0.35">
      <c r="A298" t="s">
        <v>297</v>
      </c>
      <c r="B298">
        <v>90.17</v>
      </c>
      <c r="C298" cm="1">
        <f t="array" ref="C298">INDEX(DataAll!$E$2:$E$555,MATCH(LOWER(Data!A298),LOWER(DataAll!$D$2:$D$555),0))</f>
        <v>65.790000000000006</v>
      </c>
      <c r="D298" cm="1">
        <f t="array" ref="D298">INDEX(DataAll!$H$2:$H$579,MATCH(LOWER(Data!A298),LOWER(DataAll!$G$2:$G$555),0))</f>
        <v>0.28399999999999997</v>
      </c>
      <c r="E298" cm="1">
        <f t="array" ref="E298">INDEX(DataAll!$K$2:$K$579,MATCH(LOWER(Data!A298),LOWER(DataAll!$J$2:$J$555),0))</f>
        <v>6.67</v>
      </c>
      <c r="F298" cm="1">
        <f t="array" ref="F298">INDEX(DataAll!$N$2:$N$555,MATCH(LOWER(Data!A298),LOWER(DataAll!$M$2:$M$555),0))</f>
        <v>47.19</v>
      </c>
      <c r="G298" cm="1">
        <f t="array" ref="G298">INDEX(DataAll!$Q$2:$Q$555,MATCH(LOWER(Data!A298),LOWER(DataAll!$P$2:$P$555),0))</f>
        <v>8.43</v>
      </c>
      <c r="H298" cm="1">
        <f t="array" ref="H298">INDEX(DataAll!$T$2:$T$555,MATCH(LOWER(Data!A298),LOWER(DataAll!$S$2:$S$555),0))</f>
        <v>0.3</v>
      </c>
      <c r="I298" cm="1">
        <f t="array" ref="I298">INDEX(DataAll!$W$2:$W$555,MATCH(LOWER(Data!A298),LOWER(DataAll!$V$2:$V$555),0))</f>
        <v>44.79</v>
      </c>
      <c r="J298" cm="1">
        <f t="array" ref="J298">INDEX(DataAll!$Z$2:$Z$555,MATCH(LOWER(Data!A298),LOWER(DataAll!$Y$2:$Y$555),0))</f>
        <v>2.31</v>
      </c>
      <c r="K298" cm="1">
        <f t="array" ref="K298">INDEX(DataAll!$AM$2:$AM$555,MATCH(LOWER(Data!A298),LOWER(DataAll!$AL$2:$AL$555),0))</f>
        <v>6.56</v>
      </c>
      <c r="L298" cm="1">
        <f t="array" ref="L298">INDEX(DataAll!$AJ$2:$AJ$555,MATCH(LOWER(Data!A298),LOWER(DataAll!$AI$2:$AI$555),0))</f>
        <v>20.100000000000001</v>
      </c>
      <c r="M298" cm="1">
        <f t="array" ref="M298">INDEX(DataAll!$AP$2:$AP$555,MATCH(LOWER(Data!A298),LOWER(DataAll!$AO$2:$AO$555),0))</f>
        <v>69.31</v>
      </c>
      <c r="N298" cm="1">
        <f t="array" ref="N298">INDEX(DataAll!$AQ$2:$AQ$555,MATCH(LOWER(Data!A298),LOWER(DataAll!$AO$2:$AO$555),0))</f>
        <v>73.28</v>
      </c>
      <c r="O298" cm="1">
        <f t="array" ref="O298">INDEX(DataAll!$AT$2:$AT$555,MATCH(LOWER(Data!A298),LOWER(DataAll!$AS$2:$AS$555),0))</f>
        <v>7.45</v>
      </c>
      <c r="P298" cm="1">
        <f t="array" ref="P298">INDEX(DataAll!$AU$2:$AU$555,MATCH(LOWER(Data!A298),LOWER(DataAll!$AS$2:$AS$555),0))</f>
        <v>5.66</v>
      </c>
      <c r="Q298" cm="1">
        <f t="array" ref="Q298">INDEX(DataAll!$AX$2:$AX$556,MATCH(LOWER(Data!A298),LOWER(DataAll!$AW$2:$AW$556),0))</f>
        <v>19.14</v>
      </c>
      <c r="R298" cm="1">
        <f t="array" ref="R298">INDEX('Longitude and Latitude'!$B$2:$B$579,MATCH(LOWER(Data!A298),LOWER('Longitude and Latitude'!$A$2:$A$579),0))</f>
        <v>-8.3699999999999992</v>
      </c>
      <c r="S298" cm="1">
        <f t="array" ref="S298">INDEX('Longitude and Latitude'!$C$2:$C$579,MATCH(LOWER(Data!A298),LOWER('Longitude and Latitude'!$A$2:$A$579),0))</f>
        <v>115.52</v>
      </c>
      <c r="T298" t="b">
        <f>IF(EXACT(A298, UPPER(A298)), TRUE, FALSE)</f>
        <v>0</v>
      </c>
    </row>
    <row r="299" spans="1:20" x14ac:dyDescent="0.35">
      <c r="A299" t="s">
        <v>298</v>
      </c>
      <c r="B299">
        <v>91.99</v>
      </c>
      <c r="C299" cm="1">
        <f t="array" ref="C299">INDEX(DataAll!$E$2:$E$555,MATCH(LOWER(Data!A299),LOWER(DataAll!$D$2:$D$555),0))</f>
        <v>72.569999999999993</v>
      </c>
      <c r="D299" cm="1">
        <f t="array" ref="D299">INDEX(DataAll!$H$2:$H$579,MATCH(LOWER(Data!A299),LOWER(DataAll!$G$2:$G$555),0))</f>
        <v>0.38900000000000001</v>
      </c>
      <c r="E299" cm="1">
        <f t="array" ref="E299">INDEX(DataAll!$K$2:$K$579,MATCH(LOWER(Data!A299),LOWER(DataAll!$J$2:$J$555),0))</f>
        <v>17.78</v>
      </c>
      <c r="F299" cm="1">
        <f t="array" ref="F299">INDEX(DataAll!$N$2:$N$555,MATCH(LOWER(Data!A299),LOWER(DataAll!$M$2:$M$555),0))</f>
        <v>42.27</v>
      </c>
      <c r="G299" cm="1">
        <f t="array" ref="G299">INDEX(DataAll!$Q$2:$Q$555,MATCH(LOWER(Data!A299),LOWER(DataAll!$P$2:$P$555),0))</f>
        <v>7.64</v>
      </c>
      <c r="H299" cm="1">
        <f t="array" ref="H299">INDEX(DataAll!$T$2:$T$555,MATCH(LOWER(Data!A299),LOWER(DataAll!$S$2:$S$555),0))</f>
        <v>0.372</v>
      </c>
      <c r="I299" cm="1">
        <f t="array" ref="I299">INDEX(DataAll!$W$2:$W$555,MATCH(LOWER(Data!A299),LOWER(DataAll!$V$2:$V$555),0))</f>
        <v>39.04</v>
      </c>
      <c r="J299" cm="1">
        <f t="array" ref="J299">INDEX(DataAll!$Z$2:$Z$555,MATCH(LOWER(Data!A299),LOWER(DataAll!$Y$2:$Y$555),0))</f>
        <v>2.2400000000000002</v>
      </c>
      <c r="K299" cm="1">
        <f t="array" ref="K299">INDEX(DataAll!$AM$2:$AM$555,MATCH(LOWER(Data!A299),LOWER(DataAll!$AL$2:$AL$555),0))</f>
        <v>5.85</v>
      </c>
      <c r="L299" cm="1">
        <f t="array" ref="L299">INDEX(DataAll!$AJ$2:$AJ$555,MATCH(LOWER(Data!A299),LOWER(DataAll!$AI$2:$AI$555),0))</f>
        <v>16.14</v>
      </c>
      <c r="M299" cm="1">
        <f t="array" ref="M299">INDEX(DataAll!$AP$2:$AP$555,MATCH(LOWER(Data!A299),LOWER(DataAll!$AO$2:$AO$555),0))</f>
        <v>70.739999999999995</v>
      </c>
      <c r="N299" cm="1">
        <f t="array" ref="N299">INDEX(DataAll!$AQ$2:$AQ$555,MATCH(LOWER(Data!A299),LOWER(DataAll!$AO$2:$AO$555),0))</f>
        <v>74.77</v>
      </c>
      <c r="O299" cm="1">
        <f t="array" ref="O299">INDEX(DataAll!$AT$2:$AT$555,MATCH(LOWER(Data!A299),LOWER(DataAll!$AS$2:$AS$555),0))</f>
        <v>8.41</v>
      </c>
      <c r="P299" cm="1">
        <f t="array" ref="P299">INDEX(DataAll!$AU$2:$AU$555,MATCH(LOWER(Data!A299),LOWER(DataAll!$AS$2:$AS$555),0))</f>
        <v>6.82</v>
      </c>
      <c r="Q299" cm="1">
        <f t="array" ref="Q299">INDEX(DataAll!$AX$2:$AX$556,MATCH(LOWER(Data!A299),LOWER(DataAll!$AW$2:$AW$556),0))</f>
        <v>23.14</v>
      </c>
      <c r="R299" cm="1">
        <f t="array" ref="R299">INDEX('Longitude and Latitude'!$B$2:$B$579,MATCH(LOWER(Data!A299),LOWER('Longitude and Latitude'!$A$2:$A$579),0))</f>
        <v>-8.1138309999999993</v>
      </c>
      <c r="S299" cm="1">
        <f t="array" ref="S299">INDEX('Longitude and Latitude'!$C$2:$C$579,MATCH(LOWER(Data!A299),LOWER('Longitude and Latitude'!$A$2:$A$579),0))</f>
        <v>115.126999</v>
      </c>
      <c r="T299" t="b">
        <f>IF(EXACT(A299, UPPER(A299)), TRUE, FALSE)</f>
        <v>0</v>
      </c>
    </row>
    <row r="300" spans="1:20" x14ac:dyDescent="0.35">
      <c r="A300" t="s">
        <v>299</v>
      </c>
      <c r="B300">
        <v>96.68</v>
      </c>
      <c r="C300" cm="1">
        <f t="array" ref="C300">INDEX(DataAll!$E$2:$E$555,MATCH(LOWER(Data!A300),LOWER(DataAll!$D$2:$D$555),0))</f>
        <v>69.22</v>
      </c>
      <c r="D300" cm="1">
        <f t="array" ref="D300">INDEX(DataAll!$H$2:$H$579,MATCH(LOWER(Data!A300),LOWER(DataAll!$G$2:$G$555),0))</f>
        <v>0.28799999999999998</v>
      </c>
      <c r="E300" cm="1">
        <f t="array" ref="E300">INDEX(DataAll!$K$2:$K$579,MATCH(LOWER(Data!A300),LOWER(DataAll!$J$2:$J$555),0))</f>
        <v>11.11</v>
      </c>
      <c r="F300" cm="1">
        <f t="array" ref="F300">INDEX(DataAll!$N$2:$N$555,MATCH(LOWER(Data!A300),LOWER(DataAll!$M$2:$M$555),0))</f>
        <v>51.28</v>
      </c>
      <c r="G300" cm="1">
        <f t="array" ref="G300">INDEX(DataAll!$Q$2:$Q$555,MATCH(LOWER(Data!A300),LOWER(DataAll!$P$2:$P$555),0))</f>
        <v>1.7</v>
      </c>
      <c r="H300" cm="1">
        <f t="array" ref="H300">INDEX(DataAll!$T$2:$T$555,MATCH(LOWER(Data!A300),LOWER(DataAll!$S$2:$S$555),0))</f>
        <v>0.14199999999999999</v>
      </c>
      <c r="I300" cm="1">
        <f t="array" ref="I300">INDEX(DataAll!$W$2:$W$555,MATCH(LOWER(Data!A300),LOWER(DataAll!$V$2:$V$555),0))</f>
        <v>41.51</v>
      </c>
      <c r="J300" cm="1">
        <f t="array" ref="J300">INDEX(DataAll!$Z$2:$Z$555,MATCH(LOWER(Data!A300),LOWER(DataAll!$Y$2:$Y$555),0))</f>
        <v>1.85</v>
      </c>
      <c r="K300" cm="1">
        <f t="array" ref="K300">INDEX(DataAll!$AM$2:$AM$555,MATCH(LOWER(Data!A300),LOWER(DataAll!$AL$2:$AL$555),0))</f>
        <v>2.68</v>
      </c>
      <c r="L300" cm="1">
        <f t="array" ref="L300">INDEX(DataAll!$AJ$2:$AJ$555,MATCH(LOWER(Data!A300),LOWER(DataAll!$AI$2:$AI$555),0))</f>
        <v>13.17</v>
      </c>
      <c r="M300" cm="1">
        <f t="array" ref="M300">INDEX(DataAll!$AP$2:$AP$555,MATCH(LOWER(Data!A300),LOWER(DataAll!$AO$2:$AO$555),0))</f>
        <v>73.91</v>
      </c>
      <c r="N300" cm="1">
        <f t="array" ref="N300">INDEX(DataAll!$AQ$2:$AQ$555,MATCH(LOWER(Data!A300),LOWER(DataAll!$AO$2:$AO$555),0))</f>
        <v>77.5</v>
      </c>
      <c r="O300" cm="1">
        <f t="array" ref="O300">INDEX(DataAll!$AT$2:$AT$555,MATCH(LOWER(Data!A300),LOWER(DataAll!$AS$2:$AS$555),0))</f>
        <v>11.91</v>
      </c>
      <c r="P300" cm="1">
        <f t="array" ref="P300">INDEX(DataAll!$AU$2:$AU$555,MATCH(LOWER(Data!A300),LOWER(DataAll!$AS$2:$AS$555),0))</f>
        <v>11.17</v>
      </c>
      <c r="Q300" cm="1">
        <f t="array" ref="Q300">INDEX(DataAll!$AX$2:$AX$556,MATCH(LOWER(Data!A300),LOWER(DataAll!$AW$2:$AW$556),0))</f>
        <v>62.23</v>
      </c>
      <c r="R300" cm="1">
        <f t="array" ref="R300">INDEX('Longitude and Latitude'!$B$2:$B$579,MATCH(LOWER(Data!A300),LOWER('Longitude and Latitude'!$A$2:$A$579),0))</f>
        <v>-8.6562900000000003</v>
      </c>
      <c r="S300" cm="1">
        <f t="array" ref="S300">INDEX('Longitude and Latitude'!$C$2:$C$579,MATCH(LOWER(Data!A300),LOWER('Longitude and Latitude'!$A$2:$A$579),0))</f>
        <v>115.222099</v>
      </c>
      <c r="T300" t="b">
        <f>IF(EXACT(A300, UPPER(A300)), TRUE, FALSE)</f>
        <v>0</v>
      </c>
    </row>
    <row r="301" spans="1:20" x14ac:dyDescent="0.35">
      <c r="A301" t="s">
        <v>300</v>
      </c>
      <c r="B301">
        <v>91.39</v>
      </c>
      <c r="C301" cm="1">
        <f t="array" ref="C301">INDEX(DataAll!$E$2:$E$555,MATCH(LOWER(Data!A301),LOWER(DataAll!$D$2:$D$555),0))</f>
        <v>53.28</v>
      </c>
      <c r="D301" cm="1">
        <f t="array" ref="D301">INDEX(DataAll!$H$2:$H$579,MATCH(LOWER(Data!A301),LOWER(DataAll!$G$2:$G$555),0))</f>
        <v>0.65</v>
      </c>
      <c r="E301" cm="1">
        <f t="array" ref="E301">INDEX(DataAll!$K$2:$K$579,MATCH(LOWER(Data!A301),LOWER(DataAll!$J$2:$J$555),0))</f>
        <v>1.54</v>
      </c>
      <c r="F301" cm="1">
        <f t="array" ref="F301">INDEX(DataAll!$N$2:$N$555,MATCH(LOWER(Data!A301),LOWER(DataAll!$M$2:$M$555),0))</f>
        <v>48.6</v>
      </c>
      <c r="G301" t="e" cm="1">
        <f t="array" ref="G301">INDEX(DataAll!$Q$2:$Q$555,MATCH(LOWER(Data!A301),LOWER(DataAll!$P$2:$P$555),0))</f>
        <v>#N/A</v>
      </c>
      <c r="H301" cm="1">
        <f t="array" ref="H301">INDEX(DataAll!$T$2:$T$555,MATCH(LOWER(Data!A301),LOWER(DataAll!$S$2:$S$555),0))</f>
        <v>0.33300000000000002</v>
      </c>
      <c r="I301" cm="1">
        <f t="array" ref="I301">INDEX(DataAll!$W$2:$W$555,MATCH(LOWER(Data!A301),LOWER(DataAll!$V$2:$V$555),0))</f>
        <v>33.04</v>
      </c>
      <c r="J301" cm="1">
        <f t="array" ref="J301">INDEX(DataAll!$Z$2:$Z$555,MATCH(LOWER(Data!A301),LOWER(DataAll!$Y$2:$Y$555),0))</f>
        <v>2.4300000000000002</v>
      </c>
      <c r="K301" cm="1">
        <f t="array" ref="K301">INDEX(DataAll!$AM$2:$AM$555,MATCH(LOWER(Data!A301),LOWER(DataAll!$AL$2:$AL$555),0))</f>
        <v>13.85</v>
      </c>
      <c r="L301" cm="1">
        <f t="array" ref="L301">INDEX(DataAll!$AJ$2:$AJ$555,MATCH(LOWER(Data!A301),LOWER(DataAll!$AI$2:$AI$555),0))</f>
        <v>29.37</v>
      </c>
      <c r="M301" cm="1">
        <f t="array" ref="M301">INDEX(DataAll!$AP$2:$AP$555,MATCH(LOWER(Data!A301),LOWER(DataAll!$AO$2:$AO$555),0))</f>
        <v>65.540000000000006</v>
      </c>
      <c r="N301" cm="1">
        <f t="array" ref="N301">INDEX(DataAll!$AQ$2:$AQ$555,MATCH(LOWER(Data!A301),LOWER(DataAll!$AO$2:$AO$555),0))</f>
        <v>69.5</v>
      </c>
      <c r="O301" cm="1">
        <f t="array" ref="O301">INDEX(DataAll!$AT$2:$AT$555,MATCH(LOWER(Data!A301),LOWER(DataAll!$AS$2:$AS$555),0))</f>
        <v>8.25</v>
      </c>
      <c r="P301" cm="1">
        <f t="array" ref="P301">INDEX(DataAll!$AU$2:$AU$555,MATCH(LOWER(Data!A301),LOWER(DataAll!$AS$2:$AS$555),0))</f>
        <v>7.15</v>
      </c>
      <c r="Q301" cm="1">
        <f t="array" ref="Q301">INDEX(DataAll!$AX$2:$AX$556,MATCH(LOWER(Data!A301),LOWER(DataAll!$AW$2:$AW$556),0))</f>
        <v>29.8</v>
      </c>
      <c r="R301" cm="1">
        <f t="array" ref="R301">INDEX('Longitude and Latitude'!$B$2:$B$579,MATCH(LOWER(Data!A301),LOWER('Longitude and Latitude'!$A$2:$A$579),0))</f>
        <v>-8.6529334000000002</v>
      </c>
      <c r="S301" cm="1">
        <f t="array" ref="S301">INDEX('Longitude and Latitude'!$C$2:$C$579,MATCH(LOWER(Data!A301),LOWER('Longitude and Latitude'!$A$2:$A$579),0))</f>
        <v>117.3616476</v>
      </c>
      <c r="T301" t="b">
        <f>IF(EXACT(A301, UPPER(A301)), TRUE, FALSE)</f>
        <v>1</v>
      </c>
    </row>
    <row r="302" spans="1:20" x14ac:dyDescent="0.35">
      <c r="A302" t="s">
        <v>301</v>
      </c>
      <c r="B302">
        <v>90.65</v>
      </c>
      <c r="C302" cm="1">
        <f t="array" ref="C302">INDEX(DataAll!$E$2:$E$555,MATCH(LOWER(Data!A302),LOWER(DataAll!$D$2:$D$555),0))</f>
        <v>62.03</v>
      </c>
      <c r="D302" cm="1">
        <f t="array" ref="D302">INDEX(DataAll!$H$2:$H$579,MATCH(LOWER(Data!A302),LOWER(DataAll!$G$2:$G$555),0))</f>
        <v>0.56499999999999995</v>
      </c>
      <c r="E302" cm="1">
        <f t="array" ref="E302">INDEX(DataAll!$K$2:$K$579,MATCH(LOWER(Data!A302),LOWER(DataAll!$J$2:$J$555),0))</f>
        <v>11.11</v>
      </c>
      <c r="F302" cm="1">
        <f t="array" ref="F302">INDEX(DataAll!$N$2:$N$555,MATCH(LOWER(Data!A302),LOWER(DataAll!$M$2:$M$555),0))</f>
        <v>42.78</v>
      </c>
      <c r="G302" cm="1">
        <f t="array" ref="G302">INDEX(DataAll!$Q$2:$Q$555,MATCH(LOWER(Data!A302),LOWER(DataAll!$P$2:$P$555),0))</f>
        <v>2.42</v>
      </c>
      <c r="H302" cm="1">
        <f t="array" ref="H302">INDEX(DataAll!$T$2:$T$555,MATCH(LOWER(Data!A302),LOWER(DataAll!$S$2:$S$555),0))</f>
        <v>0.375</v>
      </c>
      <c r="I302" cm="1">
        <f t="array" ref="I302">INDEX(DataAll!$W$2:$W$555,MATCH(LOWER(Data!A302),LOWER(DataAll!$V$2:$V$555),0))</f>
        <v>32.450000000000003</v>
      </c>
      <c r="J302" cm="1">
        <f t="array" ref="J302">INDEX(DataAll!$Z$2:$Z$555,MATCH(LOWER(Data!A302),LOWER(DataAll!$Y$2:$Y$555),0))</f>
        <v>2.33</v>
      </c>
      <c r="K302" cm="1">
        <f t="array" ref="K302">INDEX(DataAll!$AM$2:$AM$555,MATCH(LOWER(Data!A302),LOWER(DataAll!$AL$2:$AL$555),0))</f>
        <v>13.67</v>
      </c>
      <c r="L302" cm="1">
        <f t="array" ref="L302">INDEX(DataAll!$AJ$2:$AJ$555,MATCH(LOWER(Data!A302),LOWER(DataAll!$AI$2:$AI$555),0))</f>
        <v>29.44</v>
      </c>
      <c r="M302" cm="1">
        <f t="array" ref="M302">INDEX(DataAll!$AP$2:$AP$555,MATCH(LOWER(Data!A302),LOWER(DataAll!$AO$2:$AO$555),0))</f>
        <v>66.13</v>
      </c>
      <c r="N302" cm="1">
        <f t="array" ref="N302">INDEX(DataAll!$AQ$2:$AQ$555,MATCH(LOWER(Data!A302),LOWER(DataAll!$AO$2:$AO$555),0))</f>
        <v>70.12</v>
      </c>
      <c r="O302" cm="1">
        <f t="array" ref="O302">INDEX(DataAll!$AT$2:$AT$555,MATCH(LOWER(Data!A302),LOWER(DataAll!$AS$2:$AS$555),0))</f>
        <v>7.58</v>
      </c>
      <c r="P302" cm="1">
        <f t="array" ref="P302">INDEX(DataAll!$AU$2:$AU$555,MATCH(LOWER(Data!A302),LOWER(DataAll!$AS$2:$AS$555),0))</f>
        <v>6.31</v>
      </c>
      <c r="Q302" cm="1">
        <f t="array" ref="Q302">INDEX(DataAll!$AX$2:$AX$556,MATCH(LOWER(Data!A302),LOWER(DataAll!$AW$2:$AW$556),0))</f>
        <v>22.17</v>
      </c>
      <c r="R302" cm="1">
        <f t="array" ref="R302">INDEX('Longitude and Latitude'!$B$2:$B$579,MATCH(LOWER(Data!A302),LOWER('Longitude and Latitude'!$A$2:$A$579),0))</f>
        <v>-8.6464599</v>
      </c>
      <c r="S302" cm="1">
        <f t="array" ref="S302">INDEX('Longitude and Latitude'!$C$2:$C$579,MATCH(LOWER(Data!A302),LOWER('Longitude and Latitude'!$A$2:$A$579),0))</f>
        <v>116.1123078</v>
      </c>
      <c r="T302" t="b">
        <f>IF(EXACT(A302, UPPER(A302)), TRUE, FALSE)</f>
        <v>0</v>
      </c>
    </row>
    <row r="303" spans="1:20" x14ac:dyDescent="0.35">
      <c r="A303" t="s">
        <v>302</v>
      </c>
      <c r="B303">
        <v>88.72</v>
      </c>
      <c r="C303" cm="1">
        <f t="array" ref="C303">INDEX(DataAll!$E$2:$E$555,MATCH(LOWER(Data!A303),LOWER(DataAll!$D$2:$D$555),0))</f>
        <v>60.45</v>
      </c>
      <c r="D303" cm="1">
        <f t="array" ref="D303">INDEX(DataAll!$H$2:$H$579,MATCH(LOWER(Data!A303),LOWER(DataAll!$G$2:$G$555),0))</f>
        <v>0.60299999999999998</v>
      </c>
      <c r="E303" cm="1">
        <f t="array" ref="E303">INDEX(DataAll!$K$2:$K$579,MATCH(LOWER(Data!A303),LOWER(DataAll!$J$2:$J$555),0))</f>
        <v>8</v>
      </c>
      <c r="F303" cm="1">
        <f t="array" ref="F303">INDEX(DataAll!$N$2:$N$555,MATCH(LOWER(Data!A303),LOWER(DataAll!$M$2:$M$555),0))</f>
        <v>42.35</v>
      </c>
      <c r="G303" cm="1">
        <f t="array" ref="G303">INDEX(DataAll!$Q$2:$Q$555,MATCH(LOWER(Data!A303),LOWER(DataAll!$P$2:$P$555),0))</f>
        <v>2.98</v>
      </c>
      <c r="H303" cm="1">
        <f t="array" ref="H303">INDEX(DataAll!$T$2:$T$555,MATCH(LOWER(Data!A303),LOWER(DataAll!$S$2:$S$555),0))</f>
        <v>0.44400000000000001</v>
      </c>
      <c r="I303" cm="1">
        <f t="array" ref="I303">INDEX(DataAll!$W$2:$W$555,MATCH(LOWER(Data!A303),LOWER(DataAll!$V$2:$V$555),0))</f>
        <v>36.33</v>
      </c>
      <c r="J303" cm="1">
        <f t="array" ref="J303">INDEX(DataAll!$Z$2:$Z$555,MATCH(LOWER(Data!A303),LOWER(DataAll!$Y$2:$Y$555),0))</f>
        <v>2.37</v>
      </c>
      <c r="K303" cm="1">
        <f t="array" ref="K303">INDEX(DataAll!$AM$2:$AM$555,MATCH(LOWER(Data!A303),LOWER(DataAll!$AL$2:$AL$555),0))</f>
        <v>12.93</v>
      </c>
      <c r="L303" cm="1">
        <f t="array" ref="L303">INDEX(DataAll!$AJ$2:$AJ$555,MATCH(LOWER(Data!A303),LOWER(DataAll!$AI$2:$AI$555),0))</f>
        <v>33.69</v>
      </c>
      <c r="M303" cm="1">
        <f t="array" ref="M303">INDEX(DataAll!$AP$2:$AP$555,MATCH(LOWER(Data!A303),LOWER(DataAll!$AO$2:$AO$555),0))</f>
        <v>65.2</v>
      </c>
      <c r="N303" cm="1">
        <f t="array" ref="N303">INDEX(DataAll!$AQ$2:$AQ$555,MATCH(LOWER(Data!A303),LOWER(DataAll!$AO$2:$AO$555),0))</f>
        <v>69.14</v>
      </c>
      <c r="O303" cm="1">
        <f t="array" ref="O303">INDEX(DataAll!$AT$2:$AT$555,MATCH(LOWER(Data!A303),LOWER(DataAll!$AS$2:$AS$555),0))</f>
        <v>7.15</v>
      </c>
      <c r="P303" cm="1">
        <f t="array" ref="P303">INDEX(DataAll!$AU$2:$AU$555,MATCH(LOWER(Data!A303),LOWER(DataAll!$AS$2:$AS$555),0))</f>
        <v>6.15</v>
      </c>
      <c r="Q303" cm="1">
        <f t="array" ref="Q303">INDEX(DataAll!$AX$2:$AX$556,MATCH(LOWER(Data!A303),LOWER(DataAll!$AW$2:$AW$556),0))</f>
        <v>21.66</v>
      </c>
      <c r="R303" cm="1">
        <f t="array" ref="R303">INDEX('Longitude and Latitude'!$B$2:$B$579,MATCH(LOWER(Data!A303),LOWER('Longitude and Latitude'!$A$2:$A$579),0))</f>
        <v>-8.694623</v>
      </c>
      <c r="S303" cm="1">
        <f t="array" ref="S303">INDEX('Longitude and Latitude'!$C$2:$C$579,MATCH(LOWER(Data!A303),LOWER('Longitude and Latitude'!$A$2:$A$579),0))</f>
        <v>116.2777073</v>
      </c>
      <c r="T303" t="b">
        <f>IF(EXACT(A303, UPPER(A303)), TRUE, FALSE)</f>
        <v>0</v>
      </c>
    </row>
    <row r="304" spans="1:20" x14ac:dyDescent="0.35">
      <c r="A304" t="s">
        <v>303</v>
      </c>
      <c r="B304">
        <v>92.25</v>
      </c>
      <c r="C304" cm="1">
        <f t="array" ref="C304">INDEX(DataAll!$E$2:$E$555,MATCH(LOWER(Data!A304),LOWER(DataAll!$D$2:$D$555),0))</f>
        <v>66.81</v>
      </c>
      <c r="D304" cm="1">
        <f t="array" ref="D304">INDEX(DataAll!$H$2:$H$579,MATCH(LOWER(Data!A304),LOWER(DataAll!$G$2:$G$555),0))</f>
        <v>0.57599999999999996</v>
      </c>
      <c r="E304" cm="1">
        <f t="array" ref="E304">INDEX(DataAll!$K$2:$K$579,MATCH(LOWER(Data!A304),LOWER(DataAll!$J$2:$J$555),0))</f>
        <v>10</v>
      </c>
      <c r="F304" cm="1">
        <f t="array" ref="F304">INDEX(DataAll!$N$2:$N$555,MATCH(LOWER(Data!A304),LOWER(DataAll!$M$2:$M$555),0))</f>
        <v>48.34</v>
      </c>
      <c r="G304" cm="1">
        <f t="array" ref="G304">INDEX(DataAll!$Q$2:$Q$555,MATCH(LOWER(Data!A304),LOWER(DataAll!$P$2:$P$555),0))</f>
        <v>1.52</v>
      </c>
      <c r="H304" cm="1">
        <f t="array" ref="H304">INDEX(DataAll!$T$2:$T$555,MATCH(LOWER(Data!A304),LOWER(DataAll!$S$2:$S$555),0))</f>
        <v>0.36499999999999999</v>
      </c>
      <c r="I304" cm="1">
        <f t="array" ref="I304">INDEX(DataAll!$W$2:$W$555,MATCH(LOWER(Data!A304),LOWER(DataAll!$V$2:$V$555),0))</f>
        <v>45.19</v>
      </c>
      <c r="J304" cm="1">
        <f t="array" ref="J304">INDEX(DataAll!$Z$2:$Z$555,MATCH(LOWER(Data!A304),LOWER(DataAll!$Y$2:$Y$555),0))</f>
        <v>2.4700000000000002</v>
      </c>
      <c r="K304" cm="1">
        <f t="array" ref="K304">INDEX(DataAll!$AM$2:$AM$555,MATCH(LOWER(Data!A304),LOWER(DataAll!$AL$2:$AL$555),0))</f>
        <v>15.63</v>
      </c>
      <c r="L304" cm="1">
        <f t="array" ref="L304">INDEX(DataAll!$AJ$2:$AJ$555,MATCH(LOWER(Data!A304),LOWER(DataAll!$AI$2:$AI$555),0))</f>
        <v>32.270000000000003</v>
      </c>
      <c r="M304" cm="1">
        <f t="array" ref="M304">INDEX(DataAll!$AP$2:$AP$555,MATCH(LOWER(Data!A304),LOWER(DataAll!$AO$2:$AO$555),0))</f>
        <v>65.03</v>
      </c>
      <c r="N304" cm="1">
        <f t="array" ref="N304">INDEX(DataAll!$AQ$2:$AQ$555,MATCH(LOWER(Data!A304),LOWER(DataAll!$AO$2:$AO$555),0))</f>
        <v>68.97</v>
      </c>
      <c r="O304" cm="1">
        <f t="array" ref="O304">INDEX(DataAll!$AT$2:$AT$555,MATCH(LOWER(Data!A304),LOWER(DataAll!$AS$2:$AS$555),0))</f>
        <v>7.55</v>
      </c>
      <c r="P304" cm="1">
        <f t="array" ref="P304">INDEX(DataAll!$AU$2:$AU$555,MATCH(LOWER(Data!A304),LOWER(DataAll!$AS$2:$AS$555),0))</f>
        <v>6.76</v>
      </c>
      <c r="Q304" cm="1">
        <f t="array" ref="Q304">INDEX(DataAll!$AX$2:$AX$556,MATCH(LOWER(Data!A304),LOWER(DataAll!$AW$2:$AW$556),0))</f>
        <v>25.23</v>
      </c>
      <c r="R304" cm="1">
        <f t="array" ref="R304">INDEX('Longitude and Latitude'!$B$2:$B$579,MATCH(LOWER(Data!A304),LOWER('Longitude and Latitude'!$A$2:$A$579),0))</f>
        <v>-8.5134471000000005</v>
      </c>
      <c r="S304" cm="1">
        <f t="array" ref="S304">INDEX('Longitude and Latitude'!$C$2:$C$579,MATCH(LOWER(Data!A304),LOWER('Longitude and Latitude'!$A$2:$A$579),0))</f>
        <v>116.5609857</v>
      </c>
      <c r="T304" t="b">
        <f>IF(EXACT(A304, UPPER(A304)), TRUE, FALSE)</f>
        <v>0</v>
      </c>
    </row>
    <row r="305" spans="1:20" x14ac:dyDescent="0.35">
      <c r="A305" t="s">
        <v>304</v>
      </c>
      <c r="B305">
        <v>94.79</v>
      </c>
      <c r="C305" cm="1">
        <f t="array" ref="C305">INDEX(DataAll!$E$2:$E$555,MATCH(LOWER(Data!A305),LOWER(DataAll!$D$2:$D$555),0))</f>
        <v>69.540000000000006</v>
      </c>
      <c r="D305" cm="1">
        <f t="array" ref="D305">INDEX(DataAll!$H$2:$H$579,MATCH(LOWER(Data!A305),LOWER(DataAll!$G$2:$G$555),0))</f>
        <v>0.35</v>
      </c>
      <c r="E305" cm="1">
        <f t="array" ref="E305">INDEX(DataAll!$K$2:$K$579,MATCH(LOWER(Data!A305),LOWER(DataAll!$J$2:$J$555),0))</f>
        <v>13.33</v>
      </c>
      <c r="F305" cm="1">
        <f t="array" ref="F305">INDEX(DataAll!$N$2:$N$555,MATCH(LOWER(Data!A305),LOWER(DataAll!$M$2:$M$555),0))</f>
        <v>54.74</v>
      </c>
      <c r="G305" cm="1">
        <f t="array" ref="G305">INDEX(DataAll!$Q$2:$Q$555,MATCH(LOWER(Data!A305),LOWER(DataAll!$P$2:$P$555),0))</f>
        <v>2.6</v>
      </c>
      <c r="H305" cm="1">
        <f t="array" ref="H305">INDEX(DataAll!$T$2:$T$555,MATCH(LOWER(Data!A305),LOWER(DataAll!$S$2:$S$555),0))</f>
        <v>0.17499999999999999</v>
      </c>
      <c r="I305" cm="1">
        <f t="array" ref="I305">INDEX(DataAll!$W$2:$W$555,MATCH(LOWER(Data!A305),LOWER(DataAll!$V$2:$V$555),0))</f>
        <v>35.979999999999997</v>
      </c>
      <c r="J305" cm="1">
        <f t="array" ref="J305">INDEX(DataAll!$Z$2:$Z$555,MATCH(LOWER(Data!A305),LOWER(DataAll!$Y$2:$Y$555),0))</f>
        <v>2.46</v>
      </c>
      <c r="K305" cm="1">
        <f t="array" ref="K305">INDEX(DataAll!$AM$2:$AM$555,MATCH(LOWER(Data!A305),LOWER(DataAll!$AL$2:$AL$555),0))</f>
        <v>13.91</v>
      </c>
      <c r="L305" cm="1">
        <f t="array" ref="L305">INDEX(DataAll!$AJ$2:$AJ$555,MATCH(LOWER(Data!A305),LOWER(DataAll!$AI$2:$AI$555),0))</f>
        <v>28.22</v>
      </c>
      <c r="M305" cm="1">
        <f t="array" ref="M305">INDEX(DataAll!$AP$2:$AP$555,MATCH(LOWER(Data!A305),LOWER(DataAll!$AO$2:$AO$555),0))</f>
        <v>66.599999999999994</v>
      </c>
      <c r="N305" cm="1">
        <f t="array" ref="N305">INDEX(DataAll!$AQ$2:$AQ$555,MATCH(LOWER(Data!A305),LOWER(DataAll!$AO$2:$AO$555),0))</f>
        <v>70.569999999999993</v>
      </c>
      <c r="O305" cm="1">
        <f t="array" ref="O305">INDEX(DataAll!$AT$2:$AT$555,MATCH(LOWER(Data!A305),LOWER(DataAll!$AS$2:$AS$555),0))</f>
        <v>8.7799999999999994</v>
      </c>
      <c r="P305" cm="1">
        <f t="array" ref="P305">INDEX(DataAll!$AU$2:$AU$555,MATCH(LOWER(Data!A305),LOWER(DataAll!$AS$2:$AS$555),0))</f>
        <v>8.35</v>
      </c>
      <c r="Q305" cm="1">
        <f t="array" ref="Q305">INDEX(DataAll!$AX$2:$AX$556,MATCH(LOWER(Data!A305),LOWER(DataAll!$AW$2:$AW$556),0))</f>
        <v>35.43</v>
      </c>
      <c r="R305" cm="1">
        <f t="array" ref="R305">INDEX('Longitude and Latitude'!$B$2:$B$579,MATCH(LOWER(Data!A305),LOWER('Longitude and Latitude'!$A$2:$A$579),0))</f>
        <v>-8.6529334000000002</v>
      </c>
      <c r="S305" cm="1">
        <f t="array" ref="S305">INDEX('Longitude and Latitude'!$C$2:$C$579,MATCH(LOWER(Data!A305),LOWER('Longitude and Latitude'!$A$2:$A$579),0))</f>
        <v>117.3616476</v>
      </c>
      <c r="T305" t="b">
        <f>IF(EXACT(A305, UPPER(A305)), TRUE, FALSE)</f>
        <v>0</v>
      </c>
    </row>
    <row r="306" spans="1:20" x14ac:dyDescent="0.35">
      <c r="A306" t="s">
        <v>305</v>
      </c>
      <c r="B306">
        <v>91.33</v>
      </c>
      <c r="C306" cm="1">
        <f t="array" ref="C306">INDEX(DataAll!$E$2:$E$555,MATCH(LOWER(Data!A306),LOWER(DataAll!$D$2:$D$555),0))</f>
        <v>63.95</v>
      </c>
      <c r="D306" cm="1">
        <f t="array" ref="D306">INDEX(DataAll!$H$2:$H$579,MATCH(LOWER(Data!A306),LOWER(DataAll!$G$2:$G$555),0))</f>
        <v>0.53400000000000003</v>
      </c>
      <c r="E306" cm="1">
        <f t="array" ref="E306">INDEX(DataAll!$K$2:$K$579,MATCH(LOWER(Data!A306),LOWER(DataAll!$J$2:$J$555),0))</f>
        <v>10</v>
      </c>
      <c r="F306" cm="1">
        <f t="array" ref="F306">INDEX(DataAll!$N$2:$N$555,MATCH(LOWER(Data!A306),LOWER(DataAll!$M$2:$M$555),0))</f>
        <v>55.15</v>
      </c>
      <c r="G306" cm="1">
        <f t="array" ref="G306">INDEX(DataAll!$Q$2:$Q$555,MATCH(LOWER(Data!A306),LOWER(DataAll!$P$2:$P$555),0))</f>
        <v>2.06</v>
      </c>
      <c r="H306" cm="1">
        <f t="array" ref="H306">INDEX(DataAll!$T$2:$T$555,MATCH(LOWER(Data!A306),LOWER(DataAll!$S$2:$S$555),0))</f>
        <v>0.223</v>
      </c>
      <c r="I306" cm="1">
        <f t="array" ref="I306">INDEX(DataAll!$W$2:$W$555,MATCH(LOWER(Data!A306),LOWER(DataAll!$V$2:$V$555),0))</f>
        <v>33.409999999999997</v>
      </c>
      <c r="J306" cm="1">
        <f t="array" ref="J306">INDEX(DataAll!$Z$2:$Z$555,MATCH(LOWER(Data!A306),LOWER(DataAll!$Y$2:$Y$555),0))</f>
        <v>2.75</v>
      </c>
      <c r="K306" cm="1">
        <f t="array" ref="K306">INDEX(DataAll!$AM$2:$AM$555,MATCH(LOWER(Data!A306),LOWER(DataAll!$AL$2:$AL$555),0))</f>
        <v>12.62</v>
      </c>
      <c r="L306" cm="1">
        <f t="array" ref="L306">INDEX(DataAll!$AJ$2:$AJ$555,MATCH(LOWER(Data!A306),LOWER(DataAll!$AI$2:$AI$555),0))</f>
        <v>31.56</v>
      </c>
      <c r="M306" cm="1">
        <f t="array" ref="M306">INDEX(DataAll!$AP$2:$AP$555,MATCH(LOWER(Data!A306),LOWER(DataAll!$AO$2:$AO$555),0))</f>
        <v>65.819999999999993</v>
      </c>
      <c r="N306" cm="1">
        <f t="array" ref="N306">INDEX(DataAll!$AQ$2:$AQ$555,MATCH(LOWER(Data!A306),LOWER(DataAll!$AO$2:$AO$555),0))</f>
        <v>69.8</v>
      </c>
      <c r="O306" cm="1">
        <f t="array" ref="O306">INDEX(DataAll!$AT$2:$AT$555,MATCH(LOWER(Data!A306),LOWER(DataAll!$AS$2:$AS$555),0))</f>
        <v>9.49</v>
      </c>
      <c r="P306" cm="1">
        <f t="array" ref="P306">INDEX(DataAll!$AU$2:$AU$555,MATCH(LOWER(Data!A306),LOWER(DataAll!$AS$2:$AS$555),0))</f>
        <v>8.35</v>
      </c>
      <c r="Q306" cm="1">
        <f t="array" ref="Q306">INDEX(DataAll!$AX$2:$AX$556,MATCH(LOWER(Data!A306),LOWER(DataAll!$AW$2:$AW$556),0))</f>
        <v>37.4</v>
      </c>
      <c r="R306" cm="1">
        <f t="array" ref="R306">INDEX('Longitude and Latitude'!$B$2:$B$579,MATCH(LOWER(Data!A306),LOWER('Longitude and Latitude'!$A$2:$A$579),0))</f>
        <v>-8.4966317999999994</v>
      </c>
      <c r="S306" cm="1">
        <f t="array" ref="S306">INDEX('Longitude and Latitude'!$C$2:$C$579,MATCH(LOWER(Data!A306),LOWER('Longitude and Latitude'!$A$2:$A$579),0))</f>
        <v>118.47471729999999</v>
      </c>
      <c r="T306" t="b">
        <f>IF(EXACT(A306, UPPER(A306)), TRUE, FALSE)</f>
        <v>0</v>
      </c>
    </row>
    <row r="307" spans="1:20" x14ac:dyDescent="0.35">
      <c r="A307" t="s">
        <v>306</v>
      </c>
      <c r="B307">
        <v>92.2</v>
      </c>
      <c r="C307" cm="1">
        <f t="array" ref="C307">INDEX(DataAll!$E$2:$E$555,MATCH(LOWER(Data!A307),LOWER(DataAll!$D$2:$D$555),0))</f>
        <v>53.43</v>
      </c>
      <c r="D307" cm="1">
        <f t="array" ref="D307">INDEX(DataAll!$H$2:$H$579,MATCH(LOWER(Data!A307),LOWER(DataAll!$G$2:$G$555),0))</f>
        <v>0.56000000000000005</v>
      </c>
      <c r="E307" cm="1">
        <f t="array" ref="E307">INDEX(DataAll!$K$2:$K$579,MATCH(LOWER(Data!A307),LOWER(DataAll!$J$2:$J$555),0))</f>
        <v>6.67</v>
      </c>
      <c r="F307" cm="1">
        <f t="array" ref="F307">INDEX(DataAll!$N$2:$N$555,MATCH(LOWER(Data!A307),LOWER(DataAll!$M$2:$M$555),0))</f>
        <v>53.85</v>
      </c>
      <c r="G307" cm="1">
        <f t="array" ref="G307">INDEX(DataAll!$Q$2:$Q$555,MATCH(LOWER(Data!A307),LOWER(DataAll!$P$2:$P$555),0))</f>
        <v>3.21</v>
      </c>
      <c r="H307" cm="1">
        <f t="array" ref="H307">INDEX(DataAll!$T$2:$T$555,MATCH(LOWER(Data!A307),LOWER(DataAll!$S$2:$S$555),0))</f>
        <v>0.20799999999999999</v>
      </c>
      <c r="I307" cm="1">
        <f t="array" ref="I307">INDEX(DataAll!$W$2:$W$555,MATCH(LOWER(Data!A307),LOWER(DataAll!$V$2:$V$555),0))</f>
        <v>26.62</v>
      </c>
      <c r="J307" cm="1">
        <f t="array" ref="J307">INDEX(DataAll!$Z$2:$Z$555,MATCH(LOWER(Data!A307),LOWER(DataAll!$Y$2:$Y$555),0))</f>
        <v>2.64</v>
      </c>
      <c r="K307" cm="1">
        <f t="array" ref="K307">INDEX(DataAll!$AM$2:$AM$555,MATCH(LOWER(Data!A307),LOWER(DataAll!$AL$2:$AL$555),0))</f>
        <v>14.39</v>
      </c>
      <c r="L307" cm="1">
        <f t="array" ref="L307">INDEX(DataAll!$AJ$2:$AJ$555,MATCH(LOWER(Data!A307),LOWER(DataAll!$AI$2:$AI$555),0))</f>
        <v>31.16</v>
      </c>
      <c r="M307" cm="1">
        <f t="array" ref="M307">INDEX(DataAll!$AP$2:$AP$555,MATCH(LOWER(Data!A307),LOWER(DataAll!$AO$2:$AO$555),0))</f>
        <v>65.34</v>
      </c>
      <c r="N307" cm="1">
        <f t="array" ref="N307">INDEX(DataAll!$AQ$2:$AQ$555,MATCH(LOWER(Data!A307),LOWER(DataAll!$AO$2:$AO$555),0))</f>
        <v>69.3</v>
      </c>
      <c r="O307" cm="1">
        <f t="array" ref="O307">INDEX(DataAll!$AT$2:$AT$555,MATCH(LOWER(Data!A307),LOWER(DataAll!$AS$2:$AS$555),0))</f>
        <v>8.8800000000000008</v>
      </c>
      <c r="P307" cm="1">
        <f t="array" ref="P307">INDEX(DataAll!$AU$2:$AU$555,MATCH(LOWER(Data!A307),LOWER(DataAll!$AS$2:$AS$555),0))</f>
        <v>8.27</v>
      </c>
      <c r="Q307" cm="1">
        <f t="array" ref="Q307">INDEX(DataAll!$AX$2:$AX$556,MATCH(LOWER(Data!A307),LOWER(DataAll!$AW$2:$AW$556),0))</f>
        <v>38.64</v>
      </c>
      <c r="R307" cm="1">
        <f t="array" ref="R307">INDEX('Longitude and Latitude'!$B$2:$B$579,MATCH(LOWER(Data!A307),LOWER('Longitude and Latitude'!$A$2:$A$579),0))</f>
        <v>-8.460566</v>
      </c>
      <c r="S307" cm="1">
        <f t="array" ref="S307">INDEX('Longitude and Latitude'!$C$2:$C$579,MATCH(LOWER(Data!A307),LOWER('Longitude and Latitude'!$A$2:$A$579),0))</f>
        <v>118.727402</v>
      </c>
      <c r="T307" t="b">
        <f>IF(EXACT(A307, UPPER(A307)), TRUE, FALSE)</f>
        <v>0</v>
      </c>
    </row>
    <row r="308" spans="1:20" x14ac:dyDescent="0.35">
      <c r="A308" t="s">
        <v>307</v>
      </c>
      <c r="B308">
        <v>93.48</v>
      </c>
      <c r="C308" cm="1">
        <f t="array" ref="C308">INDEX(DataAll!$E$2:$E$555,MATCH(LOWER(Data!A308),LOWER(DataAll!$D$2:$D$555),0))</f>
        <v>48.84</v>
      </c>
      <c r="D308" cm="1">
        <f t="array" ref="D308">INDEX(DataAll!$H$2:$H$579,MATCH(LOWER(Data!A308),LOWER(DataAll!$G$2:$G$555),0))</f>
        <v>0.52600000000000002</v>
      </c>
      <c r="E308" cm="1">
        <f t="array" ref="E308">INDEX(DataAll!$K$2:$K$579,MATCH(LOWER(Data!A308),LOWER(DataAll!$J$2:$J$555),0))</f>
        <v>8</v>
      </c>
      <c r="F308" cm="1">
        <f t="array" ref="F308">INDEX(DataAll!$N$2:$N$555,MATCH(LOWER(Data!A308),LOWER(DataAll!$M$2:$M$555),0))</f>
        <v>54.67</v>
      </c>
      <c r="G308" cm="1">
        <f t="array" ref="G308">INDEX(DataAll!$Q$2:$Q$555,MATCH(LOWER(Data!A308),LOWER(DataAll!$P$2:$P$555),0))</f>
        <v>0.76</v>
      </c>
      <c r="H308" cm="1">
        <f t="array" ref="H308">INDEX(DataAll!$T$2:$T$555,MATCH(LOWER(Data!A308),LOWER(DataAll!$S$2:$S$555),0))</f>
        <v>0.22600000000000001</v>
      </c>
      <c r="I308" cm="1">
        <f t="array" ref="I308">INDEX(DataAll!$W$2:$W$555,MATCH(LOWER(Data!A308),LOWER(DataAll!$V$2:$V$555),0))</f>
        <v>20.329999999999998</v>
      </c>
      <c r="J308" cm="1">
        <f t="array" ref="J308">INDEX(DataAll!$Z$2:$Z$555,MATCH(LOWER(Data!A308),LOWER(DataAll!$Y$2:$Y$555),0))</f>
        <v>2.69</v>
      </c>
      <c r="K308" cm="1">
        <f t="array" ref="K308">INDEX(DataAll!$AM$2:$AM$555,MATCH(LOWER(Data!A308),LOWER(DataAll!$AL$2:$AL$555),0))</f>
        <v>12.95</v>
      </c>
      <c r="L308" cm="1">
        <f t="array" ref="L308">INDEX(DataAll!$AJ$2:$AJ$555,MATCH(LOWER(Data!A308),LOWER(DataAll!$AI$2:$AI$555),0))</f>
        <v>28.07</v>
      </c>
      <c r="M308" cm="1">
        <f t="array" ref="M308">INDEX(DataAll!$AP$2:$AP$555,MATCH(LOWER(Data!A308),LOWER(DataAll!$AO$2:$AO$555),0))</f>
        <v>67.260000000000005</v>
      </c>
      <c r="N308" cm="1">
        <f t="array" ref="N308">INDEX(DataAll!$AQ$2:$AQ$555,MATCH(LOWER(Data!A308),LOWER(DataAll!$AO$2:$AO$555),0))</f>
        <v>71.22</v>
      </c>
      <c r="O308" cm="1">
        <f t="array" ref="O308">INDEX(DataAll!$AT$2:$AT$555,MATCH(LOWER(Data!A308),LOWER(DataAll!$AS$2:$AS$555),0))</f>
        <v>9.3800000000000008</v>
      </c>
      <c r="P308" cm="1">
        <f t="array" ref="P308">INDEX(DataAll!$AU$2:$AU$555,MATCH(LOWER(Data!A308),LOWER(DataAll!$AS$2:$AS$555),0))</f>
        <v>8.6</v>
      </c>
      <c r="Q308" cm="1">
        <f t="array" ref="Q308">INDEX(DataAll!$AX$2:$AX$556,MATCH(LOWER(Data!A308),LOWER(DataAll!$AW$2:$AW$556),0))</f>
        <v>36.85</v>
      </c>
      <c r="R308" cm="1">
        <f t="array" ref="R308">INDEX('Longitude and Latitude'!$B$2:$B$579,MATCH(LOWER(Data!A308),LOWER('Longitude and Latitude'!$A$2:$A$579),0))</f>
        <v>-8.9292906999999992</v>
      </c>
      <c r="S308" cm="1">
        <f t="array" ref="S308">INDEX('Longitude and Latitude'!$C$2:$C$579,MATCH(LOWER(Data!A308),LOWER('Longitude and Latitude'!$A$2:$A$579),0))</f>
        <v>116.89103420000001</v>
      </c>
      <c r="T308" t="b">
        <f>IF(EXACT(A308, UPPER(A308)), TRUE, FALSE)</f>
        <v>0</v>
      </c>
    </row>
    <row r="309" spans="1:20" x14ac:dyDescent="0.35">
      <c r="A309" t="s">
        <v>308</v>
      </c>
      <c r="B309">
        <v>85.88</v>
      </c>
      <c r="C309" cm="1">
        <f t="array" ref="C309">INDEX(DataAll!$E$2:$E$555,MATCH(LOWER(Data!A309),LOWER(DataAll!$D$2:$D$555),0))</f>
        <v>48.52</v>
      </c>
      <c r="D309" cm="1">
        <f t="array" ref="D309">INDEX(DataAll!$H$2:$H$579,MATCH(LOWER(Data!A309),LOWER(DataAll!$G$2:$G$555),0))</f>
        <v>0.58099999999999996</v>
      </c>
      <c r="E309" cm="1">
        <f t="array" ref="E309">INDEX(DataAll!$K$2:$K$579,MATCH(LOWER(Data!A309),LOWER(DataAll!$J$2:$J$555),0))</f>
        <v>3.33</v>
      </c>
      <c r="F309" cm="1">
        <f t="array" ref="F309">INDEX(DataAll!$N$2:$N$555,MATCH(LOWER(Data!A309),LOWER(DataAll!$M$2:$M$555),0))</f>
        <v>45.16</v>
      </c>
      <c r="G309" cm="1">
        <f t="array" ref="G309">INDEX(DataAll!$Q$2:$Q$555,MATCH(LOWER(Data!A309),LOWER(DataAll!$P$2:$P$555),0))</f>
        <v>2.66</v>
      </c>
      <c r="H309" cm="1">
        <f t="array" ref="H309">INDEX(DataAll!$T$2:$T$555,MATCH(LOWER(Data!A309),LOWER(DataAll!$S$2:$S$555),0))</f>
        <v>0.35399999999999998</v>
      </c>
      <c r="I309" cm="1">
        <f t="array" ref="I309">INDEX(DataAll!$W$2:$W$555,MATCH(LOWER(Data!A309),LOWER(DataAll!$V$2:$V$555),0))</f>
        <v>26.81</v>
      </c>
      <c r="J309" cm="1">
        <f t="array" ref="J309">INDEX(DataAll!$Z$2:$Z$555,MATCH(LOWER(Data!A309),LOWER(DataAll!$Y$2:$Y$555),0))</f>
        <v>2.46</v>
      </c>
      <c r="K309" cm="1">
        <f t="array" ref="K309">INDEX(DataAll!$AM$2:$AM$555,MATCH(LOWER(Data!A309),LOWER(DataAll!$AL$2:$AL$555),0))</f>
        <v>25.8</v>
      </c>
      <c r="L309" cm="1">
        <f t="array" ref="L309">INDEX(DataAll!$AJ$2:$AJ$555,MATCH(LOWER(Data!A309),LOWER(DataAll!$AI$2:$AI$555),0))</f>
        <v>33.75</v>
      </c>
      <c r="M309" cm="1">
        <f t="array" ref="M309">INDEX(DataAll!$AP$2:$AP$555,MATCH(LOWER(Data!A309),LOWER(DataAll!$AO$2:$AO$555),0))</f>
        <v>66.23</v>
      </c>
      <c r="N309" cm="1">
        <f t="array" ref="N309">INDEX(DataAll!$AQ$2:$AQ$555,MATCH(LOWER(Data!A309),LOWER(DataAll!$AO$2:$AO$555),0))</f>
        <v>70.209999999999994</v>
      </c>
      <c r="O309" cm="1">
        <f t="array" ref="O309">INDEX(DataAll!$AT$2:$AT$555,MATCH(LOWER(Data!A309),LOWER(DataAll!$AS$2:$AS$555),0))</f>
        <v>7.13</v>
      </c>
      <c r="P309" cm="1">
        <f t="array" ref="P309">INDEX(DataAll!$AU$2:$AU$555,MATCH(LOWER(Data!A309),LOWER(DataAll!$AS$2:$AS$555),0))</f>
        <v>5.53</v>
      </c>
      <c r="Q309" cm="1">
        <f t="array" ref="Q309">INDEX(DataAll!$AX$2:$AX$556,MATCH(LOWER(Data!A309),LOWER(DataAll!$AW$2:$AW$556),0))</f>
        <v>17.18</v>
      </c>
      <c r="R309" cm="1">
        <f t="array" ref="R309">INDEX('Longitude and Latitude'!$B$2:$B$579,MATCH(LOWER(Data!A309),LOWER('Longitude and Latitude'!$A$2:$A$579),0))</f>
        <v>-8.3739076000000008</v>
      </c>
      <c r="S309" cm="1">
        <f t="array" ref="S309">INDEX('Longitude and Latitude'!$C$2:$C$579,MATCH(LOWER(Data!A309),LOWER('Longitude and Latitude'!$A$2:$A$579),0))</f>
        <v>116.2777073</v>
      </c>
      <c r="T309" t="b">
        <f>IF(EXACT(A309, UPPER(A309)), TRUE, FALSE)</f>
        <v>0</v>
      </c>
    </row>
    <row r="310" spans="1:20" x14ac:dyDescent="0.35">
      <c r="A310" t="s">
        <v>309</v>
      </c>
      <c r="B310">
        <v>93.3</v>
      </c>
      <c r="C310" cm="1">
        <f t="array" ref="C310">INDEX(DataAll!$E$2:$E$555,MATCH(LOWER(Data!A310),LOWER(DataAll!$D$2:$D$555),0))</f>
        <v>75.25</v>
      </c>
      <c r="D310" cm="1">
        <f t="array" ref="D310">INDEX(DataAll!$H$2:$H$579,MATCH(LOWER(Data!A310),LOWER(DataAll!$G$2:$G$555),0))</f>
        <v>0.45900000000000002</v>
      </c>
      <c r="E310" cm="1">
        <f t="array" ref="E310">INDEX(DataAll!$K$2:$K$579,MATCH(LOWER(Data!A310),LOWER(DataAll!$J$2:$J$555),0))</f>
        <v>22.5</v>
      </c>
      <c r="F310" cm="1">
        <f t="array" ref="F310">INDEX(DataAll!$N$2:$N$555,MATCH(LOWER(Data!A310),LOWER(DataAll!$M$2:$M$555),0))</f>
        <v>45.31</v>
      </c>
      <c r="G310" cm="1">
        <f t="array" ref="G310">INDEX(DataAll!$Q$2:$Q$555,MATCH(LOWER(Data!A310),LOWER(DataAll!$P$2:$P$555),0))</f>
        <v>0.65</v>
      </c>
      <c r="H310" cm="1">
        <f t="array" ref="H310">INDEX(DataAll!$T$2:$T$555,MATCH(LOWER(Data!A310),LOWER(DataAll!$S$2:$S$555),0))</f>
        <v>0.32500000000000001</v>
      </c>
      <c r="I310" cm="1">
        <f t="array" ref="I310">INDEX(DataAll!$W$2:$W$555,MATCH(LOWER(Data!A310),LOWER(DataAll!$V$2:$V$555),0))</f>
        <v>33.83</v>
      </c>
      <c r="J310" cm="1">
        <f t="array" ref="J310">INDEX(DataAll!$Z$2:$Z$555,MATCH(LOWER(Data!A310),LOWER(DataAll!$Y$2:$Y$555),0))</f>
        <v>2.13</v>
      </c>
      <c r="K310" cm="1">
        <f t="array" ref="K310">INDEX(DataAll!$AM$2:$AM$555,MATCH(LOWER(Data!A310),LOWER(DataAll!$AL$2:$AL$555),0))</f>
        <v>8.6199999999999992</v>
      </c>
      <c r="L310" cm="1">
        <f t="array" ref="L310">INDEX(DataAll!$AJ$2:$AJ$555,MATCH(LOWER(Data!A310),LOWER(DataAll!$AI$2:$AI$555),0))</f>
        <v>16.88</v>
      </c>
      <c r="M310" cm="1">
        <f t="array" ref="M310">INDEX(DataAll!$AP$2:$AP$555,MATCH(LOWER(Data!A310),LOWER(DataAll!$AO$2:$AO$555),0))</f>
        <v>70.59</v>
      </c>
      <c r="N310" cm="1">
        <f t="array" ref="N310">INDEX(DataAll!$AQ$2:$AQ$555,MATCH(LOWER(Data!A310),LOWER(DataAll!$AO$2:$AO$555),0))</f>
        <v>74.61</v>
      </c>
      <c r="O310" cm="1">
        <f t="array" ref="O310">INDEX(DataAll!$AT$2:$AT$555,MATCH(LOWER(Data!A310),LOWER(DataAll!$AS$2:$AS$555),0))</f>
        <v>10.59</v>
      </c>
      <c r="P310" cm="1">
        <f t="array" ref="P310">INDEX(DataAll!$AU$2:$AU$555,MATCH(LOWER(Data!A310),LOWER(DataAll!$AS$2:$AS$555),0))</f>
        <v>9.27</v>
      </c>
      <c r="Q310" cm="1">
        <f t="array" ref="Q310">INDEX(DataAll!$AX$2:$AX$556,MATCH(LOWER(Data!A310),LOWER(DataAll!$AW$2:$AW$556),0))</f>
        <v>44.67</v>
      </c>
      <c r="R310" cm="1">
        <f t="array" ref="R310">INDEX('Longitude and Latitude'!$B$2:$B$579,MATCH(LOWER(Data!A310),LOWER('Longitude and Latitude'!$A$2:$A$579),0))</f>
        <v>-8.5833332999999996</v>
      </c>
      <c r="S310" cm="1">
        <f t="array" ref="S310">INDEX('Longitude and Latitude'!$C$2:$C$579,MATCH(LOWER(Data!A310),LOWER('Longitude and Latitude'!$A$2:$A$579),0))</f>
        <v>116.1166667</v>
      </c>
      <c r="T310" t="b">
        <f>IF(EXACT(A310, UPPER(A310)), TRUE, FALSE)</f>
        <v>0</v>
      </c>
    </row>
    <row r="311" spans="1:20" x14ac:dyDescent="0.35">
      <c r="A311" t="s">
        <v>310</v>
      </c>
      <c r="B311">
        <v>96.9</v>
      </c>
      <c r="C311" cm="1">
        <f t="array" ref="C311">INDEX(DataAll!$E$2:$E$555,MATCH(LOWER(Data!A311),LOWER(DataAll!$D$2:$D$555),0))</f>
        <v>70.760000000000005</v>
      </c>
      <c r="D311" cm="1">
        <f t="array" ref="D311">INDEX(DataAll!$H$2:$H$579,MATCH(LOWER(Data!A311),LOWER(DataAll!$G$2:$G$555),0))</f>
        <v>0.48199999999999998</v>
      </c>
      <c r="E311" cm="1">
        <f t="array" ref="E311">INDEX(DataAll!$K$2:$K$579,MATCH(LOWER(Data!A311),LOWER(DataAll!$J$2:$J$555),0))</f>
        <v>16.670000000000002</v>
      </c>
      <c r="F311" cm="1">
        <f t="array" ref="F311">INDEX(DataAll!$N$2:$N$555,MATCH(LOWER(Data!A311),LOWER(DataAll!$M$2:$M$555),0))</f>
        <v>52.15</v>
      </c>
      <c r="G311" cm="1">
        <f t="array" ref="G311">INDEX(DataAll!$Q$2:$Q$555,MATCH(LOWER(Data!A311),LOWER(DataAll!$P$2:$P$555),0))</f>
        <v>1.19</v>
      </c>
      <c r="H311" cm="1">
        <f t="array" ref="H311">INDEX(DataAll!$T$2:$T$555,MATCH(LOWER(Data!A311),LOWER(DataAll!$S$2:$S$555),0))</f>
        <v>0.20399999999999999</v>
      </c>
      <c r="I311" cm="1">
        <f t="array" ref="I311">INDEX(DataAll!$W$2:$W$555,MATCH(LOWER(Data!A311),LOWER(DataAll!$V$2:$V$555),0))</f>
        <v>37.4</v>
      </c>
      <c r="J311" cm="1">
        <f t="array" ref="J311">INDEX(DataAll!$Z$2:$Z$555,MATCH(LOWER(Data!A311),LOWER(DataAll!$Y$2:$Y$555),0))</f>
        <v>2.35</v>
      </c>
      <c r="K311" cm="1">
        <f t="array" ref="K311">INDEX(DataAll!$AM$2:$AM$555,MATCH(LOWER(Data!A311),LOWER(DataAll!$AL$2:$AL$555),0))</f>
        <v>8.67</v>
      </c>
      <c r="L311" cm="1">
        <f t="array" ref="L311">INDEX(DataAll!$AJ$2:$AJ$555,MATCH(LOWER(Data!A311),LOWER(DataAll!$AI$2:$AI$555),0))</f>
        <v>24.71</v>
      </c>
      <c r="M311" cm="1">
        <f t="array" ref="M311">INDEX(DataAll!$AP$2:$AP$555,MATCH(LOWER(Data!A311),LOWER(DataAll!$AO$2:$AO$555),0))</f>
        <v>69.260000000000005</v>
      </c>
      <c r="N311" cm="1">
        <f t="array" ref="N311">INDEX(DataAll!$AQ$2:$AQ$555,MATCH(LOWER(Data!A311),LOWER(DataAll!$AO$2:$AO$555),0))</f>
        <v>73.22</v>
      </c>
      <c r="O311" cm="1">
        <f t="array" ref="O311">INDEX(DataAll!$AT$2:$AT$555,MATCH(LOWER(Data!A311),LOWER(DataAll!$AS$2:$AS$555),0))</f>
        <v>11.27</v>
      </c>
      <c r="P311" cm="1">
        <f t="array" ref="P311">INDEX(DataAll!$AU$2:$AU$555,MATCH(LOWER(Data!A311),LOWER(DataAll!$AS$2:$AS$555),0))</f>
        <v>10.65</v>
      </c>
      <c r="Q311" cm="1">
        <f t="array" ref="Q311">INDEX(DataAll!$AX$2:$AX$556,MATCH(LOWER(Data!A311),LOWER(DataAll!$AW$2:$AW$556),0))</f>
        <v>58.6</v>
      </c>
      <c r="R311" cm="1">
        <f t="array" ref="R311">INDEX('Longitude and Latitude'!$B$2:$B$579,MATCH(LOWER(Data!A311),LOWER('Longitude and Latitude'!$A$2:$A$579),0))</f>
        <v>-8.460566</v>
      </c>
      <c r="S311" cm="1">
        <f t="array" ref="S311">INDEX('Longitude and Latitude'!$C$2:$C$579,MATCH(LOWER(Data!A311),LOWER('Longitude and Latitude'!$A$2:$A$579),0))</f>
        <v>118.727402</v>
      </c>
      <c r="T311" t="b">
        <f>IF(EXACT(A311, UPPER(A311)), TRUE, FALSE)</f>
        <v>0</v>
      </c>
    </row>
    <row r="312" spans="1:20" x14ac:dyDescent="0.35">
      <c r="A312" t="s">
        <v>311</v>
      </c>
      <c r="B312">
        <v>93.38</v>
      </c>
      <c r="C312" cm="1">
        <f t="array" ref="C312">INDEX(DataAll!$E$2:$E$555,MATCH(LOWER(Data!A312),LOWER(DataAll!$D$2:$D$555),0))</f>
        <v>75.099999999999994</v>
      </c>
      <c r="D312" cm="1">
        <f t="array" ref="D312">INDEX(DataAll!$H$2:$H$579,MATCH(LOWER(Data!A312),LOWER(DataAll!$G$2:$G$555),0))</f>
        <v>0.42799999999999999</v>
      </c>
      <c r="E312" cm="1">
        <f t="array" ref="E312">INDEX(DataAll!$K$2:$K$579,MATCH(LOWER(Data!A312),LOWER(DataAll!$J$2:$J$555),0))</f>
        <v>20</v>
      </c>
      <c r="F312" cm="1">
        <f t="array" ref="F312">INDEX(DataAll!$N$2:$N$555,MATCH(LOWER(Data!A312),LOWER(DataAll!$M$2:$M$555),0))</f>
        <v>51.13</v>
      </c>
      <c r="G312" t="e" cm="1">
        <f t="array" ref="G312">INDEX(DataAll!$Q$2:$Q$555,MATCH(LOWER(Data!A312),LOWER(DataAll!$P$2:$P$555),0))</f>
        <v>#N/A</v>
      </c>
      <c r="H312" cm="1">
        <f t="array" ref="H312">INDEX(DataAll!$T$2:$T$555,MATCH(LOWER(Data!A312),LOWER(DataAll!$S$2:$S$555),0))</f>
        <v>0.19700000000000001</v>
      </c>
      <c r="I312" cm="1">
        <f t="array" ref="I312">INDEX(DataAll!$W$2:$W$555,MATCH(LOWER(Data!A312),LOWER(DataAll!$V$2:$V$555),0))</f>
        <v>42.86</v>
      </c>
      <c r="J312" cm="1">
        <f t="array" ref="J312">INDEX(DataAll!$Z$2:$Z$555,MATCH(LOWER(Data!A312),LOWER(DataAll!$Y$2:$Y$555),0))</f>
        <v>2.79</v>
      </c>
      <c r="K312" cm="1">
        <f t="array" ref="K312">INDEX(DataAll!$AM$2:$AM$555,MATCH(LOWER(Data!A312),LOWER(DataAll!$AL$2:$AL$555),0))</f>
        <v>19.96</v>
      </c>
      <c r="L312" cm="1">
        <f t="array" ref="L312">INDEX(DataAll!$AJ$2:$AJ$555,MATCH(LOWER(Data!A312),LOWER(DataAll!$AI$2:$AI$555),0))</f>
        <v>30.72</v>
      </c>
      <c r="M312" cm="1">
        <f t="array" ref="M312">INDEX(DataAll!$AP$2:$AP$555,MATCH(LOWER(Data!A312),LOWER(DataAll!$AO$2:$AO$555),0))</f>
        <v>65.819999999999993</v>
      </c>
      <c r="N312" cm="1">
        <f t="array" ref="N312">INDEX(DataAll!$AQ$2:$AQ$555,MATCH(LOWER(Data!A312),LOWER(DataAll!$AO$2:$AO$555),0))</f>
        <v>69.8</v>
      </c>
      <c r="O312" cm="1">
        <f t="array" ref="O312">INDEX(DataAll!$AT$2:$AT$555,MATCH(LOWER(Data!A312),LOWER(DataAll!$AS$2:$AS$555),0))</f>
        <v>8.14</v>
      </c>
      <c r="P312" cm="1">
        <f t="array" ref="P312">INDEX(DataAll!$AU$2:$AU$555,MATCH(LOWER(Data!A312),LOWER(DataAll!$AS$2:$AS$555),0))</f>
        <v>7.64</v>
      </c>
      <c r="Q312" cm="1">
        <f t="array" ref="Q312">INDEX(DataAll!$AX$2:$AX$556,MATCH(LOWER(Data!A312),LOWER(DataAll!$AW$2:$AW$556),0))</f>
        <v>28.92</v>
      </c>
      <c r="R312" cm="1">
        <f t="array" ref="R312">INDEX('Longitude and Latitude'!$B$2:$B$579,MATCH(LOWER(Data!A312),LOWER('Longitude and Latitude'!$A$2:$A$579),0))</f>
        <v>-8.6573819000000007</v>
      </c>
      <c r="S312" cm="1">
        <f t="array" ref="S312">INDEX('Longitude and Latitude'!$C$2:$C$579,MATCH(LOWER(Data!A312),LOWER('Longitude and Latitude'!$A$2:$A$579),0))</f>
        <v>121.0793705</v>
      </c>
      <c r="T312" t="b">
        <f>IF(EXACT(A312, UPPER(A312)), TRUE, FALSE)</f>
        <v>1</v>
      </c>
    </row>
    <row r="313" spans="1:20" x14ac:dyDescent="0.35">
      <c r="A313" t="s">
        <v>312</v>
      </c>
      <c r="B313">
        <v>94.82</v>
      </c>
      <c r="C313" cm="1">
        <f t="array" ref="C313">INDEX(DataAll!$E$2:$E$555,MATCH(LOWER(Data!A313),LOWER(DataAll!$D$2:$D$555),0))</f>
        <v>69.33</v>
      </c>
      <c r="D313" cm="1">
        <f t="array" ref="D313">INDEX(DataAll!$H$2:$H$579,MATCH(LOWER(Data!A313),LOWER(DataAll!$G$2:$G$555),0))</f>
        <v>0.34599999999999997</v>
      </c>
      <c r="E313" cm="1">
        <f t="array" ref="E313">INDEX(DataAll!$K$2:$K$579,MATCH(LOWER(Data!A313),LOWER(DataAll!$J$2:$J$555),0))</f>
        <v>16</v>
      </c>
      <c r="F313" cm="1">
        <f t="array" ref="F313">INDEX(DataAll!$N$2:$N$555,MATCH(LOWER(Data!A313),LOWER(DataAll!$M$2:$M$555),0))</f>
        <v>44.6</v>
      </c>
      <c r="G313" cm="1">
        <f t="array" ref="G313">INDEX(DataAll!$Q$2:$Q$555,MATCH(LOWER(Data!A313),LOWER(DataAll!$P$2:$P$555),0))</f>
        <v>14.04</v>
      </c>
      <c r="H313" cm="1">
        <f t="array" ref="H313">INDEX(DataAll!$T$2:$T$555,MATCH(LOWER(Data!A313),LOWER(DataAll!$S$2:$S$555),0))</f>
        <v>0.18099999999999999</v>
      </c>
      <c r="I313" cm="1">
        <f t="array" ref="I313">INDEX(DataAll!$W$2:$W$555,MATCH(LOWER(Data!A313),LOWER(DataAll!$V$2:$V$555),0))</f>
        <v>34.99</v>
      </c>
      <c r="J313" cm="1">
        <f t="array" ref="J313">INDEX(DataAll!$Z$2:$Z$555,MATCH(LOWER(Data!A313),LOWER(DataAll!$Y$2:$Y$555),0))</f>
        <v>3.14</v>
      </c>
      <c r="K313" cm="1">
        <f t="array" ref="K313">INDEX(DataAll!$AM$2:$AM$555,MATCH(LOWER(Data!A313),LOWER(DataAll!$AL$2:$AL$555),0))</f>
        <v>27.17</v>
      </c>
      <c r="L313" cm="1">
        <f t="array" ref="L313">INDEX(DataAll!$AJ$2:$AJ$555,MATCH(LOWER(Data!A313),LOWER(DataAll!$AI$2:$AI$555),0))</f>
        <v>31.37</v>
      </c>
      <c r="M313" cm="1">
        <f t="array" ref="M313">INDEX(DataAll!$AP$2:$AP$555,MATCH(LOWER(Data!A313),LOWER(DataAll!$AO$2:$AO$555),0))</f>
        <v>65.64</v>
      </c>
      <c r="N313" cm="1">
        <f t="array" ref="N313">INDEX(DataAll!$AQ$2:$AQ$555,MATCH(LOWER(Data!A313),LOWER(DataAll!$AO$2:$AO$555),0))</f>
        <v>69.61</v>
      </c>
      <c r="O313" cm="1">
        <f t="array" ref="O313">INDEX(DataAll!$AT$2:$AT$555,MATCH(LOWER(Data!A313),LOWER(DataAll!$AS$2:$AS$555),0))</f>
        <v>7.26</v>
      </c>
      <c r="P313" cm="1">
        <f t="array" ref="P313">INDEX(DataAll!$AU$2:$AU$555,MATCH(LOWER(Data!A313),LOWER(DataAll!$AS$2:$AS$555),0))</f>
        <v>6.54</v>
      </c>
      <c r="Q313" cm="1">
        <f t="array" ref="Q313">INDEX(DataAll!$AX$2:$AX$556,MATCH(LOWER(Data!A313),LOWER(DataAll!$AW$2:$AW$556),0))</f>
        <v>25.7</v>
      </c>
      <c r="R313" cm="1">
        <f t="array" ref="R313">INDEX('Longitude and Latitude'!$B$2:$B$579,MATCH(LOWER(Data!A313),LOWER('Longitude and Latitude'!$A$2:$A$579),0))</f>
        <v>-9.6548326000000007</v>
      </c>
      <c r="S313" cm="1">
        <f t="array" ref="S313">INDEX('Longitude and Latitude'!$C$2:$C$579,MATCH(LOWER(Data!A313),LOWER('Longitude and Latitude'!$A$2:$A$579),0))</f>
        <v>119.39471349999999</v>
      </c>
      <c r="T313" t="b">
        <f>IF(EXACT(A313, UPPER(A313)), TRUE, FALSE)</f>
        <v>0</v>
      </c>
    </row>
    <row r="314" spans="1:20" x14ac:dyDescent="0.35">
      <c r="A314" t="s">
        <v>313</v>
      </c>
      <c r="B314">
        <v>96.07</v>
      </c>
      <c r="C314" cm="1">
        <f t="array" ref="C314">INDEX(DataAll!$E$2:$E$555,MATCH(LOWER(Data!A314),LOWER(DataAll!$D$2:$D$555),0))</f>
        <v>65</v>
      </c>
      <c r="D314" cm="1">
        <f t="array" ref="D314">INDEX(DataAll!$H$2:$H$579,MATCH(LOWER(Data!A314),LOWER(DataAll!$G$2:$G$555),0))</f>
        <v>0.44700000000000001</v>
      </c>
      <c r="E314" cm="1">
        <f t="array" ref="E314">INDEX(DataAll!$K$2:$K$579,MATCH(LOWER(Data!A314),LOWER(DataAll!$J$2:$J$555),0))</f>
        <v>10</v>
      </c>
      <c r="F314" cm="1">
        <f t="array" ref="F314">INDEX(DataAll!$N$2:$N$555,MATCH(LOWER(Data!A314),LOWER(DataAll!$M$2:$M$555),0))</f>
        <v>56.78</v>
      </c>
      <c r="G314" cm="1">
        <f t="array" ref="G314">INDEX(DataAll!$Q$2:$Q$555,MATCH(LOWER(Data!A314),LOWER(DataAll!$P$2:$P$555),0))</f>
        <v>9.8699999999999992</v>
      </c>
      <c r="H314" cm="1">
        <f t="array" ref="H314">INDEX(DataAll!$T$2:$T$555,MATCH(LOWER(Data!A314),LOWER(DataAll!$S$2:$S$555),0))</f>
        <v>0.27200000000000002</v>
      </c>
      <c r="I314" cm="1">
        <f t="array" ref="I314">INDEX(DataAll!$W$2:$W$555,MATCH(LOWER(Data!A314),LOWER(DataAll!$V$2:$V$555),0))</f>
        <v>43.87</v>
      </c>
      <c r="J314" cm="1">
        <f t="array" ref="J314">INDEX(DataAll!$Z$2:$Z$555,MATCH(LOWER(Data!A314),LOWER(DataAll!$Y$2:$Y$555),0))</f>
        <v>2.86</v>
      </c>
      <c r="K314" cm="1">
        <f t="array" ref="K314">INDEX(DataAll!$AM$2:$AM$555,MATCH(LOWER(Data!A314),LOWER(DataAll!$AL$2:$AL$555),0))</f>
        <v>28.08</v>
      </c>
      <c r="L314" cm="1">
        <f t="array" ref="L314">INDEX(DataAll!$AJ$2:$AJ$555,MATCH(LOWER(Data!A314),LOWER(DataAll!$AI$2:$AI$555),0))</f>
        <v>30.58</v>
      </c>
      <c r="M314" cm="1">
        <f t="array" ref="M314">INDEX(DataAll!$AP$2:$AP$555,MATCH(LOWER(Data!A314),LOWER(DataAll!$AO$2:$AO$555),0))</f>
        <v>63.92</v>
      </c>
      <c r="N314" cm="1">
        <f t="array" ref="N314">INDEX(DataAll!$AQ$2:$AQ$555,MATCH(LOWER(Data!A314),LOWER(DataAll!$AO$2:$AO$555),0))</f>
        <v>67.8</v>
      </c>
      <c r="O314" cm="1">
        <f t="array" ref="O314">INDEX(DataAll!$AT$2:$AT$555,MATCH(LOWER(Data!A314),LOWER(DataAll!$AS$2:$AS$555),0))</f>
        <v>7.65</v>
      </c>
      <c r="P314" cm="1">
        <f t="array" ref="P314">INDEX(DataAll!$AU$2:$AU$555,MATCH(LOWER(Data!A314),LOWER(DataAll!$AS$2:$AS$555),0))</f>
        <v>7.4</v>
      </c>
      <c r="Q314" cm="1">
        <f t="array" ref="Q314">INDEX(DataAll!$AX$2:$AX$556,MATCH(LOWER(Data!A314),LOWER(DataAll!$AW$2:$AW$556),0))</f>
        <v>30.84</v>
      </c>
      <c r="R314" cm="1">
        <f t="array" ref="R314">INDEX('Longitude and Latitude'!$B$2:$B$579,MATCH(LOWER(Data!A314),LOWER('Longitude and Latitude'!$A$2:$A$579),0))</f>
        <v>-9.9802102999999995</v>
      </c>
      <c r="S314" cm="1">
        <f t="array" ref="S314">INDEX('Longitude and Latitude'!$C$2:$C$579,MATCH(LOWER(Data!A314),LOWER('Longitude and Latitude'!$A$2:$A$579),0))</f>
        <v>120.3435506</v>
      </c>
      <c r="T314" t="b">
        <f>IF(EXACT(A314, UPPER(A314)), TRUE, FALSE)</f>
        <v>0</v>
      </c>
    </row>
    <row r="315" spans="1:20" x14ac:dyDescent="0.35">
      <c r="A315" t="s">
        <v>314</v>
      </c>
      <c r="B315">
        <v>88.59</v>
      </c>
      <c r="C315" cm="1">
        <f t="array" ref="C315">INDEX(DataAll!$E$2:$E$555,MATCH(LOWER(Data!A315),LOWER(DataAll!$D$2:$D$555),0))</f>
        <v>65.55</v>
      </c>
      <c r="D315" cm="1">
        <f t="array" ref="D315">INDEX(DataAll!$H$2:$H$579,MATCH(LOWER(Data!A315),LOWER(DataAll!$G$2:$G$555),0))</f>
        <v>0.46400000000000002</v>
      </c>
      <c r="E315" cm="1">
        <f t="array" ref="E315">INDEX(DataAll!$K$2:$K$579,MATCH(LOWER(Data!A315),LOWER(DataAll!$J$2:$J$555),0))</f>
        <v>12.5</v>
      </c>
      <c r="F315" cm="1">
        <f t="array" ref="F315">INDEX(DataAll!$N$2:$N$555,MATCH(LOWER(Data!A315),LOWER(DataAll!$M$2:$M$555),0))</f>
        <v>56.56</v>
      </c>
      <c r="G315" cm="1">
        <f t="array" ref="G315">INDEX(DataAll!$Q$2:$Q$555,MATCH(LOWER(Data!A315),LOWER(DataAll!$P$2:$P$555),0))</f>
        <v>17.14</v>
      </c>
      <c r="H315" cm="1">
        <f t="array" ref="H315">INDEX(DataAll!$T$2:$T$555,MATCH(LOWER(Data!A315),LOWER(DataAll!$S$2:$S$555),0))</f>
        <v>0.17599999999999999</v>
      </c>
      <c r="I315" cm="1">
        <f t="array" ref="I315">INDEX(DataAll!$W$2:$W$555,MATCH(LOWER(Data!A315),LOWER(DataAll!$V$2:$V$555),0))</f>
        <v>36.89</v>
      </c>
      <c r="J315" cm="1">
        <f t="array" ref="J315">INDEX(DataAll!$Z$2:$Z$555,MATCH(LOWER(Data!A315),LOWER(DataAll!$Y$2:$Y$555),0))</f>
        <v>2.91</v>
      </c>
      <c r="K315" cm="1">
        <f t="array" ref="K315">INDEX(DataAll!$AM$2:$AM$555,MATCH(LOWER(Data!A315),LOWER(DataAll!$AL$2:$AL$555),0))</f>
        <v>21.78</v>
      </c>
      <c r="L315" cm="1">
        <f t="array" ref="L315">INDEX(DataAll!$AJ$2:$AJ$555,MATCH(LOWER(Data!A315),LOWER(DataAll!$AI$2:$AI$555),0))</f>
        <v>44.15</v>
      </c>
      <c r="M315" cm="1">
        <f t="array" ref="M315">INDEX(DataAll!$AP$2:$AP$555,MATCH(LOWER(Data!A315),LOWER(DataAll!$AO$2:$AO$555),0))</f>
        <v>63.75</v>
      </c>
      <c r="N315" cm="1">
        <f t="array" ref="N315">INDEX(DataAll!$AQ$2:$AQ$555,MATCH(LOWER(Data!A315),LOWER(DataAll!$AO$2:$AO$555),0))</f>
        <v>67.62</v>
      </c>
      <c r="O315" cm="1">
        <f t="array" ref="O315">INDEX(DataAll!$AT$2:$AT$555,MATCH(LOWER(Data!A315),LOWER(DataAll!$AS$2:$AS$555),0))</f>
        <v>7.81</v>
      </c>
      <c r="P315" cm="1">
        <f t="array" ref="P315">INDEX(DataAll!$AU$2:$AU$555,MATCH(LOWER(Data!A315),LOWER(DataAll!$AS$2:$AS$555),0))</f>
        <v>7.27</v>
      </c>
      <c r="Q315" cm="1">
        <f t="array" ref="Q315">INDEX(DataAll!$AX$2:$AX$556,MATCH(LOWER(Data!A315),LOWER(DataAll!$AW$2:$AW$556),0))</f>
        <v>25.43</v>
      </c>
      <c r="R315" cm="1">
        <f t="array" ref="R315">INDEX('Longitude and Latitude'!$B$2:$B$579,MATCH(LOWER(Data!A315),LOWER('Longitude and Latitude'!$A$2:$A$579),0))</f>
        <v>-10.183333299999999</v>
      </c>
      <c r="S315" cm="1">
        <f t="array" ref="S315">INDEX('Longitude and Latitude'!$C$2:$C$579,MATCH(LOWER(Data!A315),LOWER('Longitude and Latitude'!$A$2:$A$579),0))</f>
        <v>123.58333330000001</v>
      </c>
      <c r="T315" t="b">
        <f>IF(EXACT(A315, UPPER(A315)), TRUE, FALSE)</f>
        <v>0</v>
      </c>
    </row>
    <row r="316" spans="1:20" x14ac:dyDescent="0.35">
      <c r="A316" t="s">
        <v>315</v>
      </c>
      <c r="B316">
        <v>95.56</v>
      </c>
      <c r="C316" cm="1">
        <f t="array" ref="C316">INDEX(DataAll!$E$2:$E$555,MATCH(LOWER(Data!A316),LOWER(DataAll!$D$2:$D$555),0))</f>
        <v>59.72</v>
      </c>
      <c r="D316" cm="1">
        <f t="array" ref="D316">INDEX(DataAll!$H$2:$H$579,MATCH(LOWER(Data!A316),LOWER(DataAll!$G$2:$G$555),0))</f>
        <v>0.47499999999999998</v>
      </c>
      <c r="E316" cm="1">
        <f t="array" ref="E316">INDEX(DataAll!$K$2:$K$579,MATCH(LOWER(Data!A316),LOWER(DataAll!$J$2:$J$555),0))</f>
        <v>12.5</v>
      </c>
      <c r="F316" cm="1">
        <f t="array" ref="F316">INDEX(DataAll!$N$2:$N$555,MATCH(LOWER(Data!A316),LOWER(DataAll!$M$2:$M$555),0))</f>
        <v>43.63</v>
      </c>
      <c r="G316" cm="1">
        <f t="array" ref="G316">INDEX(DataAll!$Q$2:$Q$555,MATCH(LOWER(Data!A316),LOWER(DataAll!$P$2:$P$555),0))</f>
        <v>15.45</v>
      </c>
      <c r="H316" cm="1">
        <f t="array" ref="H316">INDEX(DataAll!$T$2:$T$555,MATCH(LOWER(Data!A316),LOWER(DataAll!$S$2:$S$555),0))</f>
        <v>0.20799999999999999</v>
      </c>
      <c r="I316" cm="1">
        <f t="array" ref="I316">INDEX(DataAll!$W$2:$W$555,MATCH(LOWER(Data!A316),LOWER(DataAll!$V$2:$V$555),0))</f>
        <v>28.75</v>
      </c>
      <c r="J316" cm="1">
        <f t="array" ref="J316">INDEX(DataAll!$Z$2:$Z$555,MATCH(LOWER(Data!A316),LOWER(DataAll!$Y$2:$Y$555),0))</f>
        <v>3.02</v>
      </c>
      <c r="K316" cm="1">
        <f t="array" ref="K316">INDEX(DataAll!$AM$2:$AM$555,MATCH(LOWER(Data!A316),LOWER(DataAll!$AL$2:$AL$555),0))</f>
        <v>25.18</v>
      </c>
      <c r="L316" cm="1">
        <f t="array" ref="L316">INDEX(DataAll!$AJ$2:$AJ$555,MATCH(LOWER(Data!A316),LOWER(DataAll!$AI$2:$AI$555),0))</f>
        <v>31.89</v>
      </c>
      <c r="M316" cm="1">
        <f t="array" ref="M316">INDEX(DataAll!$AP$2:$AP$555,MATCH(LOWER(Data!A316),LOWER(DataAll!$AO$2:$AO$555),0))</f>
        <v>64.97</v>
      </c>
      <c r="N316" cm="1">
        <f t="array" ref="N316">INDEX(DataAll!$AQ$2:$AQ$555,MATCH(LOWER(Data!A316),LOWER(DataAll!$AO$2:$AO$555),0))</f>
        <v>68.900000000000006</v>
      </c>
      <c r="O316" cm="1">
        <f t="array" ref="O316">INDEX(DataAll!$AT$2:$AT$555,MATCH(LOWER(Data!A316),LOWER(DataAll!$AS$2:$AS$555),0))</f>
        <v>7.14</v>
      </c>
      <c r="P316" cm="1">
        <f t="array" ref="P316">INDEX(DataAll!$AU$2:$AU$555,MATCH(LOWER(Data!A316),LOWER(DataAll!$AS$2:$AS$555),0))</f>
        <v>6.64</v>
      </c>
      <c r="Q316" cm="1">
        <f t="array" ref="Q316">INDEX(DataAll!$AX$2:$AX$556,MATCH(LOWER(Data!A316),LOWER(DataAll!$AW$2:$AW$556),0))</f>
        <v>23.47</v>
      </c>
      <c r="R316" cm="1">
        <f t="array" ref="R316">INDEX('Longitude and Latitude'!$B$2:$B$579,MATCH(LOWER(Data!A316),LOWER('Longitude and Latitude'!$A$2:$A$579),0))</f>
        <v>-9.7762816000000008</v>
      </c>
      <c r="S316" cm="1">
        <f t="array" ref="S316">INDEX('Longitude and Latitude'!$C$2:$C$579,MATCH(LOWER(Data!A316),LOWER('Longitude and Latitude'!$A$2:$A$579),0))</f>
        <v>124.4198243</v>
      </c>
      <c r="T316" t="b">
        <f>IF(EXACT(A316, UPPER(A316)), TRUE, FALSE)</f>
        <v>0</v>
      </c>
    </row>
    <row r="317" spans="1:20" x14ac:dyDescent="0.35">
      <c r="A317" t="s">
        <v>316</v>
      </c>
      <c r="B317">
        <v>95.8</v>
      </c>
      <c r="C317" cm="1">
        <f t="array" ref="C317">INDEX(DataAll!$E$2:$E$555,MATCH(LOWER(Data!A317),LOWER(DataAll!$D$2:$D$555),0))</f>
        <v>56.91</v>
      </c>
      <c r="D317" cm="1">
        <f t="array" ref="D317">INDEX(DataAll!$H$2:$H$579,MATCH(LOWER(Data!A317),LOWER(DataAll!$G$2:$G$555),0))</f>
        <v>0.51900000000000002</v>
      </c>
      <c r="E317" cm="1">
        <f t="array" ref="E317">INDEX(DataAll!$K$2:$K$579,MATCH(LOWER(Data!A317),LOWER(DataAll!$J$2:$J$555),0))</f>
        <v>3.33</v>
      </c>
      <c r="F317" cm="1">
        <f t="array" ref="F317">INDEX(DataAll!$N$2:$N$555,MATCH(LOWER(Data!A317),LOWER(DataAll!$M$2:$M$555),0))</f>
        <v>51.97</v>
      </c>
      <c r="G317" cm="1">
        <f t="array" ref="G317">INDEX(DataAll!$Q$2:$Q$555,MATCH(LOWER(Data!A317),LOWER(DataAll!$P$2:$P$555),0))</f>
        <v>17.84</v>
      </c>
      <c r="H317" cm="1">
        <f t="array" ref="H317">INDEX(DataAll!$T$2:$T$555,MATCH(LOWER(Data!A317),LOWER(DataAll!$S$2:$S$555),0))</f>
        <v>0.246</v>
      </c>
      <c r="I317" cm="1">
        <f t="array" ref="I317">INDEX(DataAll!$W$2:$W$555,MATCH(LOWER(Data!A317),LOWER(DataAll!$V$2:$V$555),0))</f>
        <v>39.99</v>
      </c>
      <c r="J317" cm="1">
        <f t="array" ref="J317">INDEX(DataAll!$Z$2:$Z$555,MATCH(LOWER(Data!A317),LOWER(DataAll!$Y$2:$Y$555),0))</f>
        <v>2.83</v>
      </c>
      <c r="K317" cm="1">
        <f t="array" ref="K317">INDEX(DataAll!$AM$2:$AM$555,MATCH(LOWER(Data!A317),LOWER(DataAll!$AL$2:$AL$555),0))</f>
        <v>21.85</v>
      </c>
      <c r="L317" cm="1">
        <f t="array" ref="L317">INDEX(DataAll!$AJ$2:$AJ$555,MATCH(LOWER(Data!A317),LOWER(DataAll!$AI$2:$AI$555),0))</f>
        <v>34.26</v>
      </c>
      <c r="M317" cm="1">
        <f t="array" ref="M317">INDEX(DataAll!$AP$2:$AP$555,MATCH(LOWER(Data!A317),LOWER(DataAll!$AO$2:$AO$555),0))</f>
        <v>65.67</v>
      </c>
      <c r="N317" cm="1">
        <f t="array" ref="N317">INDEX(DataAll!$AQ$2:$AQ$555,MATCH(LOWER(Data!A317),LOWER(DataAll!$AO$2:$AO$555),0))</f>
        <v>69.64</v>
      </c>
      <c r="O317" cm="1">
        <f t="array" ref="O317">INDEX(DataAll!$AT$2:$AT$555,MATCH(LOWER(Data!A317),LOWER(DataAll!$AS$2:$AS$555),0))</f>
        <v>8.32</v>
      </c>
      <c r="P317" cm="1">
        <f t="array" ref="P317">INDEX(DataAll!$AU$2:$AU$555,MATCH(LOWER(Data!A317),LOWER(DataAll!$AS$2:$AS$555),0))</f>
        <v>8</v>
      </c>
      <c r="Q317" cm="1">
        <f t="array" ref="Q317">INDEX(DataAll!$AX$2:$AX$556,MATCH(LOWER(Data!A317),LOWER(DataAll!$AW$2:$AW$556),0))</f>
        <v>28.99</v>
      </c>
      <c r="R317" cm="1">
        <f t="array" ref="R317">INDEX('Longitude and Latitude'!$B$2:$B$579,MATCH(LOWER(Data!A317),LOWER('Longitude and Latitude'!$A$2:$A$579),0))</f>
        <v>-9.4522647000000006</v>
      </c>
      <c r="S317" cm="1">
        <f t="array" ref="S317">INDEX('Longitude and Latitude'!$C$2:$C$579,MATCH(LOWER(Data!A317),LOWER('Longitude and Latitude'!$A$2:$A$579),0))</f>
        <v>124.597132</v>
      </c>
      <c r="T317" t="b">
        <f>IF(EXACT(A317, UPPER(A317)), TRUE, FALSE)</f>
        <v>0</v>
      </c>
    </row>
    <row r="318" spans="1:20" x14ac:dyDescent="0.35">
      <c r="A318" t="s">
        <v>317</v>
      </c>
      <c r="B318">
        <v>97.44</v>
      </c>
      <c r="C318" cm="1">
        <f t="array" ref="C318">INDEX(DataAll!$E$2:$E$555,MATCH(LOWER(Data!A318),LOWER(DataAll!$D$2:$D$555),0))</f>
        <v>73.98</v>
      </c>
      <c r="D318" cm="1">
        <f t="array" ref="D318">INDEX(DataAll!$H$2:$H$579,MATCH(LOWER(Data!A318),LOWER(DataAll!$G$2:$G$555),0))</f>
        <v>0.28999999999999998</v>
      </c>
      <c r="E318" cm="1">
        <f t="array" ref="E318">INDEX(DataAll!$K$2:$K$579,MATCH(LOWER(Data!A318),LOWER(DataAll!$J$2:$J$555),0))</f>
        <v>23.33</v>
      </c>
      <c r="F318" cm="1">
        <f t="array" ref="F318">INDEX(DataAll!$N$2:$N$555,MATCH(LOWER(Data!A318),LOWER(DataAll!$M$2:$M$555),0))</f>
        <v>61.12</v>
      </c>
      <c r="G318" cm="1">
        <f t="array" ref="G318">INDEX(DataAll!$Q$2:$Q$555,MATCH(LOWER(Data!A318),LOWER(DataAll!$P$2:$P$555),0))</f>
        <v>16.05</v>
      </c>
      <c r="H318" cm="1">
        <f t="array" ref="H318">INDEX(DataAll!$T$2:$T$555,MATCH(LOWER(Data!A318),LOWER(DataAll!$S$2:$S$555),0))</f>
        <v>0.22900000000000001</v>
      </c>
      <c r="I318" cm="1">
        <f t="array" ref="I318">INDEX(DataAll!$W$2:$W$555,MATCH(LOWER(Data!A318),LOWER(DataAll!$V$2:$V$555),0))</f>
        <v>39.130000000000003</v>
      </c>
      <c r="J318" cm="1">
        <f t="array" ref="J318">INDEX(DataAll!$Z$2:$Z$555,MATCH(LOWER(Data!A318),LOWER(DataAll!$Y$2:$Y$555),0))</f>
        <v>2.8</v>
      </c>
      <c r="K318" cm="1">
        <f t="array" ref="K318">INDEX(DataAll!$AM$2:$AM$555,MATCH(LOWER(Data!A318),LOWER(DataAll!$AL$2:$AL$555),0))</f>
        <v>14.3</v>
      </c>
      <c r="L318" cm="1">
        <f t="array" ref="L318">INDEX(DataAll!$AJ$2:$AJ$555,MATCH(LOWER(Data!A318),LOWER(DataAll!$AI$2:$AI$555),0))</f>
        <v>22.76</v>
      </c>
      <c r="M318" cm="1">
        <f t="array" ref="M318">INDEX(DataAll!$AP$2:$AP$555,MATCH(LOWER(Data!A318),LOWER(DataAll!$AO$2:$AO$555),0))</f>
        <v>63.74</v>
      </c>
      <c r="N318" cm="1">
        <f t="array" ref="N318">INDEX(DataAll!$AQ$2:$AQ$555,MATCH(LOWER(Data!A318),LOWER(DataAll!$AO$2:$AO$555),0))</f>
        <v>67.61</v>
      </c>
      <c r="O318" cm="1">
        <f t="array" ref="O318">INDEX(DataAll!$AT$2:$AT$555,MATCH(LOWER(Data!A318),LOWER(DataAll!$AS$2:$AS$555),0))</f>
        <v>7.51</v>
      </c>
      <c r="P318" cm="1">
        <f t="array" ref="P318">INDEX(DataAll!$AU$2:$AU$555,MATCH(LOWER(Data!A318),LOWER(DataAll!$AS$2:$AS$555),0))</f>
        <v>7.36</v>
      </c>
      <c r="Q318" cm="1">
        <f t="array" ref="Q318">INDEX(DataAll!$AX$2:$AX$556,MATCH(LOWER(Data!A318),LOWER(DataAll!$AW$2:$AW$556),0))</f>
        <v>25.83</v>
      </c>
      <c r="R318" cm="1">
        <f t="array" ref="R318">INDEX('Longitude and Latitude'!$B$2:$B$579,MATCH(LOWER(Data!A318),LOWER('Longitude and Latitude'!$A$2:$A$579),0))</f>
        <v>-9.4125796000000008</v>
      </c>
      <c r="S318" cm="1">
        <f t="array" ref="S318">INDEX('Longitude and Latitude'!$C$2:$C$579,MATCH(LOWER(Data!A318),LOWER('Longitude and Latitude'!$A$2:$A$579),0))</f>
        <v>124.95066250000001</v>
      </c>
      <c r="T318" t="b">
        <f>IF(EXACT(A318, UPPER(A318)), TRUE, FALSE)</f>
        <v>0</v>
      </c>
    </row>
    <row r="319" spans="1:20" x14ac:dyDescent="0.35">
      <c r="A319" t="s">
        <v>318</v>
      </c>
      <c r="B319">
        <v>92.52</v>
      </c>
      <c r="C319" cm="1">
        <f t="array" ref="C319">INDEX(DataAll!$E$2:$E$555,MATCH(LOWER(Data!A319),LOWER(DataAll!$D$2:$D$555),0))</f>
        <v>61.5</v>
      </c>
      <c r="D319" cm="1">
        <f t="array" ref="D319">INDEX(DataAll!$H$2:$H$579,MATCH(LOWER(Data!A319),LOWER(DataAll!$G$2:$G$555),0))</f>
        <v>0.54300000000000004</v>
      </c>
      <c r="E319" cm="1">
        <f t="array" ref="E319">INDEX(DataAll!$K$2:$K$579,MATCH(LOWER(Data!A319),LOWER(DataAll!$J$2:$J$555),0))</f>
        <v>6.67</v>
      </c>
      <c r="F319" cm="1">
        <f t="array" ref="F319">INDEX(DataAll!$N$2:$N$555,MATCH(LOWER(Data!A319),LOWER(DataAll!$M$2:$M$555),0))</f>
        <v>47.02</v>
      </c>
      <c r="G319" cm="1">
        <f t="array" ref="G319">INDEX(DataAll!$Q$2:$Q$555,MATCH(LOWER(Data!A319),LOWER(DataAll!$P$2:$P$555),0))</f>
        <v>16.12</v>
      </c>
      <c r="H319" cm="1">
        <f t="array" ref="H319">INDEX(DataAll!$T$2:$T$555,MATCH(LOWER(Data!A319),LOWER(DataAll!$S$2:$S$555),0))</f>
        <v>0.20300000000000001</v>
      </c>
      <c r="I319" cm="1">
        <f t="array" ref="I319">INDEX(DataAll!$W$2:$W$555,MATCH(LOWER(Data!A319),LOWER(DataAll!$V$2:$V$555),0))</f>
        <v>42.84</v>
      </c>
      <c r="J319" cm="1">
        <f t="array" ref="J319">INDEX(DataAll!$Z$2:$Z$555,MATCH(LOWER(Data!A319),LOWER(DataAll!$Y$2:$Y$555),0))</f>
        <v>2.89</v>
      </c>
      <c r="K319" cm="1">
        <f t="array" ref="K319">INDEX(DataAll!$AM$2:$AM$555,MATCH(LOWER(Data!A319),LOWER(DataAll!$AL$2:$AL$555),0))</f>
        <v>19.97</v>
      </c>
      <c r="L319" cm="1">
        <f t="array" ref="L319">INDEX(DataAll!$AJ$2:$AJ$555,MATCH(LOWER(Data!A319),LOWER(DataAll!$AI$2:$AI$555),0))</f>
        <v>52.17</v>
      </c>
      <c r="M319" cm="1">
        <f t="array" ref="M319">INDEX(DataAll!$AP$2:$AP$555,MATCH(LOWER(Data!A319),LOWER(DataAll!$AO$2:$AO$555),0))</f>
        <v>60.52</v>
      </c>
      <c r="N319" cm="1">
        <f t="array" ref="N319">INDEX(DataAll!$AQ$2:$AQ$555,MATCH(LOWER(Data!A319),LOWER(DataAll!$AO$2:$AO$555),0))</f>
        <v>64.27</v>
      </c>
      <c r="O319" cm="1">
        <f t="array" ref="O319">INDEX(DataAll!$AT$2:$AT$555,MATCH(LOWER(Data!A319),LOWER(DataAll!$AS$2:$AS$555),0))</f>
        <v>8.92</v>
      </c>
      <c r="P319" cm="1">
        <f t="array" ref="P319">INDEX(DataAll!$AU$2:$AU$555,MATCH(LOWER(Data!A319),LOWER(DataAll!$AS$2:$AS$555),0))</f>
        <v>8.0399999999999991</v>
      </c>
      <c r="Q319" cm="1">
        <f t="array" ref="Q319">INDEX(DataAll!$AX$2:$AX$556,MATCH(LOWER(Data!A319),LOWER(DataAll!$AW$2:$AW$556),0))</f>
        <v>26.53</v>
      </c>
      <c r="R319" cm="1">
        <f t="array" ref="R319">INDEX('Longitude and Latitude'!$B$2:$B$579,MATCH(LOWER(Data!A319),LOWER('Longitude and Latitude'!$A$2:$A$579),0))</f>
        <v>-8.2754027000000008</v>
      </c>
      <c r="S319" cm="1">
        <f t="array" ref="S319">INDEX('Longitude and Latitude'!$C$2:$C$579,MATCH(LOWER(Data!A319),LOWER('Longitude and Latitude'!$A$2:$A$579),0))</f>
        <v>124.7298765</v>
      </c>
      <c r="T319" t="b">
        <f>IF(EXACT(A319, UPPER(A319)), TRUE, FALSE)</f>
        <v>0</v>
      </c>
    </row>
    <row r="320" spans="1:20" x14ac:dyDescent="0.35">
      <c r="A320" t="s">
        <v>319</v>
      </c>
      <c r="B320">
        <v>91.61</v>
      </c>
      <c r="C320" cm="1">
        <f t="array" ref="C320">INDEX(DataAll!$E$2:$E$555,MATCH(LOWER(Data!A320),LOWER(DataAll!$D$2:$D$555),0))</f>
        <v>53.89</v>
      </c>
      <c r="D320" cm="1">
        <f t="array" ref="D320">INDEX(DataAll!$H$2:$H$579,MATCH(LOWER(Data!A320),LOWER(DataAll!$G$2:$G$555),0))</f>
        <v>0.77800000000000002</v>
      </c>
      <c r="E320" t="str" cm="1">
        <f t="array" ref="E320">INDEX(DataAll!$K$2:$K$579,MATCH(LOWER(Data!A320),LOWER(DataAll!$J$2:$J$555),0))</f>
        <v>-</v>
      </c>
      <c r="F320" cm="1">
        <f t="array" ref="F320">INDEX(DataAll!$N$2:$N$555,MATCH(LOWER(Data!A320),LOWER(DataAll!$M$2:$M$555),0))</f>
        <v>47.51</v>
      </c>
      <c r="G320" cm="1">
        <f t="array" ref="G320">INDEX(DataAll!$Q$2:$Q$555,MATCH(LOWER(Data!A320),LOWER(DataAll!$P$2:$P$555),0))</f>
        <v>15.85</v>
      </c>
      <c r="H320" cm="1">
        <f t="array" ref="H320">INDEX(DataAll!$T$2:$T$555,MATCH(LOWER(Data!A320),LOWER(DataAll!$S$2:$S$555),0))</f>
        <v>0.182</v>
      </c>
      <c r="I320" cm="1">
        <f t="array" ref="I320">INDEX(DataAll!$W$2:$W$555,MATCH(LOWER(Data!A320),LOWER(DataAll!$V$2:$V$555),0))</f>
        <v>46.76</v>
      </c>
      <c r="J320" cm="1">
        <f t="array" ref="J320">INDEX(DataAll!$Z$2:$Z$555,MATCH(LOWER(Data!A320),LOWER(DataAll!$Y$2:$Y$555),0))</f>
        <v>2.76</v>
      </c>
      <c r="K320" cm="1">
        <f t="array" ref="K320">INDEX(DataAll!$AM$2:$AM$555,MATCH(LOWER(Data!A320),LOWER(DataAll!$AL$2:$AL$555),0))</f>
        <v>24.78</v>
      </c>
      <c r="L320" cm="1">
        <f t="array" ref="L320">INDEX(DataAll!$AJ$2:$AJ$555,MATCH(LOWER(Data!A320),LOWER(DataAll!$AI$2:$AI$555),0))</f>
        <v>24.54</v>
      </c>
      <c r="M320" cm="1">
        <f t="array" ref="M320">INDEX(DataAll!$AP$2:$AP$555,MATCH(LOWER(Data!A320),LOWER(DataAll!$AO$2:$AO$555),0))</f>
        <v>65.930000000000007</v>
      </c>
      <c r="N320" cm="1">
        <f t="array" ref="N320">INDEX(DataAll!$AQ$2:$AQ$555,MATCH(LOWER(Data!A320),LOWER(DataAll!$AO$2:$AO$555),0))</f>
        <v>69.91</v>
      </c>
      <c r="O320" cm="1">
        <f t="array" ref="O320">INDEX(DataAll!$AT$2:$AT$555,MATCH(LOWER(Data!A320),LOWER(DataAll!$AS$2:$AS$555),0))</f>
        <v>9.11</v>
      </c>
      <c r="P320" cm="1">
        <f t="array" ref="P320">INDEX(DataAll!$AU$2:$AU$555,MATCH(LOWER(Data!A320),LOWER(DataAll!$AS$2:$AS$555),0))</f>
        <v>7.61</v>
      </c>
      <c r="Q320" cm="1">
        <f t="array" ref="Q320">INDEX(DataAll!$AX$2:$AX$556,MATCH(LOWER(Data!A320),LOWER(DataAll!$AW$2:$AW$556),0))</f>
        <v>26</v>
      </c>
      <c r="R320" cm="1">
        <f t="array" ref="R320">INDEX('Longitude and Latitude'!$B$2:$B$579,MATCH(LOWER(Data!A320),LOWER('Longitude and Latitude'!$A$2:$A$579),0))</f>
        <v>-8.4719075000000004</v>
      </c>
      <c r="S320" cm="1">
        <f t="array" ref="S320">INDEX('Longitude and Latitude'!$C$2:$C$579,MATCH(LOWER(Data!A320),LOWER('Longitude and Latitude'!$A$2:$A$579),0))</f>
        <v>123.4831906</v>
      </c>
      <c r="T320" t="b">
        <f>IF(EXACT(A320, UPPER(A320)), TRUE, FALSE)</f>
        <v>0</v>
      </c>
    </row>
    <row r="321" spans="1:20" x14ac:dyDescent="0.35">
      <c r="A321" t="s">
        <v>320</v>
      </c>
      <c r="B321">
        <v>91.97</v>
      </c>
      <c r="C321" cm="1">
        <f t="array" ref="C321">INDEX(DataAll!$E$2:$E$555,MATCH(LOWER(Data!A321),LOWER(DataAll!$D$2:$D$555),0))</f>
        <v>58.26</v>
      </c>
      <c r="D321" cm="1">
        <f t="array" ref="D321">INDEX(DataAll!$H$2:$H$579,MATCH(LOWER(Data!A321),LOWER(DataAll!$G$2:$G$555),0))</f>
        <v>0.44800000000000001</v>
      </c>
      <c r="E321" cm="1">
        <f t="array" ref="E321">INDEX(DataAll!$K$2:$K$579,MATCH(LOWER(Data!A321),LOWER(DataAll!$J$2:$J$555),0))</f>
        <v>3.33</v>
      </c>
      <c r="F321" cm="1">
        <f t="array" ref="F321">INDEX(DataAll!$N$2:$N$555,MATCH(LOWER(Data!A321),LOWER(DataAll!$M$2:$M$555),0))</f>
        <v>54.91</v>
      </c>
      <c r="G321" cm="1">
        <f t="array" ref="G321">INDEX(DataAll!$Q$2:$Q$555,MATCH(LOWER(Data!A321),LOWER(DataAll!$P$2:$P$555),0))</f>
        <v>19.53</v>
      </c>
      <c r="H321" cm="1">
        <f t="array" ref="H321">INDEX(DataAll!$T$2:$T$555,MATCH(LOWER(Data!A321),LOWER(DataAll!$S$2:$S$555),0))</f>
        <v>0.126</v>
      </c>
      <c r="I321" cm="1">
        <f t="array" ref="I321">INDEX(DataAll!$W$2:$W$555,MATCH(LOWER(Data!A321),LOWER(DataAll!$V$2:$V$555),0))</f>
        <v>43.61</v>
      </c>
      <c r="J321" cm="1">
        <f t="array" ref="J321">INDEX(DataAll!$Z$2:$Z$555,MATCH(LOWER(Data!A321),LOWER(DataAll!$Y$2:$Y$555),0))</f>
        <v>2.58</v>
      </c>
      <c r="K321" cm="1">
        <f t="array" ref="K321">INDEX(DataAll!$AM$2:$AM$555,MATCH(LOWER(Data!A321),LOWER(DataAll!$AL$2:$AL$555),0))</f>
        <v>11.77</v>
      </c>
      <c r="L321" cm="1">
        <f t="array" ref="L321">INDEX(DataAll!$AJ$2:$AJ$555,MATCH(LOWER(Data!A321),LOWER(DataAll!$AI$2:$AI$555),0))</f>
        <v>32.6</v>
      </c>
      <c r="M321" cm="1">
        <f t="array" ref="M321">INDEX(DataAll!$AP$2:$AP$555,MATCH(LOWER(Data!A321),LOWER(DataAll!$AO$2:$AO$555),0))</f>
        <v>64.069999999999993</v>
      </c>
      <c r="N321" cm="1">
        <f t="array" ref="N321">INDEX(DataAll!$AQ$2:$AQ$555,MATCH(LOWER(Data!A321),LOWER(DataAll!$AO$2:$AO$555),0))</f>
        <v>67.959999999999994</v>
      </c>
      <c r="O321" cm="1">
        <f t="array" ref="O321">INDEX(DataAll!$AT$2:$AT$555,MATCH(LOWER(Data!A321),LOWER(DataAll!$AS$2:$AS$555),0))</f>
        <v>8.66</v>
      </c>
      <c r="P321" cm="1">
        <f t="array" ref="P321">INDEX(DataAll!$AU$2:$AU$555,MATCH(LOWER(Data!A321),LOWER(DataAll!$AS$2:$AS$555),0))</f>
        <v>7.51</v>
      </c>
      <c r="Q321" cm="1">
        <f t="array" ref="Q321">INDEX(DataAll!$AX$2:$AX$556,MATCH(LOWER(Data!A321),LOWER(DataAll!$AW$2:$AW$556),0))</f>
        <v>26.4</v>
      </c>
      <c r="R321" cm="1">
        <f t="array" ref="R321">INDEX('Longitude and Latitude'!$B$2:$B$579,MATCH(LOWER(Data!A321),LOWER('Longitude and Latitude'!$A$2:$A$579),0))</f>
        <v>-8.3130942000000001</v>
      </c>
      <c r="S321" cm="1">
        <f t="array" ref="S321">INDEX('Longitude and Latitude'!$C$2:$C$579,MATCH(LOWER(Data!A321),LOWER('Longitude and Latitude'!$A$2:$A$579),0))</f>
        <v>122.9663018</v>
      </c>
      <c r="T321" t="b">
        <f>IF(EXACT(A321, UPPER(A321)), TRUE, FALSE)</f>
        <v>0</v>
      </c>
    </row>
    <row r="322" spans="1:20" x14ac:dyDescent="0.35">
      <c r="A322" t="s">
        <v>321</v>
      </c>
      <c r="B322">
        <v>89.38</v>
      </c>
      <c r="C322" cm="1">
        <f t="array" ref="C322">INDEX(DataAll!$E$2:$E$555,MATCH(LOWER(Data!A322),LOWER(DataAll!$D$2:$D$555),0))</f>
        <v>65.099999999999994</v>
      </c>
      <c r="D322" cm="1">
        <f t="array" ref="D322">INDEX(DataAll!$H$2:$H$579,MATCH(LOWER(Data!A322),LOWER(DataAll!$G$2:$G$555),0))</f>
        <v>0.29799999999999999</v>
      </c>
      <c r="E322" cm="1">
        <f t="array" ref="E322">INDEX(DataAll!$K$2:$K$579,MATCH(LOWER(Data!A322),LOWER(DataAll!$J$2:$J$555),0))</f>
        <v>14.29</v>
      </c>
      <c r="F322" cm="1">
        <f t="array" ref="F322">INDEX(DataAll!$N$2:$N$555,MATCH(LOWER(Data!A322),LOWER(DataAll!$M$2:$M$555),0))</f>
        <v>52.79</v>
      </c>
      <c r="G322" cm="1">
        <f t="array" ref="G322">INDEX(DataAll!$Q$2:$Q$555,MATCH(LOWER(Data!A322),LOWER(DataAll!$P$2:$P$555),0))</f>
        <v>17.61</v>
      </c>
      <c r="H322" cm="1">
        <f t="array" ref="H322">INDEX(DataAll!$T$2:$T$555,MATCH(LOWER(Data!A322),LOWER(DataAll!$S$2:$S$555),0))</f>
        <v>0.17799999999999999</v>
      </c>
      <c r="I322" cm="1">
        <f t="array" ref="I322">INDEX(DataAll!$W$2:$W$555,MATCH(LOWER(Data!A322),LOWER(DataAll!$V$2:$V$555),0))</f>
        <v>36.700000000000003</v>
      </c>
      <c r="J322" cm="1">
        <f t="array" ref="J322">INDEX(DataAll!$Z$2:$Z$555,MATCH(LOWER(Data!A322),LOWER(DataAll!$Y$2:$Y$555),0))</f>
        <v>2.2000000000000002</v>
      </c>
      <c r="K322" cm="1">
        <f t="array" ref="K322">INDEX(DataAll!$AM$2:$AM$555,MATCH(LOWER(Data!A322),LOWER(DataAll!$AL$2:$AL$555),0))</f>
        <v>12.56</v>
      </c>
      <c r="L322" cm="1">
        <f t="array" ref="L322">INDEX(DataAll!$AJ$2:$AJ$555,MATCH(LOWER(Data!A322),LOWER(DataAll!$AI$2:$AI$555),0))</f>
        <v>23.98</v>
      </c>
      <c r="M322" cm="1">
        <f t="array" ref="M322">INDEX(DataAll!$AP$2:$AP$555,MATCH(LOWER(Data!A322),LOWER(DataAll!$AO$2:$AO$555),0))</f>
        <v>66.349999999999994</v>
      </c>
      <c r="N322" cm="1">
        <f t="array" ref="N322">INDEX(DataAll!$AQ$2:$AQ$555,MATCH(LOWER(Data!A322),LOWER(DataAll!$AO$2:$AO$555),0))</f>
        <v>70.34</v>
      </c>
      <c r="O322" cm="1">
        <f t="array" ref="O322">INDEX(DataAll!$AT$2:$AT$555,MATCH(LOWER(Data!A322),LOWER(DataAll!$AS$2:$AS$555),0))</f>
        <v>7.31</v>
      </c>
      <c r="P322" cm="1">
        <f t="array" ref="P322">INDEX(DataAll!$AU$2:$AU$555,MATCH(LOWER(Data!A322),LOWER(DataAll!$AS$2:$AS$555),0))</f>
        <v>6.76</v>
      </c>
      <c r="Q322" cm="1">
        <f t="array" ref="Q322">INDEX(DataAll!$AX$2:$AX$556,MATCH(LOWER(Data!A322),LOWER(DataAll!$AW$2:$AW$556),0))</f>
        <v>25.17</v>
      </c>
      <c r="R322" cm="1">
        <f t="array" ref="R322">INDEX('Longitude and Latitude'!$B$2:$B$579,MATCH(LOWER(Data!A322),LOWER('Longitude and Latitude'!$A$2:$A$579),0))</f>
        <v>-8.6766175000000008</v>
      </c>
      <c r="S322" cm="1">
        <f t="array" ref="S322">INDEX('Longitude and Latitude'!$C$2:$C$579,MATCH(LOWER(Data!A322),LOWER('Longitude and Latitude'!$A$2:$A$579),0))</f>
        <v>122.12918430000001</v>
      </c>
      <c r="T322" t="b">
        <f>IF(EXACT(A322, UPPER(A322)), TRUE, FALSE)</f>
        <v>0</v>
      </c>
    </row>
    <row r="323" spans="1:20" x14ac:dyDescent="0.35">
      <c r="A323" t="s">
        <v>322</v>
      </c>
      <c r="B323">
        <v>96.17</v>
      </c>
      <c r="C323" cm="1">
        <f t="array" ref="C323">INDEX(DataAll!$E$2:$E$555,MATCH(LOWER(Data!A323),LOWER(DataAll!$D$2:$D$555),0))</f>
        <v>64.989999999999995</v>
      </c>
      <c r="D323" cm="1">
        <f t="array" ref="D323">INDEX(DataAll!$H$2:$H$579,MATCH(LOWER(Data!A323),LOWER(DataAll!$G$2:$G$555),0))</f>
        <v>0.252</v>
      </c>
      <c r="E323" cm="1">
        <f t="array" ref="E323">INDEX(DataAll!$K$2:$K$579,MATCH(LOWER(Data!A323),LOWER(DataAll!$J$2:$J$555),0))</f>
        <v>10</v>
      </c>
      <c r="F323" cm="1">
        <f t="array" ref="F323">INDEX(DataAll!$N$2:$N$555,MATCH(LOWER(Data!A323),LOWER(DataAll!$M$2:$M$555),0))</f>
        <v>61.91</v>
      </c>
      <c r="G323" cm="1">
        <f t="array" ref="G323">INDEX(DataAll!$Q$2:$Q$555,MATCH(LOWER(Data!A323),LOWER(DataAll!$P$2:$P$555),0))</f>
        <v>13.1</v>
      </c>
      <c r="H323" cm="1">
        <f t="array" ref="H323">INDEX(DataAll!$T$2:$T$555,MATCH(LOWER(Data!A323),LOWER(DataAll!$S$2:$S$555),0))</f>
        <v>0.13100000000000001</v>
      </c>
      <c r="I323" cm="1">
        <f t="array" ref="I323">INDEX(DataAll!$W$2:$W$555,MATCH(LOWER(Data!A323),LOWER(DataAll!$V$2:$V$555),0))</f>
        <v>51.23</v>
      </c>
      <c r="J323" cm="1">
        <f t="array" ref="J323">INDEX(DataAll!$Z$2:$Z$555,MATCH(LOWER(Data!A323),LOWER(DataAll!$Y$2:$Y$555),0))</f>
        <v>2.14</v>
      </c>
      <c r="K323" cm="1">
        <f t="array" ref="K323">INDEX(DataAll!$AM$2:$AM$555,MATCH(LOWER(Data!A323),LOWER(DataAll!$AL$2:$AL$555),0))</f>
        <v>22.86</v>
      </c>
      <c r="L323" cm="1">
        <f t="array" ref="L323">INDEX(DataAll!$AJ$2:$AJ$555,MATCH(LOWER(Data!A323),LOWER(DataAll!$AI$2:$AI$555),0))</f>
        <v>30.75</v>
      </c>
      <c r="M323" cm="1">
        <f t="array" ref="M323">INDEX(DataAll!$AP$2:$AP$555,MATCH(LOWER(Data!A323),LOWER(DataAll!$AO$2:$AO$555),0))</f>
        <v>64.22</v>
      </c>
      <c r="N323" cm="1">
        <f t="array" ref="N323">INDEX(DataAll!$AQ$2:$AQ$555,MATCH(LOWER(Data!A323),LOWER(DataAll!$AO$2:$AO$555),0))</f>
        <v>68.11</v>
      </c>
      <c r="O323" cm="1">
        <f t="array" ref="O323">INDEX(DataAll!$AT$2:$AT$555,MATCH(LOWER(Data!A323),LOWER(DataAll!$AS$2:$AS$555),0))</f>
        <v>8.61</v>
      </c>
      <c r="P323" cm="1">
        <f t="array" ref="P323">INDEX(DataAll!$AU$2:$AU$555,MATCH(LOWER(Data!A323),LOWER(DataAll!$AS$2:$AS$555),0))</f>
        <v>8.0299999999999994</v>
      </c>
      <c r="Q323" cm="1">
        <f t="array" ref="Q323">INDEX(DataAll!$AX$2:$AX$556,MATCH(LOWER(Data!A323),LOWER(DataAll!$AW$2:$AW$556),0))</f>
        <v>35.270000000000003</v>
      </c>
      <c r="R323" cm="1">
        <f t="array" ref="R323">INDEX('Longitude and Latitude'!$B$2:$B$579,MATCH(LOWER(Data!A323),LOWER('Longitude and Latitude'!$A$2:$A$579),0))</f>
        <v>-8.8540530000000004</v>
      </c>
      <c r="S323" cm="1">
        <f t="array" ref="S323">INDEX('Longitude and Latitude'!$C$2:$C$579,MATCH(LOWER(Data!A323),LOWER('Longitude and Latitude'!$A$2:$A$579),0))</f>
        <v>121.65419799999999</v>
      </c>
      <c r="T323" t="b">
        <f>IF(EXACT(A323, UPPER(A323)), TRUE, FALSE)</f>
        <v>0</v>
      </c>
    </row>
    <row r="324" spans="1:20" x14ac:dyDescent="0.35">
      <c r="A324" t="s">
        <v>323</v>
      </c>
      <c r="B324">
        <v>96.33</v>
      </c>
      <c r="C324" cm="1">
        <f t="array" ref="C324">INDEX(DataAll!$E$2:$E$555,MATCH(LOWER(Data!A324),LOWER(DataAll!$D$2:$D$555),0))</f>
        <v>55.41</v>
      </c>
      <c r="D324" cm="1">
        <f t="array" ref="D324">INDEX(DataAll!$H$2:$H$579,MATCH(LOWER(Data!A324),LOWER(DataAll!$G$2:$G$555),0))</f>
        <v>0.67300000000000004</v>
      </c>
      <c r="E324" t="str" cm="1">
        <f t="array" ref="E324">INDEX(DataAll!$K$2:$K$579,MATCH(LOWER(Data!A324),LOWER(DataAll!$J$2:$J$555),0))</f>
        <v>-</v>
      </c>
      <c r="F324" cm="1">
        <f t="array" ref="F324">INDEX(DataAll!$N$2:$N$555,MATCH(LOWER(Data!A324),LOWER(DataAll!$M$2:$M$555),0))</f>
        <v>53.82</v>
      </c>
      <c r="G324" cm="1">
        <f t="array" ref="G324">INDEX(DataAll!$Q$2:$Q$555,MATCH(LOWER(Data!A324),LOWER(DataAll!$P$2:$P$555),0))</f>
        <v>10.93</v>
      </c>
      <c r="H324" cm="1">
        <f t="array" ref="H324">INDEX(DataAll!$T$2:$T$555,MATCH(LOWER(Data!A324),LOWER(DataAll!$S$2:$S$555),0))</f>
        <v>0.10100000000000001</v>
      </c>
      <c r="I324" cm="1">
        <f t="array" ref="I324">INDEX(DataAll!$W$2:$W$555,MATCH(LOWER(Data!A324),LOWER(DataAll!$V$2:$V$555),0))</f>
        <v>48.56</v>
      </c>
      <c r="J324" cm="1">
        <f t="array" ref="J324">INDEX(DataAll!$Z$2:$Z$555,MATCH(LOWER(Data!A324),LOWER(DataAll!$Y$2:$Y$555),0))</f>
        <v>2.62</v>
      </c>
      <c r="K324" cm="1">
        <f t="array" ref="K324">INDEX(DataAll!$AM$2:$AM$555,MATCH(LOWER(Data!A324),LOWER(DataAll!$AL$2:$AL$555),0))</f>
        <v>12.06</v>
      </c>
      <c r="L324" cm="1">
        <f t="array" ref="L324">INDEX(DataAll!$AJ$2:$AJ$555,MATCH(LOWER(Data!A324),LOWER(DataAll!$AI$2:$AI$555),0))</f>
        <v>18.86</v>
      </c>
      <c r="M324" cm="1">
        <f t="array" ref="M324">INDEX(DataAll!$AP$2:$AP$555,MATCH(LOWER(Data!A324),LOWER(DataAll!$AO$2:$AO$555),0))</f>
        <v>66.77</v>
      </c>
      <c r="N324" cm="1">
        <f t="array" ref="N324">INDEX(DataAll!$AQ$2:$AQ$555,MATCH(LOWER(Data!A324),LOWER(DataAll!$AO$2:$AO$555),0))</f>
        <v>70.739999999999995</v>
      </c>
      <c r="O324" cm="1">
        <f t="array" ref="O324">INDEX(DataAll!$AT$2:$AT$555,MATCH(LOWER(Data!A324),LOWER(DataAll!$AS$2:$AS$555),0))</f>
        <v>8.82</v>
      </c>
      <c r="P324" cm="1">
        <f t="array" ref="P324">INDEX(DataAll!$AU$2:$AU$555,MATCH(LOWER(Data!A324),LOWER(DataAll!$AS$2:$AS$555),0))</f>
        <v>8.75</v>
      </c>
      <c r="Q324" cm="1">
        <f t="array" ref="Q324">INDEX(DataAll!$AX$2:$AX$556,MATCH(LOWER(Data!A324),LOWER(DataAll!$AW$2:$AW$556),0))</f>
        <v>33.32</v>
      </c>
      <c r="R324" cm="1">
        <f t="array" ref="R324">INDEX('Longitude and Latitude'!$B$2:$B$579,MATCH(LOWER(Data!A324),LOWER('Longitude and Latitude'!$A$2:$A$579),0))</f>
        <v>-8.7430424000000002</v>
      </c>
      <c r="S324" cm="1">
        <f t="array" ref="S324">INDEX('Longitude and Latitude'!$C$2:$C$579,MATCH(LOWER(Data!A324),LOWER('Longitude and Latitude'!$A$2:$A$579),0))</f>
        <v>120.9876321</v>
      </c>
      <c r="T324" t="b">
        <f>IF(EXACT(A324, UPPER(A324)), TRUE, FALSE)</f>
        <v>0</v>
      </c>
    </row>
    <row r="325" spans="1:20" x14ac:dyDescent="0.35">
      <c r="A325" t="s">
        <v>324</v>
      </c>
      <c r="B325">
        <v>88.92</v>
      </c>
      <c r="C325" cm="1">
        <f t="array" ref="C325">INDEX(DataAll!$E$2:$E$555,MATCH(LOWER(Data!A325),LOWER(DataAll!$D$2:$D$555),0))</f>
        <v>67.86</v>
      </c>
      <c r="D325" cm="1">
        <f t="array" ref="D325">INDEX(DataAll!$H$2:$H$579,MATCH(LOWER(Data!A325),LOWER(DataAll!$G$2:$G$555),0))</f>
        <v>0.46200000000000002</v>
      </c>
      <c r="E325" cm="1">
        <f t="array" ref="E325">INDEX(DataAll!$K$2:$K$579,MATCH(LOWER(Data!A325),LOWER(DataAll!$J$2:$J$555),0))</f>
        <v>11.43</v>
      </c>
      <c r="F325" cm="1">
        <f t="array" ref="F325">INDEX(DataAll!$N$2:$N$555,MATCH(LOWER(Data!A325),LOWER(DataAll!$M$2:$M$555),0))</f>
        <v>49.05</v>
      </c>
      <c r="G325" cm="1">
        <f t="array" ref="G325">INDEX(DataAll!$Q$2:$Q$555,MATCH(LOWER(Data!A325),LOWER(DataAll!$P$2:$P$555),0))</f>
        <v>13.62</v>
      </c>
      <c r="H325" cm="1">
        <f t="array" ref="H325">INDEX(DataAll!$T$2:$T$555,MATCH(LOWER(Data!A325),LOWER(DataAll!$S$2:$S$555),0))</f>
        <v>0.252</v>
      </c>
      <c r="I325" cm="1">
        <f t="array" ref="I325">INDEX(DataAll!$W$2:$W$555,MATCH(LOWER(Data!A325),LOWER(DataAll!$V$2:$V$555),0))</f>
        <v>45.98</v>
      </c>
      <c r="J325" cm="1">
        <f t="array" ref="J325">INDEX(DataAll!$Z$2:$Z$555,MATCH(LOWER(Data!A325),LOWER(DataAll!$Y$2:$Y$555),0))</f>
        <v>2.88</v>
      </c>
      <c r="K325" cm="1">
        <f t="array" ref="K325">INDEX(DataAll!$AM$2:$AM$555,MATCH(LOWER(Data!A325),LOWER(DataAll!$AL$2:$AL$555),0))</f>
        <v>19.690000000000001</v>
      </c>
      <c r="L325" cm="1">
        <f t="array" ref="L325">INDEX(DataAll!$AJ$2:$AJ$555,MATCH(LOWER(Data!A325),LOWER(DataAll!$AI$2:$AI$555),0))</f>
        <v>27.38</v>
      </c>
      <c r="M325" cm="1">
        <f t="array" ref="M325">INDEX(DataAll!$AP$2:$AP$555,MATCH(LOWER(Data!A325),LOWER(DataAll!$AO$2:$AO$555),0))</f>
        <v>65.69</v>
      </c>
      <c r="N325" cm="1">
        <f t="array" ref="N325">INDEX(DataAll!$AQ$2:$AQ$555,MATCH(LOWER(Data!A325),LOWER(DataAll!$AO$2:$AO$555),0))</f>
        <v>69.66</v>
      </c>
      <c r="O325" cm="1">
        <f t="array" ref="O325">INDEX(DataAll!$AT$2:$AT$555,MATCH(LOWER(Data!A325),LOWER(DataAll!$AS$2:$AS$555),0))</f>
        <v>8.26</v>
      </c>
      <c r="P325" cm="1">
        <f t="array" ref="P325">INDEX(DataAll!$AU$2:$AU$555,MATCH(LOWER(Data!A325),LOWER(DataAll!$AS$2:$AS$555),0))</f>
        <v>7.08</v>
      </c>
      <c r="Q325" cm="1">
        <f t="array" ref="Q325">INDEX(DataAll!$AX$2:$AX$556,MATCH(LOWER(Data!A325),LOWER(DataAll!$AW$2:$AW$556),0))</f>
        <v>24.24</v>
      </c>
      <c r="R325" cm="1">
        <f t="array" ref="R325">INDEX('Longitude and Latitude'!$B$2:$B$579,MATCH(LOWER(Data!A325),LOWER('Longitude and Latitude'!$A$2:$A$579),0))</f>
        <v>-8.6796986999999994</v>
      </c>
      <c r="S325" cm="1">
        <f t="array" ref="S325">INDEX('Longitude and Latitude'!$C$2:$C$579,MATCH(LOWER(Data!A325),LOWER('Longitude and Latitude'!$A$2:$A$579),0))</f>
        <v>120.3896651</v>
      </c>
      <c r="T325" t="b">
        <f>IF(EXACT(A325, UPPER(A325)), TRUE, FALSE)</f>
        <v>0</v>
      </c>
    </row>
    <row r="326" spans="1:20" x14ac:dyDescent="0.35">
      <c r="A326" t="s">
        <v>325</v>
      </c>
      <c r="B326">
        <v>85.28</v>
      </c>
      <c r="C326" cm="1">
        <f t="array" ref="C326">INDEX(DataAll!$E$2:$E$555,MATCH(LOWER(Data!A326),LOWER(DataAll!$D$2:$D$555),0))</f>
        <v>49.07</v>
      </c>
      <c r="D326" cm="1">
        <f t="array" ref="D326">INDEX(DataAll!$H$2:$H$579,MATCH(LOWER(Data!A326),LOWER(DataAll!$G$2:$G$555),0))</f>
        <v>0.80800000000000005</v>
      </c>
      <c r="E326" t="str" cm="1">
        <f t="array" ref="E326">INDEX(DataAll!$K$2:$K$579,MATCH(LOWER(Data!A326),LOWER(DataAll!$J$2:$J$555),0))</f>
        <v>-</v>
      </c>
      <c r="F326" cm="1">
        <f t="array" ref="F326">INDEX(DataAll!$N$2:$N$555,MATCH(LOWER(Data!A326),LOWER(DataAll!$M$2:$M$555),0))</f>
        <v>56.75</v>
      </c>
      <c r="G326" cm="1">
        <f t="array" ref="G326">INDEX(DataAll!$Q$2:$Q$555,MATCH(LOWER(Data!A326),LOWER(DataAll!$P$2:$P$555),0))</f>
        <v>18.559999999999999</v>
      </c>
      <c r="H326" cm="1">
        <f t="array" ref="H326">INDEX(DataAll!$T$2:$T$555,MATCH(LOWER(Data!A326),LOWER(DataAll!$S$2:$S$555),0))</f>
        <v>0.22800000000000001</v>
      </c>
      <c r="I326" cm="1">
        <f t="array" ref="I326">INDEX(DataAll!$W$2:$W$555,MATCH(LOWER(Data!A326),LOWER(DataAll!$V$2:$V$555),0))</f>
        <v>35.46</v>
      </c>
      <c r="J326" cm="1">
        <f t="array" ref="J326">INDEX(DataAll!$Z$2:$Z$555,MATCH(LOWER(Data!A326),LOWER(DataAll!$Y$2:$Y$555),0))</f>
        <v>3.11</v>
      </c>
      <c r="K326" cm="1">
        <f t="array" ref="K326">INDEX(DataAll!$AM$2:$AM$555,MATCH(LOWER(Data!A326),LOWER(DataAll!$AL$2:$AL$555),0))</f>
        <v>27.05</v>
      </c>
      <c r="L326" cm="1">
        <f t="array" ref="L326">INDEX(DataAll!$AJ$2:$AJ$555,MATCH(LOWER(Data!A326),LOWER(DataAll!$AI$2:$AI$555),0))</f>
        <v>48.69</v>
      </c>
      <c r="M326" cm="1">
        <f t="array" ref="M326">INDEX(DataAll!$AP$2:$AP$555,MATCH(LOWER(Data!A326),LOWER(DataAll!$AO$2:$AO$555),0))</f>
        <v>63.72</v>
      </c>
      <c r="N326" cm="1">
        <f t="array" ref="N326">INDEX(DataAll!$AQ$2:$AQ$555,MATCH(LOWER(Data!A326),LOWER(DataAll!$AO$2:$AO$555),0))</f>
        <v>67.58</v>
      </c>
      <c r="O326" cm="1">
        <f t="array" ref="O326">INDEX(DataAll!$AT$2:$AT$555,MATCH(LOWER(Data!A326),LOWER(DataAll!$AS$2:$AS$555),0))</f>
        <v>8.31</v>
      </c>
      <c r="P326" cm="1">
        <f t="array" ref="P326">INDEX(DataAll!$AU$2:$AU$555,MATCH(LOWER(Data!A326),LOWER(DataAll!$AS$2:$AS$555),0))</f>
        <v>7.69</v>
      </c>
      <c r="Q326" cm="1">
        <f t="array" ref="Q326">INDEX(DataAll!$AX$2:$AX$556,MATCH(LOWER(Data!A326),LOWER(DataAll!$AW$2:$AW$556),0))</f>
        <v>24.76</v>
      </c>
      <c r="R326" cm="1">
        <f t="array" ref="R326">INDEX('Longitude and Latitude'!$B$2:$B$579,MATCH(LOWER(Data!A326),LOWER('Longitude and Latitude'!$A$2:$A$579),0))</f>
        <v>-10.7386421</v>
      </c>
      <c r="S326" cm="1">
        <f t="array" ref="S326">INDEX('Longitude and Latitude'!$C$2:$C$579,MATCH(LOWER(Data!A326),LOWER('Longitude and Latitude'!$A$2:$A$579),0))</f>
        <v>123.1239049</v>
      </c>
      <c r="T326" t="b">
        <f>IF(EXACT(A326, UPPER(A326)), TRUE, FALSE)</f>
        <v>0</v>
      </c>
    </row>
    <row r="327" spans="1:20" x14ac:dyDescent="0.35">
      <c r="A327" t="s">
        <v>326</v>
      </c>
      <c r="B327">
        <v>88.43</v>
      </c>
      <c r="C327" cm="1">
        <f t="array" ref="C327">INDEX(DataAll!$E$2:$E$555,MATCH(LOWER(Data!A327),LOWER(DataAll!$D$2:$D$555),0))</f>
        <v>57.28</v>
      </c>
      <c r="D327" cm="1">
        <f t="array" ref="D327">INDEX(DataAll!$H$2:$H$579,MATCH(LOWER(Data!A327),LOWER(DataAll!$G$2:$G$555),0))</f>
        <v>0.52300000000000002</v>
      </c>
      <c r="E327" cm="1">
        <f t="array" ref="E327">INDEX(DataAll!$K$2:$K$579,MATCH(LOWER(Data!A327),LOWER(DataAll!$J$2:$J$555),0))</f>
        <v>6.67</v>
      </c>
      <c r="F327" cm="1">
        <f t="array" ref="F327">INDEX(DataAll!$N$2:$N$555,MATCH(LOWER(Data!A327),LOWER(DataAll!$M$2:$M$555),0))</f>
        <v>36.85</v>
      </c>
      <c r="G327" cm="1">
        <f t="array" ref="G327">INDEX(DataAll!$Q$2:$Q$555,MATCH(LOWER(Data!A327),LOWER(DataAll!$P$2:$P$555),0))</f>
        <v>10.39</v>
      </c>
      <c r="H327" cm="1">
        <f t="array" ref="H327">INDEX(DataAll!$T$2:$T$555,MATCH(LOWER(Data!A327),LOWER(DataAll!$S$2:$S$555),0))</f>
        <v>0.245</v>
      </c>
      <c r="I327" cm="1">
        <f t="array" ref="I327">INDEX(DataAll!$W$2:$W$555,MATCH(LOWER(Data!A327),LOWER(DataAll!$V$2:$V$555),0))</f>
        <v>40.54</v>
      </c>
      <c r="J327" cm="1">
        <f t="array" ref="J327">INDEX(DataAll!$Z$2:$Z$555,MATCH(LOWER(Data!A327),LOWER(DataAll!$Y$2:$Y$555),0))</f>
        <v>2.73</v>
      </c>
      <c r="K327" cm="1">
        <f t="array" ref="K327">INDEX(DataAll!$AM$2:$AM$555,MATCH(LOWER(Data!A327),LOWER(DataAll!$AL$2:$AL$555),0))</f>
        <v>16.82</v>
      </c>
      <c r="L327" cm="1">
        <f t="array" ref="L327">INDEX(DataAll!$AJ$2:$AJ$555,MATCH(LOWER(Data!A327),LOWER(DataAll!$AI$2:$AI$555),0))</f>
        <v>25.64</v>
      </c>
      <c r="M327" cm="1">
        <f t="array" ref="M327">INDEX(DataAll!$AP$2:$AP$555,MATCH(LOWER(Data!A327),LOWER(DataAll!$AO$2:$AO$555),0))</f>
        <v>66.05</v>
      </c>
      <c r="N327" cm="1">
        <f t="array" ref="N327">INDEX(DataAll!$AQ$2:$AQ$555,MATCH(LOWER(Data!A327),LOWER(DataAll!$AO$2:$AO$555),0))</f>
        <v>70.040000000000006</v>
      </c>
      <c r="O327" cm="1">
        <f t="array" ref="O327">INDEX(DataAll!$AT$2:$AT$555,MATCH(LOWER(Data!A327),LOWER(DataAll!$AS$2:$AS$555),0))</f>
        <v>8.3800000000000008</v>
      </c>
      <c r="P327" cm="1">
        <f t="array" ref="P327">INDEX(DataAll!$AU$2:$AU$555,MATCH(LOWER(Data!A327),LOWER(DataAll!$AS$2:$AS$555),0))</f>
        <v>7.6</v>
      </c>
      <c r="Q327" cm="1">
        <f t="array" ref="Q327">INDEX(DataAll!$AX$2:$AX$556,MATCH(LOWER(Data!A327),LOWER(DataAll!$AW$2:$AW$556),0))</f>
        <v>24.86</v>
      </c>
      <c r="R327" cm="1">
        <f t="array" ref="R327">INDEX('Longitude and Latitude'!$B$2:$B$579,MATCH(LOWER(Data!A327),LOWER('Longitude and Latitude'!$A$2:$A$579),0))</f>
        <v>-8.6688148999999992</v>
      </c>
      <c r="S327" cm="1">
        <f t="array" ref="S327">INDEX('Longitude and Latitude'!$C$2:$C$579,MATCH(LOWER(Data!A327),LOWER('Longitude and Latitude'!$A$2:$A$579),0))</f>
        <v>120.0665236</v>
      </c>
      <c r="T327" t="b">
        <f>IF(EXACT(A327, UPPER(A327)), TRUE, FALSE)</f>
        <v>0</v>
      </c>
    </row>
    <row r="328" spans="1:20" x14ac:dyDescent="0.35">
      <c r="A328" t="s">
        <v>327</v>
      </c>
      <c r="B328">
        <v>90.74</v>
      </c>
      <c r="C328" cm="1">
        <f t="array" ref="C328">INDEX(DataAll!$E$2:$E$555,MATCH(LOWER(Data!A328),LOWER(DataAll!$D$2:$D$555),0))</f>
        <v>54.16</v>
      </c>
      <c r="D328" cm="1">
        <f t="array" ref="D328">INDEX(DataAll!$H$2:$H$579,MATCH(LOWER(Data!A328),LOWER(DataAll!$G$2:$G$555),0))</f>
        <v>0.77500000000000002</v>
      </c>
      <c r="E328" t="str" cm="1">
        <f t="array" ref="E328">INDEX(DataAll!$K$2:$K$579,MATCH(LOWER(Data!A328),LOWER(DataAll!$J$2:$J$555),0))</f>
        <v>-</v>
      </c>
      <c r="F328" cm="1">
        <f t="array" ref="F328">INDEX(DataAll!$N$2:$N$555,MATCH(LOWER(Data!A328),LOWER(DataAll!$M$2:$M$555),0))</f>
        <v>52.21</v>
      </c>
      <c r="G328" cm="1">
        <f t="array" ref="G328">INDEX(DataAll!$Q$2:$Q$555,MATCH(LOWER(Data!A328),LOWER(DataAll!$P$2:$P$555),0))</f>
        <v>11.55</v>
      </c>
      <c r="H328" cm="1">
        <f t="array" ref="H328">INDEX(DataAll!$T$2:$T$555,MATCH(LOWER(Data!A328),LOWER(DataAll!$S$2:$S$555),0))</f>
        <v>0.182</v>
      </c>
      <c r="I328" cm="1">
        <f t="array" ref="I328">INDEX(DataAll!$W$2:$W$555,MATCH(LOWER(Data!A328),LOWER(DataAll!$V$2:$V$555),0))</f>
        <v>42.29</v>
      </c>
      <c r="J328" cm="1">
        <f t="array" ref="J328">INDEX(DataAll!$Z$2:$Z$555,MATCH(LOWER(Data!A328),LOWER(DataAll!$Y$2:$Y$555),0))</f>
        <v>3.34</v>
      </c>
      <c r="K328" cm="1">
        <f t="array" ref="K328">INDEX(DataAll!$AM$2:$AM$555,MATCH(LOWER(Data!A328),LOWER(DataAll!$AL$2:$AL$555),0))</f>
        <v>31.78</v>
      </c>
      <c r="L328" cm="1">
        <f t="array" ref="L328">INDEX(DataAll!$AJ$2:$AJ$555,MATCH(LOWER(Data!A328),LOWER(DataAll!$AI$2:$AI$555),0))</f>
        <v>28.16</v>
      </c>
      <c r="M328" cm="1">
        <f t="array" ref="M328">INDEX(DataAll!$AP$2:$AP$555,MATCH(LOWER(Data!A328),LOWER(DataAll!$AO$2:$AO$555),0))</f>
        <v>66.94</v>
      </c>
      <c r="N328" cm="1">
        <f t="array" ref="N328">INDEX(DataAll!$AQ$2:$AQ$555,MATCH(LOWER(Data!A328),LOWER(DataAll!$AO$2:$AO$555),0))</f>
        <v>70.91</v>
      </c>
      <c r="O328" cm="1">
        <f t="array" ref="O328">INDEX(DataAll!$AT$2:$AT$555,MATCH(LOWER(Data!A328),LOWER(DataAll!$AS$2:$AS$555),0))</f>
        <v>7.34</v>
      </c>
      <c r="P328" cm="1">
        <f t="array" ref="P328">INDEX(DataAll!$AU$2:$AU$555,MATCH(LOWER(Data!A328),LOWER(DataAll!$AS$2:$AS$555),0))</f>
        <v>6.85</v>
      </c>
      <c r="Q328" cm="1">
        <f t="array" ref="Q328">INDEX(DataAll!$AX$2:$AX$556,MATCH(LOWER(Data!A328),LOWER(DataAll!$AW$2:$AW$556),0))</f>
        <v>24.84</v>
      </c>
      <c r="R328" cm="1">
        <f t="array" ref="R328">INDEX('Longitude and Latitude'!$B$2:$B$579,MATCH(LOWER(Data!A328),LOWER('Longitude and Latitude'!$A$2:$A$579),0))</f>
        <v>-9.4879225999999992</v>
      </c>
      <c r="S328" cm="1">
        <f t="array" ref="S328">INDEX('Longitude and Latitude'!$C$2:$C$579,MATCH(LOWER(Data!A328),LOWER('Longitude and Latitude'!$A$2:$A$579),0))</f>
        <v>119.69626770000001</v>
      </c>
      <c r="T328" t="b">
        <f>IF(EXACT(A328, UPPER(A328)), TRUE, FALSE)</f>
        <v>0</v>
      </c>
    </row>
    <row r="329" spans="1:20" x14ac:dyDescent="0.35">
      <c r="A329" t="s">
        <v>328</v>
      </c>
      <c r="B329">
        <v>98.26</v>
      </c>
      <c r="C329" cm="1">
        <f t="array" ref="C329">INDEX(DataAll!$E$2:$E$555,MATCH(LOWER(Data!A329),LOWER(DataAll!$D$2:$D$555),0))</f>
        <v>65.040000000000006</v>
      </c>
      <c r="D329" cm="1">
        <f t="array" ref="D329">INDEX(DataAll!$H$2:$H$579,MATCH(LOWER(Data!A329),LOWER(DataAll!$G$2:$G$555),0))</f>
        <v>0.49299999999999999</v>
      </c>
      <c r="E329" cm="1">
        <f t="array" ref="E329">INDEX(DataAll!$K$2:$K$579,MATCH(LOWER(Data!A329),LOWER(DataAll!$J$2:$J$555),0))</f>
        <v>8.57</v>
      </c>
      <c r="F329" cm="1">
        <f t="array" ref="F329">INDEX(DataAll!$N$2:$N$555,MATCH(LOWER(Data!A329),LOWER(DataAll!$M$2:$M$555),0))</f>
        <v>56.78</v>
      </c>
      <c r="G329" cm="1">
        <f t="array" ref="G329">INDEX(DataAll!$Q$2:$Q$555,MATCH(LOWER(Data!A329),LOWER(DataAll!$P$2:$P$555),0))</f>
        <v>7.99</v>
      </c>
      <c r="H329" cm="1">
        <f t="array" ref="H329">INDEX(DataAll!$T$2:$T$555,MATCH(LOWER(Data!A329),LOWER(DataAll!$S$2:$S$555),0))</f>
        <v>0.161</v>
      </c>
      <c r="I329" cm="1">
        <f t="array" ref="I329">INDEX(DataAll!$W$2:$W$555,MATCH(LOWER(Data!A329),LOWER(DataAll!$V$2:$V$555),0))</f>
        <v>43.86</v>
      </c>
      <c r="J329" cm="1">
        <f t="array" ref="J329">INDEX(DataAll!$Z$2:$Z$555,MATCH(LOWER(Data!A329),LOWER(DataAll!$Y$2:$Y$555),0))</f>
        <v>3.58</v>
      </c>
      <c r="K329" cm="1">
        <f t="array" ref="K329">INDEX(DataAll!$AM$2:$AM$555,MATCH(LOWER(Data!A329),LOWER(DataAll!$AL$2:$AL$555),0))</f>
        <v>27.48</v>
      </c>
      <c r="L329" cm="1">
        <f t="array" ref="L329">INDEX(DataAll!$AJ$2:$AJ$555,MATCH(LOWER(Data!A329),LOWER(DataAll!$AI$2:$AI$555),0))</f>
        <v>46.73</v>
      </c>
      <c r="M329" cm="1">
        <f t="array" ref="M329">INDEX(DataAll!$AP$2:$AP$555,MATCH(LOWER(Data!A329),LOWER(DataAll!$AO$2:$AO$555),0))</f>
        <v>67.06</v>
      </c>
      <c r="N329" cm="1">
        <f t="array" ref="N329">INDEX(DataAll!$AQ$2:$AQ$555,MATCH(LOWER(Data!A329),LOWER(DataAll!$AO$2:$AO$555),0))</f>
        <v>71.03</v>
      </c>
      <c r="O329" cm="1">
        <f t="array" ref="O329">INDEX(DataAll!$AT$2:$AT$555,MATCH(LOWER(Data!A329),LOWER(DataAll!$AS$2:$AS$555),0))</f>
        <v>6.47</v>
      </c>
      <c r="P329" cm="1">
        <f t="array" ref="P329">INDEX(DataAll!$AU$2:$AU$555,MATCH(LOWER(Data!A329),LOWER(DataAll!$AS$2:$AS$555),0))</f>
        <v>6.25</v>
      </c>
      <c r="Q329" cm="1">
        <f t="array" ref="Q329">INDEX(DataAll!$AX$2:$AX$556,MATCH(LOWER(Data!A329),LOWER(DataAll!$AW$2:$AW$556),0))</f>
        <v>24.08</v>
      </c>
      <c r="R329" cm="1">
        <f t="array" ref="R329">INDEX('Longitude and Latitude'!$B$2:$B$579,MATCH(LOWER(Data!A329),LOWER('Longitude and Latitude'!$A$2:$A$579),0))</f>
        <v>-9.5391390000000005</v>
      </c>
      <c r="S329" cm="1">
        <f t="array" ref="S329">INDEX('Longitude and Latitude'!$C$2:$C$579,MATCH(LOWER(Data!A329),LOWER('Longitude and Latitude'!$A$2:$A$579),0))</f>
        <v>119.13906420000001</v>
      </c>
      <c r="T329" t="b">
        <f>IF(EXACT(A329, UPPER(A329)), TRUE, FALSE)</f>
        <v>0</v>
      </c>
    </row>
    <row r="330" spans="1:20" x14ac:dyDescent="0.35">
      <c r="A330" t="s">
        <v>329</v>
      </c>
      <c r="B330">
        <v>97.94</v>
      </c>
      <c r="C330" cm="1">
        <f t="array" ref="C330">INDEX(DataAll!$E$2:$E$555,MATCH(LOWER(Data!A330),LOWER(DataAll!$D$2:$D$555),0))</f>
        <v>53.21</v>
      </c>
      <c r="D330" cm="1">
        <f t="array" ref="D330">INDEX(DataAll!$H$2:$H$579,MATCH(LOWER(Data!A330),LOWER(DataAll!$G$2:$G$555),0))</f>
        <v>0.66</v>
      </c>
      <c r="E330" t="str" cm="1">
        <f t="array" ref="E330">INDEX(DataAll!$K$2:$K$579,MATCH(LOWER(Data!A330),LOWER(DataAll!$J$2:$J$555),0))</f>
        <v>-</v>
      </c>
      <c r="F330" cm="1">
        <f t="array" ref="F330">INDEX(DataAll!$N$2:$N$555,MATCH(LOWER(Data!A330),LOWER(DataAll!$M$2:$M$555),0))</f>
        <v>58.06</v>
      </c>
      <c r="G330" cm="1">
        <f t="array" ref="G330">INDEX(DataAll!$Q$2:$Q$555,MATCH(LOWER(Data!A330),LOWER(DataAll!$P$2:$P$555),0))</f>
        <v>13.85</v>
      </c>
      <c r="H330" cm="1">
        <f t="array" ref="H330">INDEX(DataAll!$T$2:$T$555,MATCH(LOWER(Data!A330),LOWER(DataAll!$S$2:$S$555),0))</f>
        <v>0.13</v>
      </c>
      <c r="I330" cm="1">
        <f t="array" ref="I330">INDEX(DataAll!$W$2:$W$555,MATCH(LOWER(Data!A330),LOWER(DataAll!$V$2:$V$555),0))</f>
        <v>49.97</v>
      </c>
      <c r="J330" cm="1">
        <f t="array" ref="J330">INDEX(DataAll!$Z$2:$Z$555,MATCH(LOWER(Data!A330),LOWER(DataAll!$Y$2:$Y$555),0))</f>
        <v>2.4700000000000002</v>
      </c>
      <c r="K330" cm="1">
        <f t="array" ref="K330">INDEX(DataAll!$AM$2:$AM$555,MATCH(LOWER(Data!A330),LOWER(DataAll!$AL$2:$AL$555),0))</f>
        <v>12.33</v>
      </c>
      <c r="L330" cm="1">
        <f t="array" ref="L330">INDEX(DataAll!$AJ$2:$AJ$555,MATCH(LOWER(Data!A330),LOWER(DataAll!$AI$2:$AI$555),0))</f>
        <v>24.89</v>
      </c>
      <c r="M330" cm="1">
        <f t="array" ref="M330">INDEX(DataAll!$AP$2:$AP$555,MATCH(LOWER(Data!A330),LOWER(DataAll!$AO$2:$AO$555),0))</f>
        <v>65.959999999999994</v>
      </c>
      <c r="N330" cm="1">
        <f t="array" ref="N330">INDEX(DataAll!$AQ$2:$AQ$555,MATCH(LOWER(Data!A330),LOWER(DataAll!$AO$2:$AO$555),0))</f>
        <v>69.95</v>
      </c>
      <c r="O330" cm="1">
        <f t="array" ref="O330">INDEX(DataAll!$AT$2:$AT$555,MATCH(LOWER(Data!A330),LOWER(DataAll!$AS$2:$AS$555),0))</f>
        <v>8.4</v>
      </c>
      <c r="P330" cm="1">
        <f t="array" ref="P330">INDEX(DataAll!$AU$2:$AU$555,MATCH(LOWER(Data!A330),LOWER(DataAll!$AS$2:$AS$555),0))</f>
        <v>7.92</v>
      </c>
      <c r="Q330" cm="1">
        <f t="array" ref="Q330">INDEX(DataAll!$AX$2:$AX$556,MATCH(LOWER(Data!A330),LOWER(DataAll!$AW$2:$AW$556),0))</f>
        <v>27.06</v>
      </c>
      <c r="R330" cm="1">
        <f t="array" ref="R330">INDEX('Longitude and Latitude'!$B$2:$B$579,MATCH(LOWER(Data!A330),LOWER('Longitude and Latitude'!$A$2:$A$579),0))</f>
        <v>-8.6753544999999992</v>
      </c>
      <c r="S330" cm="1">
        <f t="array" ref="S330">INDEX('Longitude and Latitude'!$C$2:$C$579,MATCH(LOWER(Data!A330),LOWER('Longitude and Latitude'!$A$2:$A$579),0))</f>
        <v>121.3084088</v>
      </c>
      <c r="T330" t="b">
        <f>IF(EXACT(A330, UPPER(A330)), TRUE, FALSE)</f>
        <v>0</v>
      </c>
    </row>
    <row r="331" spans="1:20" x14ac:dyDescent="0.35">
      <c r="A331" t="s">
        <v>330</v>
      </c>
      <c r="B331">
        <v>91.41</v>
      </c>
      <c r="C331" cm="1">
        <f t="array" ref="C331">INDEX(DataAll!$E$2:$E$555,MATCH(LOWER(Data!A331),LOWER(DataAll!$D$2:$D$555),0))</f>
        <v>53.62</v>
      </c>
      <c r="D331" cm="1">
        <f t="array" ref="D331">INDEX(DataAll!$H$2:$H$579,MATCH(LOWER(Data!A331),LOWER(DataAll!$G$2:$G$555),0))</f>
        <v>0.59599999999999997</v>
      </c>
      <c r="E331" cm="1">
        <f t="array" ref="E331">INDEX(DataAll!$K$2:$K$579,MATCH(LOWER(Data!A331),LOWER(DataAll!$J$2:$J$555),0))</f>
        <v>3.33</v>
      </c>
      <c r="F331" cm="1">
        <f t="array" ref="F331">INDEX(DataAll!$N$2:$N$555,MATCH(LOWER(Data!A331),LOWER(DataAll!$M$2:$M$555),0))</f>
        <v>48.71</v>
      </c>
      <c r="G331" cm="1">
        <f t="array" ref="G331">INDEX(DataAll!$Q$2:$Q$555,MATCH(LOWER(Data!A331),LOWER(DataAll!$P$2:$P$555),0))</f>
        <v>12.9</v>
      </c>
      <c r="H331" cm="1">
        <f t="array" ref="H331">INDEX(DataAll!$T$2:$T$555,MATCH(LOWER(Data!A331),LOWER(DataAll!$S$2:$S$555),0))</f>
        <v>0.215</v>
      </c>
      <c r="I331" cm="1">
        <f t="array" ref="I331">INDEX(DataAll!$W$2:$W$555,MATCH(LOWER(Data!A331),LOWER(DataAll!$V$2:$V$555),0))</f>
        <v>37.06</v>
      </c>
      <c r="J331" cm="1">
        <f t="array" ref="J331">INDEX(DataAll!$Z$2:$Z$555,MATCH(LOWER(Data!A331),LOWER(DataAll!$Y$2:$Y$555),0))</f>
        <v>3.01</v>
      </c>
      <c r="K331" cm="1">
        <f t="array" ref="K331">INDEX(DataAll!$AM$2:$AM$555,MATCH(LOWER(Data!A331),LOWER(DataAll!$AL$2:$AL$555),0))</f>
        <v>25.06</v>
      </c>
      <c r="L331" cm="1">
        <f t="array" ref="L331">INDEX(DataAll!$AJ$2:$AJ$555,MATCH(LOWER(Data!A331),LOWER(DataAll!$AI$2:$AI$555),0))</f>
        <v>24.05</v>
      </c>
      <c r="M331" cm="1">
        <f t="array" ref="M331">INDEX(DataAll!$AP$2:$AP$555,MATCH(LOWER(Data!A331),LOWER(DataAll!$AO$2:$AO$555),0))</f>
        <v>66.55</v>
      </c>
      <c r="N331" cm="1">
        <f t="array" ref="N331">INDEX(DataAll!$AQ$2:$AQ$555,MATCH(LOWER(Data!A331),LOWER(DataAll!$AO$2:$AO$555),0))</f>
        <v>70.53</v>
      </c>
      <c r="O331" cm="1">
        <f t="array" ref="O331">INDEX(DataAll!$AT$2:$AT$555,MATCH(LOWER(Data!A331),LOWER(DataAll!$AS$2:$AS$555),0))</f>
        <v>8.0500000000000007</v>
      </c>
      <c r="P331" cm="1">
        <f t="array" ref="P331">INDEX(DataAll!$AU$2:$AU$555,MATCH(LOWER(Data!A331),LOWER(DataAll!$AS$2:$AS$555),0))</f>
        <v>7.52</v>
      </c>
      <c r="Q331" cm="1">
        <f t="array" ref="Q331">INDEX(DataAll!$AX$2:$AX$556,MATCH(LOWER(Data!A331),LOWER(DataAll!$AW$2:$AW$556),0))</f>
        <v>21.28</v>
      </c>
      <c r="R331" cm="1">
        <f t="array" ref="R331">INDEX('Longitude and Latitude'!$B$2:$B$579,MATCH(LOWER(Data!A331),LOWER('Longitude and Latitude'!$A$2:$A$579),0))</f>
        <v>-8.6206712000000003</v>
      </c>
      <c r="S331" cm="1">
        <f t="array" ref="S331">INDEX('Longitude and Latitude'!$C$2:$C$579,MATCH(LOWER(Data!A331),LOWER('Longitude and Latitude'!$A$2:$A$579),0))</f>
        <v>120.6199895</v>
      </c>
      <c r="T331" t="b">
        <f>IF(EXACT(A331, UPPER(A331)), TRUE, FALSE)</f>
        <v>0</v>
      </c>
    </row>
    <row r="332" spans="1:20" x14ac:dyDescent="0.35">
      <c r="A332" t="s">
        <v>331</v>
      </c>
      <c r="B332">
        <v>92.25</v>
      </c>
      <c r="C332" cm="1">
        <f t="array" ref="C332">INDEX(DataAll!$E$2:$E$555,MATCH(LOWER(Data!A332),LOWER(DataAll!$D$2:$D$555),0))</f>
        <v>56.5</v>
      </c>
      <c r="D332" cm="1">
        <f t="array" ref="D332">INDEX(DataAll!$H$2:$H$579,MATCH(LOWER(Data!A332),LOWER(DataAll!$G$2:$G$555),0))</f>
        <v>0.497</v>
      </c>
      <c r="E332" cm="1">
        <f t="array" ref="E332">INDEX(DataAll!$K$2:$K$579,MATCH(LOWER(Data!A332),LOWER(DataAll!$J$2:$J$555),0))</f>
        <v>10</v>
      </c>
      <c r="F332" cm="1">
        <f t="array" ref="F332">INDEX(DataAll!$N$2:$N$555,MATCH(LOWER(Data!A332),LOWER(DataAll!$M$2:$M$555),0))</f>
        <v>53.29</v>
      </c>
      <c r="G332" cm="1">
        <f t="array" ref="G332">INDEX(DataAll!$Q$2:$Q$555,MATCH(LOWER(Data!A332),LOWER(DataAll!$P$2:$P$555),0))</f>
        <v>10.63</v>
      </c>
      <c r="H332" cm="1">
        <f t="array" ref="H332">INDEX(DataAll!$T$2:$T$555,MATCH(LOWER(Data!A332),LOWER(DataAll!$S$2:$S$555),0))</f>
        <v>0.17100000000000001</v>
      </c>
      <c r="I332" cm="1">
        <f t="array" ref="I332">INDEX(DataAll!$W$2:$W$555,MATCH(LOWER(Data!A332),LOWER(DataAll!$V$2:$V$555),0))</f>
        <v>35.409999999999997</v>
      </c>
      <c r="J332" cm="1">
        <f t="array" ref="J332">INDEX(DataAll!$Z$2:$Z$555,MATCH(LOWER(Data!A332),LOWER(DataAll!$Y$2:$Y$555),0))</f>
        <v>3.29</v>
      </c>
      <c r="K332" cm="1">
        <f t="array" ref="K332">INDEX(DataAll!$AM$2:$AM$555,MATCH(LOWER(Data!A332),LOWER(DataAll!$AL$2:$AL$555),0))</f>
        <v>28.37</v>
      </c>
      <c r="L332" cm="1">
        <f t="array" ref="L332">INDEX(DataAll!$AJ$2:$AJ$555,MATCH(LOWER(Data!A332),LOWER(DataAll!$AI$2:$AI$555),0))</f>
        <v>57.68</v>
      </c>
      <c r="M332" cm="1">
        <f t="array" ref="M332">INDEX(DataAll!$AP$2:$AP$555,MATCH(LOWER(Data!A332),LOWER(DataAll!$AO$2:$AO$555),0))</f>
        <v>59.26</v>
      </c>
      <c r="N332" cm="1">
        <f t="array" ref="N332">INDEX(DataAll!$AQ$2:$AQ$555,MATCH(LOWER(Data!A332),LOWER(DataAll!$AO$2:$AO$555),0))</f>
        <v>62.95</v>
      </c>
      <c r="O332" cm="1">
        <f t="array" ref="O332">INDEX(DataAll!$AT$2:$AT$555,MATCH(LOWER(Data!A332),LOWER(DataAll!$AS$2:$AS$555),0))</f>
        <v>7.08</v>
      </c>
      <c r="P332" cm="1">
        <f t="array" ref="P332">INDEX(DataAll!$AU$2:$AU$555,MATCH(LOWER(Data!A332),LOWER(DataAll!$AS$2:$AS$555),0))</f>
        <v>6.97</v>
      </c>
      <c r="Q332" cm="1">
        <f t="array" ref="Q332">INDEX(DataAll!$AX$2:$AX$556,MATCH(LOWER(Data!A332),LOWER(DataAll!$AW$2:$AW$556),0))</f>
        <v>25.75</v>
      </c>
      <c r="R332" cm="1">
        <f t="array" ref="R332">INDEX('Longitude and Latitude'!$B$2:$B$579,MATCH(LOWER(Data!A332),LOWER('Longitude and Latitude'!$A$2:$A$579),0))</f>
        <v>-10.554111600000001</v>
      </c>
      <c r="S332" cm="1">
        <f t="array" ref="S332">INDEX('Longitude and Latitude'!$C$2:$C$579,MATCH(LOWER(Data!A332),LOWER('Longitude and Latitude'!$A$2:$A$579),0))</f>
        <v>121.8334868</v>
      </c>
      <c r="T332" t="b">
        <f>IF(EXACT(A332, UPPER(A332)), TRUE, FALSE)</f>
        <v>0</v>
      </c>
    </row>
    <row r="333" spans="1:20" x14ac:dyDescent="0.35">
      <c r="A333" t="s">
        <v>332</v>
      </c>
      <c r="B333">
        <v>90.43</v>
      </c>
      <c r="C333" cm="1">
        <f t="array" ref="C333">INDEX(DataAll!$E$2:$E$555,MATCH(LOWER(Data!A333),LOWER(DataAll!$D$2:$D$555),0))</f>
        <v>59.75</v>
      </c>
      <c r="D333" cm="1">
        <f t="array" ref="D333">INDEX(DataAll!$H$2:$H$579,MATCH(LOWER(Data!A333),LOWER(DataAll!$G$2:$G$555),0))</f>
        <v>0.45400000000000001</v>
      </c>
      <c r="E333" cm="1">
        <f t="array" ref="E333">INDEX(DataAll!$K$2:$K$579,MATCH(LOWER(Data!A333),LOWER(DataAll!$J$2:$J$555),0))</f>
        <v>12</v>
      </c>
      <c r="F333" cm="1">
        <f t="array" ref="F333">INDEX(DataAll!$N$2:$N$555,MATCH(LOWER(Data!A333),LOWER(DataAll!$M$2:$M$555),0))</f>
        <v>51.34</v>
      </c>
      <c r="G333" cm="1">
        <f t="array" ref="G333">INDEX(DataAll!$Q$2:$Q$555,MATCH(LOWER(Data!A333),LOWER(DataAll!$P$2:$P$555),0))</f>
        <v>15.13</v>
      </c>
      <c r="H333" cm="1">
        <f t="array" ref="H333">INDEX(DataAll!$T$2:$T$555,MATCH(LOWER(Data!A333),LOWER(DataAll!$S$2:$S$555),0))</f>
        <v>0.18</v>
      </c>
      <c r="I333" cm="1">
        <f t="array" ref="I333">INDEX(DataAll!$W$2:$W$555,MATCH(LOWER(Data!A333),LOWER(DataAll!$V$2:$V$555),0))</f>
        <v>49.87</v>
      </c>
      <c r="J333" cm="1">
        <f t="array" ref="J333">INDEX(DataAll!$Z$2:$Z$555,MATCH(LOWER(Data!A333),LOWER(DataAll!$Y$2:$Y$555),0))</f>
        <v>2.69</v>
      </c>
      <c r="K333" cm="1">
        <f t="array" ref="K333">INDEX(DataAll!$AM$2:$AM$555,MATCH(LOWER(Data!A333),LOWER(DataAll!$AL$2:$AL$555),0))</f>
        <v>14.42</v>
      </c>
      <c r="L333" cm="1">
        <f t="array" ref="L333">INDEX(DataAll!$AJ$2:$AJ$555,MATCH(LOWER(Data!A333),LOWER(DataAll!$AI$2:$AI$555),0))</f>
        <v>20.32</v>
      </c>
      <c r="M333" cm="1">
        <f t="array" ref="M333">INDEX(DataAll!$AP$2:$AP$555,MATCH(LOWER(Data!A333),LOWER(DataAll!$AO$2:$AO$555),0))</f>
        <v>63.78</v>
      </c>
      <c r="N333" cm="1">
        <f t="array" ref="N333">INDEX(DataAll!$AQ$2:$AQ$555,MATCH(LOWER(Data!A333),LOWER(DataAll!$AO$2:$AO$555),0))</f>
        <v>67.650000000000006</v>
      </c>
      <c r="O333" cm="1">
        <f t="array" ref="O333">INDEX(DataAll!$AT$2:$AT$555,MATCH(LOWER(Data!A333),LOWER(DataAll!$AS$2:$AS$555),0))</f>
        <v>7.47</v>
      </c>
      <c r="P333" cm="1">
        <f t="array" ref="P333">INDEX(DataAll!$AU$2:$AU$555,MATCH(LOWER(Data!A333),LOWER(DataAll!$AS$2:$AS$555),0))</f>
        <v>6.91</v>
      </c>
      <c r="Q333" cm="1">
        <f t="array" ref="Q333">INDEX(DataAll!$AX$2:$AX$556,MATCH(LOWER(Data!A333),LOWER(DataAll!$AW$2:$AW$556),0))</f>
        <v>26.38</v>
      </c>
      <c r="R333" cm="1">
        <f t="array" ref="R333">INDEX('Longitude and Latitude'!$B$2:$B$579,MATCH(LOWER(Data!A333),LOWER('Longitude and Latitude'!$A$2:$A$579),0))</f>
        <v>-9.5672219999999992</v>
      </c>
      <c r="S333" cm="1">
        <f t="array" ref="S333">INDEX('Longitude and Latitude'!$C$2:$C$579,MATCH(LOWER(Data!A333),LOWER('Longitude and Latitude'!$A$2:$A$579),0))</f>
        <v>124.9075</v>
      </c>
      <c r="T333" t="b">
        <f>IF(EXACT(A333, UPPER(A333)), TRUE, FALSE)</f>
        <v>0</v>
      </c>
    </row>
    <row r="334" spans="1:20" x14ac:dyDescent="0.35">
      <c r="A334" t="s">
        <v>333</v>
      </c>
      <c r="B334">
        <v>96.39</v>
      </c>
      <c r="C334" cm="1">
        <f t="array" ref="C334">INDEX(DataAll!$E$2:$E$555,MATCH(LOWER(Data!A334),LOWER(DataAll!$D$2:$D$555),0))</f>
        <v>75.22</v>
      </c>
      <c r="D334" cm="1">
        <f t="array" ref="D334">INDEX(DataAll!$H$2:$H$579,MATCH(LOWER(Data!A334),LOWER(DataAll!$G$2:$G$555),0))</f>
        <v>0.38800000000000001</v>
      </c>
      <c r="E334" cm="1">
        <f t="array" ref="E334">INDEX(DataAll!$K$2:$K$579,MATCH(LOWER(Data!A334),LOWER(DataAll!$J$2:$J$555),0))</f>
        <v>20</v>
      </c>
      <c r="F334" cm="1">
        <f t="array" ref="F334">INDEX(DataAll!$N$2:$N$555,MATCH(LOWER(Data!A334),LOWER(DataAll!$M$2:$M$555),0))</f>
        <v>47.07</v>
      </c>
      <c r="G334" cm="1">
        <f t="array" ref="G334">INDEX(DataAll!$Q$2:$Q$555,MATCH(LOWER(Data!A334),LOWER(DataAll!$P$2:$P$555),0))</f>
        <v>23.07</v>
      </c>
      <c r="H334" cm="1">
        <f t="array" ref="H334">INDEX(DataAll!$T$2:$T$555,MATCH(LOWER(Data!A334),LOWER(DataAll!$S$2:$S$555),0))</f>
        <v>0.20499999999999999</v>
      </c>
      <c r="I334" cm="1">
        <f t="array" ref="I334">INDEX(DataAll!$W$2:$W$555,MATCH(LOWER(Data!A334),LOWER(DataAll!$V$2:$V$555),0))</f>
        <v>38.01</v>
      </c>
      <c r="J334" cm="1">
        <f t="array" ref="J334">INDEX(DataAll!$Z$2:$Z$555,MATCH(LOWER(Data!A334),LOWER(DataAll!$Y$2:$Y$555),0))</f>
        <v>2.4300000000000002</v>
      </c>
      <c r="K334" cm="1">
        <f t="array" ref="K334">INDEX(DataAll!$AM$2:$AM$555,MATCH(LOWER(Data!A334),LOWER(DataAll!$AL$2:$AL$555),0))</f>
        <v>8.61</v>
      </c>
      <c r="L334" cm="1">
        <f t="array" ref="L334">INDEX(DataAll!$AJ$2:$AJ$555,MATCH(LOWER(Data!A334),LOWER(DataAll!$AI$2:$AI$555),0))</f>
        <v>17.68</v>
      </c>
      <c r="M334" cm="1">
        <f t="array" ref="M334">INDEX(DataAll!$AP$2:$AP$555,MATCH(LOWER(Data!A334),LOWER(DataAll!$AO$2:$AO$555),0))</f>
        <v>68.599999999999994</v>
      </c>
      <c r="N334" cm="1">
        <f t="array" ref="N334">INDEX(DataAll!$AQ$2:$AQ$555,MATCH(LOWER(Data!A334),LOWER(DataAll!$AO$2:$AO$555),0))</f>
        <v>72.540000000000006</v>
      </c>
      <c r="O334" cm="1">
        <f t="array" ref="O334">INDEX(DataAll!$AT$2:$AT$555,MATCH(LOWER(Data!A334),LOWER(DataAll!$AS$2:$AS$555),0))</f>
        <v>12.04</v>
      </c>
      <c r="P334" cm="1">
        <f t="array" ref="P334">INDEX(DataAll!$AU$2:$AU$555,MATCH(LOWER(Data!A334),LOWER(DataAll!$AS$2:$AS$555),0))</f>
        <v>11.49</v>
      </c>
      <c r="Q334" cm="1">
        <f t="array" ref="Q334">INDEX(DataAll!$AX$2:$AX$556,MATCH(LOWER(Data!A334),LOWER(DataAll!$AW$2:$AW$556),0))</f>
        <v>59.66</v>
      </c>
      <c r="R334" cm="1">
        <f t="array" ref="R334">INDEX('Longitude and Latitude'!$B$2:$B$579,MATCH(LOWER(Data!A334),LOWER('Longitude and Latitude'!$A$2:$A$579),0))</f>
        <v>-10.183333299999999</v>
      </c>
      <c r="S334" cm="1">
        <f t="array" ref="S334">INDEX('Longitude and Latitude'!$C$2:$C$579,MATCH(LOWER(Data!A334),LOWER('Longitude and Latitude'!$A$2:$A$579),0))</f>
        <v>123.58333330000001</v>
      </c>
      <c r="T334" t="b">
        <f>IF(EXACT(A334, UPPER(A334)), TRUE, FALSE)</f>
        <v>0</v>
      </c>
    </row>
    <row r="335" spans="1:20" x14ac:dyDescent="0.35">
      <c r="A335" t="s">
        <v>334</v>
      </c>
      <c r="B335">
        <v>88.06</v>
      </c>
      <c r="C335" cm="1">
        <f t="array" ref="C335">INDEX(DataAll!$E$2:$E$555,MATCH(LOWER(Data!A335),LOWER(DataAll!$D$2:$D$555),0))</f>
        <v>73.05</v>
      </c>
      <c r="D335" cm="1">
        <f t="array" ref="D335">INDEX(DataAll!$H$2:$H$579,MATCH(LOWER(Data!A335),LOWER(DataAll!$G$2:$G$555),0))</f>
        <v>0.51900000000000002</v>
      </c>
      <c r="E335" cm="1">
        <f t="array" ref="E335">INDEX(DataAll!$K$2:$K$579,MATCH(LOWER(Data!A335),LOWER(DataAll!$J$2:$J$555),0))</f>
        <v>18.46</v>
      </c>
      <c r="F335" cm="1">
        <f t="array" ref="F335">INDEX(DataAll!$N$2:$N$555,MATCH(LOWER(Data!A335),LOWER(DataAll!$M$2:$M$555),0))</f>
        <v>45.34</v>
      </c>
      <c r="G335" t="e" cm="1">
        <f t="array" ref="G335">INDEX(DataAll!$Q$2:$Q$555,MATCH(LOWER(Data!A335),LOWER(DataAll!$P$2:$P$555),0))</f>
        <v>#N/A</v>
      </c>
      <c r="H335" cm="1">
        <f t="array" ref="H335">INDEX(DataAll!$T$2:$T$555,MATCH(LOWER(Data!A335),LOWER(DataAll!$S$2:$S$555),0))</f>
        <v>0.32600000000000001</v>
      </c>
      <c r="I335" cm="1">
        <f t="array" ref="I335">INDEX(DataAll!$W$2:$W$555,MATCH(LOWER(Data!A335),LOWER(DataAll!$V$2:$V$555),0))</f>
        <v>35.28</v>
      </c>
      <c r="J335" cm="1">
        <f t="array" ref="J335">INDEX(DataAll!$Z$2:$Z$555,MATCH(LOWER(Data!A335),LOWER(DataAll!$Y$2:$Y$555),0))</f>
        <v>2.33</v>
      </c>
      <c r="K335" cm="1">
        <f t="array" ref="K335">INDEX(DataAll!$AM$2:$AM$555,MATCH(LOWER(Data!A335),LOWER(DataAll!$AL$2:$AL$555),0))</f>
        <v>6.71</v>
      </c>
      <c r="L335" cm="1">
        <f t="array" ref="L335">INDEX(DataAll!$AJ$2:$AJ$555,MATCH(LOWER(Data!A335),LOWER(DataAll!$AI$2:$AI$555),0))</f>
        <v>20.440000000000001</v>
      </c>
      <c r="M335" cm="1">
        <f t="array" ref="M335">INDEX(DataAll!$AP$2:$AP$555,MATCH(LOWER(Data!A335),LOWER(DataAll!$AO$2:$AO$555),0))</f>
        <v>69.38</v>
      </c>
      <c r="N335" cm="1">
        <f t="array" ref="N335">INDEX(DataAll!$AQ$2:$AQ$555,MATCH(LOWER(Data!A335),LOWER(DataAll!$AO$2:$AO$555),0))</f>
        <v>73.349999999999994</v>
      </c>
      <c r="O335" cm="1">
        <f t="array" ref="O335">INDEX(DataAll!$AT$2:$AT$555,MATCH(LOWER(Data!A335),LOWER(DataAll!$AS$2:$AS$555),0))</f>
        <v>7.99</v>
      </c>
      <c r="P335" cm="1">
        <f t="array" ref="P335">INDEX(DataAll!$AU$2:$AU$555,MATCH(LOWER(Data!A335),LOWER(DataAll!$AS$2:$AS$555),0))</f>
        <v>7.35</v>
      </c>
      <c r="Q335" cm="1">
        <f t="array" ref="Q335">INDEX(DataAll!$AX$2:$AX$556,MATCH(LOWER(Data!A335),LOWER(DataAll!$AW$2:$AW$556),0))</f>
        <v>30.46</v>
      </c>
      <c r="R335" cm="1">
        <f t="array" ref="R335">INDEX('Longitude and Latitude'!$B$2:$B$579,MATCH(LOWER(Data!A335),LOWER('Longitude and Latitude'!$A$2:$A$579),0))</f>
        <v>-0.2787808</v>
      </c>
      <c r="S335" cm="1">
        <f t="array" ref="S335">INDEX('Longitude and Latitude'!$C$2:$C$579,MATCH(LOWER(Data!A335),LOWER('Longitude and Latitude'!$A$2:$A$579),0))</f>
        <v>111.47528509999999</v>
      </c>
      <c r="T335" t="b">
        <f>IF(EXACT(A335, UPPER(A335)), TRUE, FALSE)</f>
        <v>1</v>
      </c>
    </row>
    <row r="336" spans="1:20" x14ac:dyDescent="0.35">
      <c r="A336" t="s">
        <v>335</v>
      </c>
      <c r="B336">
        <v>88.37</v>
      </c>
      <c r="C336" cm="1">
        <f t="array" ref="C336">INDEX(DataAll!$E$2:$E$555,MATCH(LOWER(Data!A336),LOWER(DataAll!$D$2:$D$555),0))</f>
        <v>67.2</v>
      </c>
      <c r="D336" cm="1">
        <f t="array" ref="D336">INDEX(DataAll!$H$2:$H$579,MATCH(LOWER(Data!A336),LOWER(DataAll!$G$2:$G$555),0))</f>
        <v>0.48699999999999999</v>
      </c>
      <c r="E336" cm="1">
        <f t="array" ref="E336">INDEX(DataAll!$K$2:$K$579,MATCH(LOWER(Data!A336),LOWER(DataAll!$J$2:$J$555),0))</f>
        <v>13.33</v>
      </c>
      <c r="F336" cm="1">
        <f t="array" ref="F336">INDEX(DataAll!$N$2:$N$555,MATCH(LOWER(Data!A336),LOWER(DataAll!$M$2:$M$555),0))</f>
        <v>38.049999999999997</v>
      </c>
      <c r="G336" cm="1">
        <f t="array" ref="G336">INDEX(DataAll!$Q$2:$Q$555,MATCH(LOWER(Data!A336),LOWER(DataAll!$P$2:$P$555),0))</f>
        <v>16.850000000000001</v>
      </c>
      <c r="H336" cm="1">
        <f t="array" ref="H336">INDEX(DataAll!$T$2:$T$555,MATCH(LOWER(Data!A336),LOWER(DataAll!$S$2:$S$555),0))</f>
        <v>0.23599999999999999</v>
      </c>
      <c r="I336" cm="1">
        <f t="array" ref="I336">INDEX(DataAll!$W$2:$W$555,MATCH(LOWER(Data!A336),LOWER(DataAll!$V$2:$V$555),0))</f>
        <v>38.67</v>
      </c>
      <c r="J336" cm="1">
        <f t="array" ref="J336">INDEX(DataAll!$Z$2:$Z$555,MATCH(LOWER(Data!A336),LOWER(DataAll!$Y$2:$Y$555),0))</f>
        <v>2.5</v>
      </c>
      <c r="K336" cm="1">
        <f t="array" ref="K336">INDEX(DataAll!$AM$2:$AM$555,MATCH(LOWER(Data!A336),LOWER(DataAll!$AL$2:$AL$555),0))</f>
        <v>7.08</v>
      </c>
      <c r="L336" cm="1">
        <f t="array" ref="L336">INDEX(DataAll!$AJ$2:$AJ$555,MATCH(LOWER(Data!A336),LOWER(DataAll!$AI$2:$AI$555),0))</f>
        <v>20</v>
      </c>
      <c r="M336" cm="1">
        <f t="array" ref="M336">INDEX(DataAll!$AP$2:$AP$555,MATCH(LOWER(Data!A336),LOWER(DataAll!$AO$2:$AO$555),0))</f>
        <v>67.83</v>
      </c>
      <c r="N336" cm="1">
        <f t="array" ref="N336">INDEX(DataAll!$AQ$2:$AQ$555,MATCH(LOWER(Data!A336),LOWER(DataAll!$AO$2:$AO$555),0))</f>
        <v>71.78</v>
      </c>
      <c r="O336" cm="1">
        <f t="array" ref="O336">INDEX(DataAll!$AT$2:$AT$555,MATCH(LOWER(Data!A336),LOWER(DataAll!$AS$2:$AS$555),0))</f>
        <v>7.39</v>
      </c>
      <c r="P336" cm="1">
        <f t="array" ref="P336">INDEX(DataAll!$AU$2:$AU$555,MATCH(LOWER(Data!A336),LOWER(DataAll!$AS$2:$AS$555),0))</f>
        <v>6.14</v>
      </c>
      <c r="Q336" cm="1">
        <f t="array" ref="Q336">INDEX(DataAll!$AX$2:$AX$556,MATCH(LOWER(Data!A336),LOWER(DataAll!$AW$2:$AW$556),0))</f>
        <v>20.18</v>
      </c>
      <c r="R336" cm="1">
        <f t="array" ref="R336">INDEX('Longitude and Latitude'!$B$2:$B$579,MATCH(LOWER(Data!A336),LOWER('Longitude and Latitude'!$A$2:$A$579),0))</f>
        <v>1.3613280000000001</v>
      </c>
      <c r="S336" cm="1">
        <f t="array" ref="S336">INDEX('Longitude and Latitude'!$C$2:$C$579,MATCH(LOWER(Data!A336),LOWER('Longitude and Latitude'!$A$2:$A$579),0))</f>
        <v>109.30999799999999</v>
      </c>
      <c r="T336" t="b">
        <f>IF(EXACT(A336, UPPER(A336)), TRUE, FALSE)</f>
        <v>0</v>
      </c>
    </row>
    <row r="337" spans="1:20" x14ac:dyDescent="0.35">
      <c r="A337" t="s">
        <v>336</v>
      </c>
      <c r="B337">
        <v>83.68</v>
      </c>
      <c r="C337" cm="1">
        <f t="array" ref="C337">INDEX(DataAll!$E$2:$E$555,MATCH(LOWER(Data!A337),LOWER(DataAll!$D$2:$D$555),0))</f>
        <v>76.37</v>
      </c>
      <c r="D337" cm="1">
        <f t="array" ref="D337">INDEX(DataAll!$H$2:$H$579,MATCH(LOWER(Data!A337),LOWER(DataAll!$G$2:$G$555),0))</f>
        <v>0.432</v>
      </c>
      <c r="E337" cm="1">
        <f t="array" ref="E337">INDEX(DataAll!$K$2:$K$579,MATCH(LOWER(Data!A337),LOWER(DataAll!$J$2:$J$555),0))</f>
        <v>23.33</v>
      </c>
      <c r="F337" cm="1">
        <f t="array" ref="F337">INDEX(DataAll!$N$2:$N$555,MATCH(LOWER(Data!A337),LOWER(DataAll!$M$2:$M$555),0))</f>
        <v>49.42</v>
      </c>
      <c r="G337" cm="1">
        <f t="array" ref="G337">INDEX(DataAll!$Q$2:$Q$555,MATCH(LOWER(Data!A337),LOWER(DataAll!$P$2:$P$555),0))</f>
        <v>15.21</v>
      </c>
      <c r="H337" cm="1">
        <f t="array" ref="H337">INDEX(DataAll!$T$2:$T$555,MATCH(LOWER(Data!A337),LOWER(DataAll!$S$2:$S$555),0))</f>
        <v>0.28399999999999997</v>
      </c>
      <c r="I337" cm="1">
        <f t="array" ref="I337">INDEX(DataAll!$W$2:$W$555,MATCH(LOWER(Data!A337),LOWER(DataAll!$V$2:$V$555),0))</f>
        <v>37.67</v>
      </c>
      <c r="J337" cm="1">
        <f t="array" ref="J337">INDEX(DataAll!$Z$2:$Z$555,MATCH(LOWER(Data!A337),LOWER(DataAll!$Y$2:$Y$555),0))</f>
        <v>2.3199999999999998</v>
      </c>
      <c r="K337" cm="1">
        <f t="array" ref="K337">INDEX(DataAll!$AM$2:$AM$555,MATCH(LOWER(Data!A337),LOWER(DataAll!$AL$2:$AL$555),0))</f>
        <v>6.28</v>
      </c>
      <c r="L337" cm="1">
        <f t="array" ref="L337">INDEX(DataAll!$AJ$2:$AJ$555,MATCH(LOWER(Data!A337),LOWER(DataAll!$AI$2:$AI$555),0))</f>
        <v>19.37</v>
      </c>
      <c r="M337" cm="1">
        <f t="array" ref="M337">INDEX(DataAll!$AP$2:$AP$555,MATCH(LOWER(Data!A337),LOWER(DataAll!$AO$2:$AO$555),0))</f>
        <v>72.41</v>
      </c>
      <c r="N337" cm="1">
        <f t="array" ref="N337">INDEX(DataAll!$AQ$2:$AQ$555,MATCH(LOWER(Data!A337),LOWER(DataAll!$AO$2:$AO$555),0))</f>
        <v>76.739999999999995</v>
      </c>
      <c r="O337" cm="1">
        <f t="array" ref="O337">INDEX(DataAll!$AT$2:$AT$555,MATCH(LOWER(Data!A337),LOWER(DataAll!$AS$2:$AS$555),0))</f>
        <v>7.62</v>
      </c>
      <c r="P337" cm="1">
        <f t="array" ref="P337">INDEX(DataAll!$AU$2:$AU$555,MATCH(LOWER(Data!A337),LOWER(DataAll!$AS$2:$AS$555),0))</f>
        <v>6.68</v>
      </c>
      <c r="Q337" cm="1">
        <f t="array" ref="Q337">INDEX(DataAll!$AX$2:$AX$556,MATCH(LOWER(Data!A337),LOWER(DataAll!$AW$2:$AW$556),0))</f>
        <v>32.81</v>
      </c>
      <c r="R337" cm="1">
        <f t="array" ref="R337">INDEX('Longitude and Latitude'!$B$2:$B$579,MATCH(LOWER(Data!A337),LOWER('Longitude and Latitude'!$A$2:$A$579),0))</f>
        <v>0.82097290000000001</v>
      </c>
      <c r="S337" cm="1">
        <f t="array" ref="S337">INDEX('Longitude and Latitude'!$C$2:$C$579,MATCH(LOWER(Data!A337),LOWER('Longitude and Latitude'!$A$2:$A$579),0))</f>
        <v>109.477699</v>
      </c>
      <c r="T337" t="b">
        <f>IF(EXACT(A337, UPPER(A337)), TRUE, FALSE)</f>
        <v>0</v>
      </c>
    </row>
    <row r="338" spans="1:20" x14ac:dyDescent="0.35">
      <c r="A338" t="s">
        <v>337</v>
      </c>
      <c r="B338">
        <v>89.45</v>
      </c>
      <c r="C338" cm="1">
        <f t="array" ref="C338">INDEX(DataAll!$E$2:$E$555,MATCH(LOWER(Data!A338),LOWER(DataAll!$D$2:$D$555),0))</f>
        <v>65.53</v>
      </c>
      <c r="D338" cm="1">
        <f t="array" ref="D338">INDEX(DataAll!$H$2:$H$579,MATCH(LOWER(Data!A338),LOWER(DataAll!$G$2:$G$555),0))</f>
        <v>0.52400000000000002</v>
      </c>
      <c r="E338" cm="1">
        <f t="array" ref="E338">INDEX(DataAll!$K$2:$K$579,MATCH(LOWER(Data!A338),LOWER(DataAll!$J$2:$J$555),0))</f>
        <v>11.43</v>
      </c>
      <c r="F338" cm="1">
        <f t="array" ref="F338">INDEX(DataAll!$N$2:$N$555,MATCH(LOWER(Data!A338),LOWER(DataAll!$M$2:$M$555),0))</f>
        <v>38.72</v>
      </c>
      <c r="G338" cm="1">
        <f t="array" ref="G338">INDEX(DataAll!$Q$2:$Q$555,MATCH(LOWER(Data!A338),LOWER(DataAll!$P$2:$P$555),0))</f>
        <v>10.43</v>
      </c>
      <c r="H338" cm="1">
        <f t="array" ref="H338">INDEX(DataAll!$T$2:$T$555,MATCH(LOWER(Data!A338),LOWER(DataAll!$S$2:$S$555),0))</f>
        <v>0.45200000000000001</v>
      </c>
      <c r="I338" cm="1">
        <f t="array" ref="I338">INDEX(DataAll!$W$2:$W$555,MATCH(LOWER(Data!A338),LOWER(DataAll!$V$2:$V$555),0))</f>
        <v>35.299999999999997</v>
      </c>
      <c r="J338" cm="1">
        <f t="array" ref="J338">INDEX(DataAll!$Z$2:$Z$555,MATCH(LOWER(Data!A338),LOWER(DataAll!$Y$2:$Y$555),0))</f>
        <v>2.38</v>
      </c>
      <c r="K338" cm="1">
        <f t="array" ref="K338">INDEX(DataAll!$AM$2:$AM$555,MATCH(LOWER(Data!A338),LOWER(DataAll!$AL$2:$AL$555),0))</f>
        <v>9.9700000000000006</v>
      </c>
      <c r="L338" cm="1">
        <f t="array" ref="L338">INDEX(DataAll!$AJ$2:$AJ$555,MATCH(LOWER(Data!A338),LOWER(DataAll!$AI$2:$AI$555),0))</f>
        <v>20.8</v>
      </c>
      <c r="M338" cm="1">
        <f t="array" ref="M338">INDEX(DataAll!$AP$2:$AP$555,MATCH(LOWER(Data!A338),LOWER(DataAll!$AO$2:$AO$555),0))</f>
        <v>71.510000000000005</v>
      </c>
      <c r="N338" cm="1">
        <f t="array" ref="N338">INDEX(DataAll!$AQ$2:$AQ$555,MATCH(LOWER(Data!A338),LOWER(DataAll!$AO$2:$AO$555),0))</f>
        <v>76.150000000000006</v>
      </c>
      <c r="O338" cm="1">
        <f t="array" ref="O338">INDEX(DataAll!$AT$2:$AT$555,MATCH(LOWER(Data!A338),LOWER(DataAll!$AS$2:$AS$555),0))</f>
        <v>8.0399999999999991</v>
      </c>
      <c r="P338" cm="1">
        <f t="array" ref="P338">INDEX(DataAll!$AU$2:$AU$555,MATCH(LOWER(Data!A338),LOWER(DataAll!$AS$2:$AS$555),0))</f>
        <v>6.96</v>
      </c>
      <c r="Q338" cm="1">
        <f t="array" ref="Q338">INDEX(DataAll!$AX$2:$AX$556,MATCH(LOWER(Data!A338),LOWER(DataAll!$AW$2:$AW$556),0))</f>
        <v>26.94</v>
      </c>
      <c r="R338" cm="1">
        <f t="array" ref="R338">INDEX('Longitude and Latitude'!$B$2:$B$579,MATCH(LOWER(Data!A338),LOWER('Longitude and Latitude'!$A$2:$A$579),0))</f>
        <v>0.42372870000000001</v>
      </c>
      <c r="S338" cm="1">
        <f t="array" ref="S338">INDEX('Longitude and Latitude'!$C$2:$C$579,MATCH(LOWER(Data!A338),LOWER('Longitude and Latitude'!$A$2:$A$579),0))</f>
        <v>109.7591675</v>
      </c>
      <c r="T338" t="b">
        <f>IF(EXACT(A338, UPPER(A338)), TRUE, FALSE)</f>
        <v>0</v>
      </c>
    </row>
    <row r="339" spans="1:20" x14ac:dyDescent="0.35">
      <c r="A339" t="s">
        <v>1086</v>
      </c>
      <c r="B339">
        <v>88.9</v>
      </c>
      <c r="C339" t="e" cm="1">
        <f t="array" ref="C339">INDEX(DataAll!$E$2:$E$555,MATCH(LOWER(Data!A339),LOWER(DataAll!$D$2:$D$555),0))</f>
        <v>#N/A</v>
      </c>
      <c r="D339" t="e" cm="1">
        <f t="array" ref="D339">INDEX(DataAll!$H$2:$H$579,MATCH(LOWER(Data!A339),LOWER(DataAll!$G$2:$G$555),0))</f>
        <v>#N/A</v>
      </c>
      <c r="E339" t="e" cm="1">
        <f t="array" ref="E339">INDEX(DataAll!$K$2:$K$579,MATCH(LOWER(Data!A339),LOWER(DataAll!$J$2:$J$555),0))</f>
        <v>#N/A</v>
      </c>
      <c r="F339" t="e" cm="1">
        <f t="array" ref="F339">INDEX(DataAll!$N$2:$N$555,MATCH(LOWER(Data!A339),LOWER(DataAll!$M$2:$M$555),0))</f>
        <v>#N/A</v>
      </c>
      <c r="G339" t="e" cm="1">
        <f t="array" ref="G339">INDEX(DataAll!$Q$2:$Q$555,MATCH(LOWER(Data!A339),LOWER(DataAll!$P$2:$P$555),0))</f>
        <v>#N/A</v>
      </c>
      <c r="H339" t="e" cm="1">
        <f t="array" ref="H339">INDEX(DataAll!$T$2:$T$555,MATCH(LOWER(Data!A339),LOWER(DataAll!$S$2:$S$555),0))</f>
        <v>#N/A</v>
      </c>
      <c r="I339" t="e" cm="1">
        <f t="array" ref="I339">INDEX(DataAll!$W$2:$W$555,MATCH(LOWER(Data!A339),LOWER(DataAll!$V$2:$V$555),0))</f>
        <v>#N/A</v>
      </c>
      <c r="J339" t="e" cm="1">
        <f t="array" ref="J339">INDEX(DataAll!$Z$2:$Z$555,MATCH(LOWER(Data!A339),LOWER(DataAll!$Y$2:$Y$555),0))</f>
        <v>#N/A</v>
      </c>
      <c r="K339" t="e" cm="1">
        <f t="array" ref="K339">INDEX(DataAll!$AM$2:$AM$555,MATCH(LOWER(Data!A339),LOWER(DataAll!$AL$2:$AL$555),0))</f>
        <v>#N/A</v>
      </c>
      <c r="L339" t="e" cm="1">
        <f t="array" ref="L339">INDEX(DataAll!$AJ$2:$AJ$555,MATCH(LOWER(Data!A339),LOWER(DataAll!$AI$2:$AI$555),0))</f>
        <v>#N/A</v>
      </c>
      <c r="M339" t="e" cm="1">
        <f t="array" ref="M339">INDEX(DataAll!$AP$2:$AP$555,MATCH(LOWER(Data!A339),LOWER(DataAll!$AO$2:$AO$555),0))</f>
        <v>#N/A</v>
      </c>
      <c r="N339" t="e" cm="1">
        <f t="array" ref="N339">INDEX(DataAll!$AQ$2:$AQ$555,MATCH(LOWER(Data!A339),LOWER(DataAll!$AO$2:$AO$555),0))</f>
        <v>#N/A</v>
      </c>
      <c r="O339" t="e" cm="1">
        <f t="array" ref="O339">INDEX(DataAll!$AT$2:$AT$555,MATCH(LOWER(Data!A339),LOWER(DataAll!$AS$2:$AS$555),0))</f>
        <v>#N/A</v>
      </c>
      <c r="P339" t="e" cm="1">
        <f t="array" ref="P339">INDEX(DataAll!$AU$2:$AU$555,MATCH(LOWER(Data!A339),LOWER(DataAll!$AS$2:$AS$555),0))</f>
        <v>#N/A</v>
      </c>
      <c r="Q339" t="e" cm="1">
        <f t="array" ref="Q339">INDEX(DataAll!$AX$2:$AX$556,MATCH(LOWER(Data!A339),LOWER(DataAll!$AW$2:$AW$556),0))</f>
        <v>#N/A</v>
      </c>
      <c r="R339" t="e" cm="1">
        <f t="array" ref="R339">INDEX('Longitude and Latitude'!$B$2:$B$579,MATCH(LOWER(Data!A339),LOWER('Longitude and Latitude'!$A$2:$A$579),0))</f>
        <v>#N/A</v>
      </c>
      <c r="S339" t="e" cm="1">
        <f t="array" ref="S339">INDEX('Longitude and Latitude'!$C$2:$C$579,MATCH(LOWER(Data!A339),LOWER('Longitude and Latitude'!$A$2:$A$579),0))</f>
        <v>#N/A</v>
      </c>
      <c r="T339" t="b">
        <f>IF(EXACT(A339, UPPER(A339)), TRUE, FALSE)</f>
        <v>0</v>
      </c>
    </row>
    <row r="340" spans="1:20" x14ac:dyDescent="0.35">
      <c r="A340" t="s">
        <v>339</v>
      </c>
      <c r="B340">
        <v>82.66</v>
      </c>
      <c r="C340" cm="1">
        <f t="array" ref="C340">INDEX(DataAll!$E$2:$E$555,MATCH(LOWER(Data!A340),LOWER(DataAll!$D$2:$D$555),0))</f>
        <v>73.86</v>
      </c>
      <c r="D340" cm="1">
        <f t="array" ref="D340">INDEX(DataAll!$H$2:$H$579,MATCH(LOWER(Data!A340),LOWER(DataAll!$G$2:$G$555),0))</f>
        <v>0.54100000000000004</v>
      </c>
      <c r="E340" cm="1">
        <f t="array" ref="E340">INDEX(DataAll!$K$2:$K$579,MATCH(LOWER(Data!A340),LOWER(DataAll!$J$2:$J$555),0))</f>
        <v>22.5</v>
      </c>
      <c r="F340" cm="1">
        <f t="array" ref="F340">INDEX(DataAll!$N$2:$N$555,MATCH(LOWER(Data!A340),LOWER(DataAll!$M$2:$M$555),0))</f>
        <v>41.17</v>
      </c>
      <c r="G340" cm="1">
        <f t="array" ref="G340">INDEX(DataAll!$Q$2:$Q$555,MATCH(LOWER(Data!A340),LOWER(DataAll!$P$2:$P$555),0))</f>
        <v>18.52</v>
      </c>
      <c r="H340" cm="1">
        <f t="array" ref="H340">INDEX(DataAll!$T$2:$T$555,MATCH(LOWER(Data!A340),LOWER(DataAll!$S$2:$S$555),0))</f>
        <v>0.39700000000000002</v>
      </c>
      <c r="I340" cm="1">
        <f t="array" ref="I340">INDEX(DataAll!$W$2:$W$555,MATCH(LOWER(Data!A340),LOWER(DataAll!$V$2:$V$555),0))</f>
        <v>32.630000000000003</v>
      </c>
      <c r="J340" cm="1">
        <f t="array" ref="J340">INDEX(DataAll!$Z$2:$Z$555,MATCH(LOWER(Data!A340),LOWER(DataAll!$Y$2:$Y$555),0))</f>
        <v>2.33</v>
      </c>
      <c r="K340" cm="1">
        <f t="array" ref="K340">INDEX(DataAll!$AM$2:$AM$555,MATCH(LOWER(Data!A340),LOWER(DataAll!$AL$2:$AL$555),0))</f>
        <v>4.79</v>
      </c>
      <c r="L340" cm="1">
        <f t="array" ref="L340">INDEX(DataAll!$AJ$2:$AJ$555,MATCH(LOWER(Data!A340),LOWER(DataAll!$AI$2:$AI$555),0))</f>
        <v>17.93</v>
      </c>
      <c r="M340" cm="1">
        <f t="array" ref="M340">INDEX(DataAll!$AP$2:$AP$555,MATCH(LOWER(Data!A340),LOWER(DataAll!$AO$2:$AO$555),0))</f>
        <v>69.819999999999993</v>
      </c>
      <c r="N340" cm="1">
        <f t="array" ref="N340">INDEX(DataAll!$AQ$2:$AQ$555,MATCH(LOWER(Data!A340),LOWER(DataAll!$AO$2:$AO$555),0))</f>
        <v>73.81</v>
      </c>
      <c r="O340" cm="1">
        <f t="array" ref="O340">INDEX(DataAll!$AT$2:$AT$555,MATCH(LOWER(Data!A340),LOWER(DataAll!$AS$2:$AS$555),0))</f>
        <v>7.92</v>
      </c>
      <c r="P340" cm="1">
        <f t="array" ref="P340">INDEX(DataAll!$AU$2:$AU$555,MATCH(LOWER(Data!A340),LOWER(DataAll!$AS$2:$AS$555),0))</f>
        <v>7.14</v>
      </c>
      <c r="Q340" cm="1">
        <f t="array" ref="Q340">INDEX(DataAll!$AX$2:$AX$556,MATCH(LOWER(Data!A340),LOWER(DataAll!$AW$2:$AW$556),0))</f>
        <v>27.13</v>
      </c>
      <c r="R340" cm="1">
        <f t="array" ref="R340">INDEX('Longitude and Latitude'!$B$2:$B$579,MATCH(LOWER(Data!A340),LOWER('Longitude and Latitude'!$A$2:$A$579),0))</f>
        <v>0.11927500000000001</v>
      </c>
      <c r="S340" cm="1">
        <f t="array" ref="S340">INDEX('Longitude and Latitude'!$C$2:$C$579,MATCH(LOWER(Data!A340),LOWER('Longitude and Latitude'!$A$2:$A$579),0))</f>
        <v>110.59729799999999</v>
      </c>
      <c r="T340" t="b">
        <f>IF(EXACT(A340, UPPER(A340)), TRUE, FALSE)</f>
        <v>0</v>
      </c>
    </row>
    <row r="341" spans="1:20" x14ac:dyDescent="0.35">
      <c r="A341" t="s">
        <v>340</v>
      </c>
      <c r="B341">
        <v>89.46</v>
      </c>
      <c r="C341" cm="1">
        <f t="array" ref="C341">INDEX(DataAll!$E$2:$E$555,MATCH(LOWER(Data!A341),LOWER(DataAll!$D$2:$D$555),0))</f>
        <v>56.46</v>
      </c>
      <c r="D341" cm="1">
        <f t="array" ref="D341">INDEX(DataAll!$H$2:$H$579,MATCH(LOWER(Data!A341),LOWER(DataAll!$G$2:$G$555),0))</f>
        <v>0.60199999999999998</v>
      </c>
      <c r="E341" cm="1">
        <f t="array" ref="E341">INDEX(DataAll!$K$2:$K$579,MATCH(LOWER(Data!A341),LOWER(DataAll!$J$2:$J$555),0))</f>
        <v>8.89</v>
      </c>
      <c r="F341" cm="1">
        <f t="array" ref="F341">INDEX(DataAll!$N$2:$N$555,MATCH(LOWER(Data!A341),LOWER(DataAll!$M$2:$M$555),0))</f>
        <v>47.81</v>
      </c>
      <c r="G341" cm="1">
        <f t="array" ref="G341">INDEX(DataAll!$Q$2:$Q$555,MATCH(LOWER(Data!A341),LOWER(DataAll!$P$2:$P$555),0))</f>
        <v>14.58</v>
      </c>
      <c r="H341" cm="1">
        <f t="array" ref="H341">INDEX(DataAll!$T$2:$T$555,MATCH(LOWER(Data!A341),LOWER(DataAll!$S$2:$S$555),0))</f>
        <v>0.34699999999999998</v>
      </c>
      <c r="I341" cm="1">
        <f t="array" ref="I341">INDEX(DataAll!$W$2:$W$555,MATCH(LOWER(Data!A341),LOWER(DataAll!$V$2:$V$555),0))</f>
        <v>25.85</v>
      </c>
      <c r="J341" cm="1">
        <f t="array" ref="J341">INDEX(DataAll!$Z$2:$Z$555,MATCH(LOWER(Data!A341),LOWER(DataAll!$Y$2:$Y$555),0))</f>
        <v>2.2799999999999998</v>
      </c>
      <c r="K341" cm="1">
        <f t="array" ref="K341">INDEX(DataAll!$AM$2:$AM$555,MATCH(LOWER(Data!A341),LOWER(DataAll!$AL$2:$AL$555),0))</f>
        <v>9.25</v>
      </c>
      <c r="L341" cm="1">
        <f t="array" ref="L341">INDEX(DataAll!$AJ$2:$AJ$555,MATCH(LOWER(Data!A341),LOWER(DataAll!$AI$2:$AI$555),0))</f>
        <v>20</v>
      </c>
      <c r="M341" cm="1">
        <f t="array" ref="M341">INDEX(DataAll!$AP$2:$AP$555,MATCH(LOWER(Data!A341),LOWER(DataAll!$AO$2:$AO$555),0))</f>
        <v>69.52</v>
      </c>
      <c r="N341" cm="1">
        <f t="array" ref="N341">INDEX(DataAll!$AQ$2:$AQ$555,MATCH(LOWER(Data!A341),LOWER(DataAll!$AO$2:$AO$555),0))</f>
        <v>73.489999999999995</v>
      </c>
      <c r="O341" cm="1">
        <f t="array" ref="O341">INDEX(DataAll!$AT$2:$AT$555,MATCH(LOWER(Data!A341),LOWER(DataAll!$AS$2:$AS$555),0))</f>
        <v>7.99</v>
      </c>
      <c r="P341" cm="1">
        <f t="array" ref="P341">INDEX(DataAll!$AU$2:$AU$555,MATCH(LOWER(Data!A341),LOWER(DataAll!$AS$2:$AS$555),0))</f>
        <v>7.5</v>
      </c>
      <c r="Q341" cm="1">
        <f t="array" ref="Q341">INDEX(DataAll!$AX$2:$AX$556,MATCH(LOWER(Data!A341),LOWER(DataAll!$AW$2:$AW$556),0))</f>
        <v>26.05</v>
      </c>
      <c r="R341" cm="1">
        <f t="array" ref="R341">INDEX('Longitude and Latitude'!$B$2:$B$579,MATCH(LOWER(Data!A341),LOWER('Longitude and Latitude'!$A$2:$A$579),0))</f>
        <v>-1.8590979999999999</v>
      </c>
      <c r="S341" cm="1">
        <f t="array" ref="S341">INDEX('Longitude and Latitude'!$C$2:$C$579,MATCH(LOWER(Data!A341),LOWER('Longitude and Latitude'!$A$2:$A$579),0))</f>
        <v>109.971901</v>
      </c>
      <c r="T341" t="b">
        <f>IF(EXACT(A341, UPPER(A341)), TRUE, FALSE)</f>
        <v>0</v>
      </c>
    </row>
    <row r="342" spans="1:20" x14ac:dyDescent="0.35">
      <c r="A342" t="s">
        <v>341</v>
      </c>
      <c r="B342">
        <v>87.74</v>
      </c>
      <c r="C342" cm="1">
        <f t="array" ref="C342">INDEX(DataAll!$E$2:$E$555,MATCH(LOWER(Data!A342),LOWER(DataAll!$D$2:$D$555),0))</f>
        <v>63.7</v>
      </c>
      <c r="D342" cm="1">
        <f t="array" ref="D342">INDEX(DataAll!$H$2:$H$579,MATCH(LOWER(Data!A342),LOWER(DataAll!$G$2:$G$555),0))</f>
        <v>0.59099999999999997</v>
      </c>
      <c r="E342" cm="1">
        <f t="array" ref="E342">INDEX(DataAll!$K$2:$K$579,MATCH(LOWER(Data!A342),LOWER(DataAll!$J$2:$J$555),0))</f>
        <v>12.5</v>
      </c>
      <c r="F342" cm="1">
        <f t="array" ref="F342">INDEX(DataAll!$N$2:$N$555,MATCH(LOWER(Data!A342),LOWER(DataAll!$M$2:$M$555),0))</f>
        <v>47.34</v>
      </c>
      <c r="G342" cm="1">
        <f t="array" ref="G342">INDEX(DataAll!$Q$2:$Q$555,MATCH(LOWER(Data!A342),LOWER(DataAll!$P$2:$P$555),0))</f>
        <v>13.56</v>
      </c>
      <c r="H342" cm="1">
        <f t="array" ref="H342">INDEX(DataAll!$T$2:$T$555,MATCH(LOWER(Data!A342),LOWER(DataAll!$S$2:$S$555),0))</f>
        <v>0.40300000000000002</v>
      </c>
      <c r="I342" cm="1">
        <f t="array" ref="I342">INDEX(DataAll!$W$2:$W$555,MATCH(LOWER(Data!A342),LOWER(DataAll!$V$2:$V$555),0))</f>
        <v>31.82</v>
      </c>
      <c r="J342" cm="1">
        <f t="array" ref="J342">INDEX(DataAll!$Z$2:$Z$555,MATCH(LOWER(Data!A342),LOWER(DataAll!$Y$2:$Y$555),0))</f>
        <v>2.4</v>
      </c>
      <c r="K342" cm="1">
        <f t="array" ref="K342">INDEX(DataAll!$AM$2:$AM$555,MATCH(LOWER(Data!A342),LOWER(DataAll!$AL$2:$AL$555),0))</f>
        <v>8.18</v>
      </c>
      <c r="L342" cm="1">
        <f t="array" ref="L342">INDEX(DataAll!$AJ$2:$AJ$555,MATCH(LOWER(Data!A342),LOWER(DataAll!$AI$2:$AI$555),0))</f>
        <v>19.600000000000001</v>
      </c>
      <c r="M342" cm="1">
        <f t="array" ref="M342">INDEX(DataAll!$AP$2:$AP$555,MATCH(LOWER(Data!A342),LOWER(DataAll!$AO$2:$AO$555),0))</f>
        <v>70.45</v>
      </c>
      <c r="N342" cm="1">
        <f t="array" ref="N342">INDEX(DataAll!$AQ$2:$AQ$555,MATCH(LOWER(Data!A342),LOWER(DataAll!$AO$2:$AO$555),0))</f>
        <v>74.47</v>
      </c>
      <c r="O342" cm="1">
        <f t="array" ref="O342">INDEX(DataAll!$AT$2:$AT$555,MATCH(LOWER(Data!A342),LOWER(DataAll!$AS$2:$AS$555),0))</f>
        <v>7.98</v>
      </c>
      <c r="P342" cm="1">
        <f t="array" ref="P342">INDEX(DataAll!$AU$2:$AU$555,MATCH(LOWER(Data!A342),LOWER(DataAll!$AS$2:$AS$555),0))</f>
        <v>7.15</v>
      </c>
      <c r="Q342" cm="1">
        <f t="array" ref="Q342">INDEX(DataAll!$AX$2:$AX$556,MATCH(LOWER(Data!A342),LOWER(DataAll!$AW$2:$AW$556),0))</f>
        <v>25.76</v>
      </c>
      <c r="R342" cm="1">
        <f t="array" ref="R342">INDEX('Longitude and Latitude'!$B$2:$B$579,MATCH(LOWER(Data!A342),LOWER('Longitude and Latitude'!$A$2:$A$579),0))</f>
        <v>8.0238000000000004E-2</v>
      </c>
      <c r="S342" cm="1">
        <f t="array" ref="S342">INDEX('Longitude and Latitude'!$C$2:$C$579,MATCH(LOWER(Data!A342),LOWER('Longitude and Latitude'!$A$2:$A$579),0))</f>
        <v>111.495499</v>
      </c>
      <c r="T342" t="b">
        <f>IF(EXACT(A342, UPPER(A342)), TRUE, FALSE)</f>
        <v>0</v>
      </c>
    </row>
    <row r="343" spans="1:20" x14ac:dyDescent="0.35">
      <c r="A343" t="s">
        <v>342</v>
      </c>
      <c r="B343">
        <v>86.52</v>
      </c>
      <c r="C343" cm="1">
        <f t="array" ref="C343">INDEX(DataAll!$E$2:$E$555,MATCH(LOWER(Data!A343),LOWER(DataAll!$D$2:$D$555),0))</f>
        <v>63.76</v>
      </c>
      <c r="D343" cm="1">
        <f t="array" ref="D343">INDEX(DataAll!$H$2:$H$579,MATCH(LOWER(Data!A343),LOWER(DataAll!$G$2:$G$555),0))</f>
        <v>0.498</v>
      </c>
      <c r="E343" cm="1">
        <f t="array" ref="E343">INDEX(DataAll!$K$2:$K$579,MATCH(LOWER(Data!A343),LOWER(DataAll!$J$2:$J$555),0))</f>
        <v>6.67</v>
      </c>
      <c r="F343" cm="1">
        <f t="array" ref="F343">INDEX(DataAll!$N$2:$N$555,MATCH(LOWER(Data!A343),LOWER(DataAll!$M$2:$M$555),0))</f>
        <v>45.74</v>
      </c>
      <c r="G343" cm="1">
        <f t="array" ref="G343">INDEX(DataAll!$Q$2:$Q$555,MATCH(LOWER(Data!A343),LOWER(DataAll!$P$2:$P$555),0))</f>
        <v>12.75</v>
      </c>
      <c r="H343" cm="1">
        <f t="array" ref="H343">INDEX(DataAll!$T$2:$T$555,MATCH(LOWER(Data!A343),LOWER(DataAll!$S$2:$S$555),0))</f>
        <v>0.36799999999999999</v>
      </c>
      <c r="I343" cm="1">
        <f t="array" ref="I343">INDEX(DataAll!$W$2:$W$555,MATCH(LOWER(Data!A343),LOWER(DataAll!$V$2:$V$555),0))</f>
        <v>40.909999999999997</v>
      </c>
      <c r="J343" cm="1">
        <f t="array" ref="J343">INDEX(DataAll!$Z$2:$Z$555,MATCH(LOWER(Data!A343),LOWER(DataAll!$Y$2:$Y$555),0))</f>
        <v>2.33</v>
      </c>
      <c r="K343" cm="1">
        <f t="array" ref="K343">INDEX(DataAll!$AM$2:$AM$555,MATCH(LOWER(Data!A343),LOWER(DataAll!$AL$2:$AL$555),0))</f>
        <v>8.16</v>
      </c>
      <c r="L343" cm="1">
        <f t="array" ref="L343">INDEX(DataAll!$AJ$2:$AJ$555,MATCH(LOWER(Data!A343),LOWER(DataAll!$AI$2:$AI$555),0))</f>
        <v>21.06</v>
      </c>
      <c r="M343" cm="1">
        <f t="array" ref="M343">INDEX(DataAll!$AP$2:$AP$555,MATCH(LOWER(Data!A343),LOWER(DataAll!$AO$2:$AO$555),0))</f>
        <v>70.91</v>
      </c>
      <c r="N343" cm="1">
        <f t="array" ref="N343">INDEX(DataAll!$AQ$2:$AQ$555,MATCH(LOWER(Data!A343),LOWER(DataAll!$AO$2:$AO$555),0))</f>
        <v>74.94</v>
      </c>
      <c r="O343" cm="1">
        <f t="array" ref="O343">INDEX(DataAll!$AT$2:$AT$555,MATCH(LOWER(Data!A343),LOWER(DataAll!$AS$2:$AS$555),0))</f>
        <v>8.2200000000000006</v>
      </c>
      <c r="P343" cm="1">
        <f t="array" ref="P343">INDEX(DataAll!$AU$2:$AU$555,MATCH(LOWER(Data!A343),LOWER(DataAll!$AS$2:$AS$555),0))</f>
        <v>7.52</v>
      </c>
      <c r="Q343" cm="1">
        <f t="array" ref="Q343">INDEX(DataAll!$AX$2:$AX$556,MATCH(LOWER(Data!A343),LOWER(DataAll!$AW$2:$AW$556),0))</f>
        <v>29.64</v>
      </c>
      <c r="R343" cm="1">
        <f t="array" ref="R343">INDEX('Longitude and Latitude'!$B$2:$B$579,MATCH(LOWER(Data!A343),LOWER('Longitude and Latitude'!$A$2:$A$579),0))</f>
        <v>-0.79310040000000004</v>
      </c>
      <c r="S343" cm="1">
        <f t="array" ref="S343">INDEX('Longitude and Latitude'!$C$2:$C$579,MATCH(LOWER(Data!A343),LOWER('Longitude and Latitude'!$A$2:$A$579),0))</f>
        <v>113.9060624</v>
      </c>
      <c r="T343" t="b">
        <f>IF(EXACT(A343, UPPER(A343)), TRUE, FALSE)</f>
        <v>0</v>
      </c>
    </row>
    <row r="344" spans="1:20" x14ac:dyDescent="0.35">
      <c r="A344" t="s">
        <v>343</v>
      </c>
      <c r="B344">
        <v>84.07</v>
      </c>
      <c r="C344" cm="1">
        <f t="array" ref="C344">INDEX(DataAll!$E$2:$E$555,MATCH(LOWER(Data!A344),LOWER(DataAll!$D$2:$D$555),0))</f>
        <v>57.74</v>
      </c>
      <c r="D344" cm="1">
        <f t="array" ref="D344">INDEX(DataAll!$H$2:$H$579,MATCH(LOWER(Data!A344),LOWER(DataAll!$G$2:$G$555),0))</f>
        <v>0.66100000000000003</v>
      </c>
      <c r="E344" cm="1">
        <f t="array" ref="E344">INDEX(DataAll!$K$2:$K$579,MATCH(LOWER(Data!A344),LOWER(DataAll!$J$2:$J$555),0))</f>
        <v>3.33</v>
      </c>
      <c r="F344" cm="1">
        <f t="array" ref="F344">INDEX(DataAll!$N$2:$N$555,MATCH(LOWER(Data!A344),LOWER(DataAll!$M$2:$M$555),0))</f>
        <v>42.21</v>
      </c>
      <c r="G344" cm="1">
        <f t="array" ref="G344">INDEX(DataAll!$Q$2:$Q$555,MATCH(LOWER(Data!A344),LOWER(DataAll!$P$2:$P$555),0))</f>
        <v>20.100000000000001</v>
      </c>
      <c r="H344" cm="1">
        <f t="array" ref="H344">INDEX(DataAll!$T$2:$T$555,MATCH(LOWER(Data!A344),LOWER(DataAll!$S$2:$S$555),0))</f>
        <v>0.39600000000000002</v>
      </c>
      <c r="I344" cm="1">
        <f t="array" ref="I344">INDEX(DataAll!$W$2:$W$555,MATCH(LOWER(Data!A344),LOWER(DataAll!$V$2:$V$555),0))</f>
        <v>39.67</v>
      </c>
      <c r="J344" cm="1">
        <f t="array" ref="J344">INDEX(DataAll!$Z$2:$Z$555,MATCH(LOWER(Data!A344),LOWER(DataAll!$Y$2:$Y$555),0))</f>
        <v>2.36</v>
      </c>
      <c r="K344" cm="1">
        <f t="array" ref="K344">INDEX(DataAll!$AM$2:$AM$555,MATCH(LOWER(Data!A344),LOWER(DataAll!$AL$2:$AL$555),0))</f>
        <v>5.9</v>
      </c>
      <c r="L344" cm="1">
        <f t="array" ref="L344">INDEX(DataAll!$AJ$2:$AJ$555,MATCH(LOWER(Data!A344),LOWER(DataAll!$AI$2:$AI$555),0))</f>
        <v>20.92</v>
      </c>
      <c r="M344" cm="1">
        <f t="array" ref="M344">INDEX(DataAll!$AP$2:$AP$555,MATCH(LOWER(Data!A344),LOWER(DataAll!$AO$2:$AO$555),0))</f>
        <v>70.77</v>
      </c>
      <c r="N344" cm="1">
        <f t="array" ref="N344">INDEX(DataAll!$AQ$2:$AQ$555,MATCH(LOWER(Data!A344),LOWER(DataAll!$AO$2:$AO$555),0))</f>
        <v>74.8</v>
      </c>
      <c r="O344" cm="1">
        <f t="array" ref="O344">INDEX(DataAll!$AT$2:$AT$555,MATCH(LOWER(Data!A344),LOWER(DataAll!$AS$2:$AS$555),0))</f>
        <v>7.64</v>
      </c>
      <c r="P344" cm="1">
        <f t="array" ref="P344">INDEX(DataAll!$AU$2:$AU$555,MATCH(LOWER(Data!A344),LOWER(DataAll!$AS$2:$AS$555),0))</f>
        <v>6.59</v>
      </c>
      <c r="Q344" cm="1">
        <f t="array" ref="Q344">INDEX(DataAll!$AX$2:$AX$556,MATCH(LOWER(Data!A344),LOWER(DataAll!$AW$2:$AW$556),0))</f>
        <v>20.94</v>
      </c>
      <c r="R344" cm="1">
        <f t="array" ref="R344">INDEX('Longitude and Latitude'!$B$2:$B$579,MATCH(LOWER(Data!A344),LOWER('Longitude and Latitude'!$A$2:$A$579),0))</f>
        <v>1.5637000000000002E-2</v>
      </c>
      <c r="S344" cm="1">
        <f t="array" ref="S344">INDEX('Longitude and Latitude'!$C$2:$C$579,MATCH(LOWER(Data!A344),LOWER('Longitude and Latitude'!$A$2:$A$579),0))</f>
        <v>110.888603</v>
      </c>
      <c r="T344" t="b">
        <f>IF(EXACT(A344, UPPER(A344)), TRUE, FALSE)</f>
        <v>0</v>
      </c>
    </row>
    <row r="345" spans="1:20" x14ac:dyDescent="0.35">
      <c r="A345" t="s">
        <v>344</v>
      </c>
      <c r="B345">
        <v>81.22</v>
      </c>
      <c r="C345" cm="1">
        <f t="array" ref="C345">INDEX(DataAll!$E$2:$E$555,MATCH(LOWER(Data!A345),LOWER(DataAll!$D$2:$D$555),0))</f>
        <v>73.59</v>
      </c>
      <c r="D345" cm="1">
        <f t="array" ref="D345">INDEX(DataAll!$H$2:$H$579,MATCH(LOWER(Data!A345),LOWER(DataAll!$G$2:$G$555),0))</f>
        <v>0.56100000000000005</v>
      </c>
      <c r="E345" cm="1">
        <f t="array" ref="E345">INDEX(DataAll!$K$2:$K$579,MATCH(LOWER(Data!A345),LOWER(DataAll!$J$2:$J$555),0))</f>
        <v>20</v>
      </c>
      <c r="F345" cm="1">
        <f t="array" ref="F345">INDEX(DataAll!$N$2:$N$555,MATCH(LOWER(Data!A345),LOWER(DataAll!$M$2:$M$555),0))</f>
        <v>43.3</v>
      </c>
      <c r="G345" cm="1">
        <f t="array" ref="G345">INDEX(DataAll!$Q$2:$Q$555,MATCH(LOWER(Data!A345),LOWER(DataAll!$P$2:$P$555),0))</f>
        <v>19.73</v>
      </c>
      <c r="H345" cm="1">
        <f t="array" ref="H345">INDEX(DataAll!$T$2:$T$555,MATCH(LOWER(Data!A345),LOWER(DataAll!$S$2:$S$555),0))</f>
        <v>0.41199999999999998</v>
      </c>
      <c r="I345" cm="1">
        <f t="array" ref="I345">INDEX(DataAll!$W$2:$W$555,MATCH(LOWER(Data!A345),LOWER(DataAll!$V$2:$V$555),0))</f>
        <v>36.43</v>
      </c>
      <c r="J345" cm="1">
        <f t="array" ref="J345">INDEX(DataAll!$Z$2:$Z$555,MATCH(LOWER(Data!A345),LOWER(DataAll!$Y$2:$Y$555),0))</f>
        <v>2.37</v>
      </c>
      <c r="K345" cm="1">
        <f t="array" ref="K345">INDEX(DataAll!$AM$2:$AM$555,MATCH(LOWER(Data!A345),LOWER(DataAll!$AL$2:$AL$555),0))</f>
        <v>11.12</v>
      </c>
      <c r="L345" cm="1">
        <f t="array" ref="L345">INDEX(DataAll!$AJ$2:$AJ$555,MATCH(LOWER(Data!A345),LOWER(DataAll!$AI$2:$AI$555),0))</f>
        <v>19.25</v>
      </c>
      <c r="M345" cm="1">
        <f t="array" ref="M345">INDEX(DataAll!$AP$2:$AP$555,MATCH(LOWER(Data!A345),LOWER(DataAll!$AO$2:$AO$555),0))</f>
        <v>71.22</v>
      </c>
      <c r="N345" cm="1">
        <f t="array" ref="N345">INDEX(DataAll!$AQ$2:$AQ$555,MATCH(LOWER(Data!A345),LOWER(DataAll!$AO$2:$AO$555),0))</f>
        <v>75.540000000000006</v>
      </c>
      <c r="O345" cm="1">
        <f t="array" ref="O345">INDEX(DataAll!$AT$2:$AT$555,MATCH(LOWER(Data!A345),LOWER(DataAll!$AS$2:$AS$555),0))</f>
        <v>7.99</v>
      </c>
      <c r="P345" cm="1">
        <f t="array" ref="P345">INDEX(DataAll!$AU$2:$AU$555,MATCH(LOWER(Data!A345),LOWER(DataAll!$AS$2:$AS$555),0))</f>
        <v>7.1</v>
      </c>
      <c r="Q345" cm="1">
        <f t="array" ref="Q345">INDEX(DataAll!$AX$2:$AX$556,MATCH(LOWER(Data!A345),LOWER(DataAll!$AW$2:$AW$556),0))</f>
        <v>26.24</v>
      </c>
      <c r="R345" cm="1">
        <f t="array" ref="R345">INDEX('Longitude and Latitude'!$B$2:$B$579,MATCH(LOWER(Data!A345),LOWER('Longitude and Latitude'!$A$2:$A$579),0))</f>
        <v>-0.70006809999999997</v>
      </c>
      <c r="S345" cm="1">
        <f t="array" ref="S345">INDEX('Longitude and Latitude'!$C$2:$C$579,MATCH(LOWER(Data!A345),LOWER('Longitude and Latitude'!$A$2:$A$579),0))</f>
        <v>111.6660725</v>
      </c>
      <c r="T345" t="b">
        <f>IF(EXACT(A345, UPPER(A345)), TRUE, FALSE)</f>
        <v>0</v>
      </c>
    </row>
    <row r="346" spans="1:20" x14ac:dyDescent="0.35">
      <c r="A346" t="s">
        <v>345</v>
      </c>
      <c r="B346">
        <v>86.8</v>
      </c>
      <c r="C346" cm="1">
        <f t="array" ref="C346">INDEX(DataAll!$E$2:$E$555,MATCH(LOWER(Data!A346),LOWER(DataAll!$D$2:$D$555),0))</f>
        <v>47.36</v>
      </c>
      <c r="D346" cm="1">
        <f t="array" ref="D346">INDEX(DataAll!$H$2:$H$579,MATCH(LOWER(Data!A346),LOWER(DataAll!$G$2:$G$555),0))</f>
        <v>0.84099999999999997</v>
      </c>
      <c r="E346" t="str" cm="1">
        <f t="array" ref="E346">INDEX(DataAll!$K$2:$K$579,MATCH(LOWER(Data!A346),LOWER(DataAll!$J$2:$J$555),0))</f>
        <v>-</v>
      </c>
      <c r="F346" cm="1">
        <f t="array" ref="F346">INDEX(DataAll!$N$2:$N$555,MATCH(LOWER(Data!A346),LOWER(DataAll!$M$2:$M$555),0))</f>
        <v>54.32</v>
      </c>
      <c r="G346" cm="1">
        <f t="array" ref="G346">INDEX(DataAll!$Q$2:$Q$555,MATCH(LOWER(Data!A346),LOWER(DataAll!$P$2:$P$555),0))</f>
        <v>11.9</v>
      </c>
      <c r="H346" cm="1">
        <f t="array" ref="H346">INDEX(DataAll!$T$2:$T$555,MATCH(LOWER(Data!A346),LOWER(DataAll!$S$2:$S$555),0))</f>
        <v>0.36899999999999999</v>
      </c>
      <c r="I346" cm="1">
        <f t="array" ref="I346">INDEX(DataAll!$W$2:$W$555,MATCH(LOWER(Data!A346),LOWER(DataAll!$V$2:$V$555),0))</f>
        <v>30.17</v>
      </c>
      <c r="J346" cm="1">
        <f t="array" ref="J346">INDEX(DataAll!$Z$2:$Z$555,MATCH(LOWER(Data!A346),LOWER(DataAll!$Y$2:$Y$555),0))</f>
        <v>2.4300000000000002</v>
      </c>
      <c r="K346" cm="1">
        <f t="array" ref="K346">INDEX(DataAll!$AM$2:$AM$555,MATCH(LOWER(Data!A346),LOWER(DataAll!$AL$2:$AL$555),0))</f>
        <v>9.1300000000000008</v>
      </c>
      <c r="L346" cm="1">
        <f t="array" ref="L346">INDEX(DataAll!$AJ$2:$AJ$555,MATCH(LOWER(Data!A346),LOWER(DataAll!$AI$2:$AI$555),0))</f>
        <v>28.99</v>
      </c>
      <c r="M346" cm="1">
        <f t="array" ref="M346">INDEX(DataAll!$AP$2:$AP$555,MATCH(LOWER(Data!A346),LOWER(DataAll!$AO$2:$AO$555),0))</f>
        <v>67.290000000000006</v>
      </c>
      <c r="N346" cm="1">
        <f t="array" ref="N346">INDEX(DataAll!$AQ$2:$AQ$555,MATCH(LOWER(Data!A346),LOWER(DataAll!$AO$2:$AO$555),0))</f>
        <v>71.25</v>
      </c>
      <c r="O346" cm="1">
        <f t="array" ref="O346">INDEX(DataAll!$AT$2:$AT$555,MATCH(LOWER(Data!A346),LOWER(DataAll!$AS$2:$AS$555),0))</f>
        <v>6.83</v>
      </c>
      <c r="P346" cm="1">
        <f t="array" ref="P346">INDEX(DataAll!$AU$2:$AU$555,MATCH(LOWER(Data!A346),LOWER(DataAll!$AS$2:$AS$555),0))</f>
        <v>5.86</v>
      </c>
      <c r="Q346" cm="1">
        <f t="array" ref="Q346">INDEX(DataAll!$AX$2:$AX$556,MATCH(LOWER(Data!A346),LOWER(DataAll!$AW$2:$AW$556),0))</f>
        <v>22.54</v>
      </c>
      <c r="R346" cm="1">
        <f t="array" ref="R346">INDEX('Longitude and Latitude'!$B$2:$B$579,MATCH(LOWER(Data!A346),LOWER('Longitude and Latitude'!$A$2:$A$579),0))</f>
        <v>-0.92258770000000001</v>
      </c>
      <c r="S346" cm="1">
        <f t="array" ref="S346">INDEX('Longitude and Latitude'!$C$2:$C$579,MATCH(LOWER(Data!A346),LOWER('Longitude and Latitude'!$A$2:$A$579),0))</f>
        <v>110.0449662</v>
      </c>
      <c r="T346" t="b">
        <f>IF(EXACT(A346, UPPER(A346)), TRUE, FALSE)</f>
        <v>0</v>
      </c>
    </row>
    <row r="347" spans="1:20" x14ac:dyDescent="0.35">
      <c r="A347" t="s">
        <v>346</v>
      </c>
      <c r="B347">
        <v>85.45</v>
      </c>
      <c r="C347" cm="1">
        <f t="array" ref="C347">INDEX(DataAll!$E$2:$E$555,MATCH(LOWER(Data!A347),LOWER(DataAll!$D$2:$D$555),0))</f>
        <v>77.63</v>
      </c>
      <c r="D347" cm="1">
        <f t="array" ref="D347">INDEX(DataAll!$H$2:$H$579,MATCH(LOWER(Data!A347),LOWER(DataAll!$G$2:$G$555),0))</f>
        <v>0.52400000000000002</v>
      </c>
      <c r="E347" cm="1">
        <f t="array" ref="E347">INDEX(DataAll!$K$2:$K$579,MATCH(LOWER(Data!A347),LOWER(DataAll!$J$2:$J$555),0))</f>
        <v>25</v>
      </c>
      <c r="F347" cm="1">
        <f t="array" ref="F347">INDEX(DataAll!$N$2:$N$555,MATCH(LOWER(Data!A347),LOWER(DataAll!$M$2:$M$555),0))</f>
        <v>41.65</v>
      </c>
      <c r="G347" cm="1">
        <f t="array" ref="G347">INDEX(DataAll!$Q$2:$Q$555,MATCH(LOWER(Data!A347),LOWER(DataAll!$P$2:$P$555),0))</f>
        <v>19.55</v>
      </c>
      <c r="H347" cm="1">
        <f t="array" ref="H347">INDEX(DataAll!$T$2:$T$555,MATCH(LOWER(Data!A347),LOWER(DataAll!$S$2:$S$555),0))</f>
        <v>0.30399999999999999</v>
      </c>
      <c r="I347" cm="1">
        <f t="array" ref="I347">INDEX(DataAll!$W$2:$W$555,MATCH(LOWER(Data!A347),LOWER(DataAll!$V$2:$V$555),0))</f>
        <v>36.61</v>
      </c>
      <c r="J347" cm="1">
        <f t="array" ref="J347">INDEX(DataAll!$Z$2:$Z$555,MATCH(LOWER(Data!A347),LOWER(DataAll!$Y$2:$Y$555),0))</f>
        <v>2.34</v>
      </c>
      <c r="K347" cm="1">
        <f t="array" ref="K347">INDEX(DataAll!$AM$2:$AM$555,MATCH(LOWER(Data!A347),LOWER(DataAll!$AL$2:$AL$555),0))</f>
        <v>4.2300000000000004</v>
      </c>
      <c r="L347" cm="1">
        <f t="array" ref="L347">INDEX(DataAll!$AJ$2:$AJ$555,MATCH(LOWER(Data!A347),LOWER(DataAll!$AI$2:$AI$555),0))</f>
        <v>22.71</v>
      </c>
      <c r="M347" cm="1">
        <f t="array" ref="M347">INDEX(DataAll!$AP$2:$AP$555,MATCH(LOWER(Data!A347),LOWER(DataAll!$AO$2:$AO$555),0))</f>
        <v>69.319999999999993</v>
      </c>
      <c r="N347" cm="1">
        <f t="array" ref="N347">INDEX(DataAll!$AQ$2:$AQ$555,MATCH(LOWER(Data!A347),LOWER(DataAll!$AO$2:$AO$555),0))</f>
        <v>73.290000000000006</v>
      </c>
      <c r="O347" cm="1">
        <f t="array" ref="O347">INDEX(DataAll!$AT$2:$AT$555,MATCH(LOWER(Data!A347),LOWER(DataAll!$AS$2:$AS$555),0))</f>
        <v>7.76</v>
      </c>
      <c r="P347" cm="1">
        <f t="array" ref="P347">INDEX(DataAll!$AU$2:$AU$555,MATCH(LOWER(Data!A347),LOWER(DataAll!$AS$2:$AS$555),0))</f>
        <v>6.85</v>
      </c>
      <c r="Q347" cm="1">
        <f t="array" ref="Q347">INDEX(DataAll!$AX$2:$AX$556,MATCH(LOWER(Data!A347),LOWER(DataAll!$AW$2:$AW$556),0))</f>
        <v>27.43</v>
      </c>
      <c r="R347" cm="1">
        <f t="array" ref="R347">INDEX('Longitude and Latitude'!$B$2:$B$579,MATCH(LOWER(Data!A347),LOWER('Longitude and Latitude'!$A$2:$A$579),0))</f>
        <v>-0.35339379999999998</v>
      </c>
      <c r="S347" cm="1">
        <f t="array" ref="S347">INDEX('Longitude and Latitude'!$C$2:$C$579,MATCH(LOWER(Data!A347),LOWER('Longitude and Latitude'!$A$2:$A$579),0))</f>
        <v>109.47350659999999</v>
      </c>
      <c r="T347" t="b">
        <f>IF(EXACT(A347, UPPER(A347)), TRUE, FALSE)</f>
        <v>0</v>
      </c>
    </row>
    <row r="348" spans="1:20" x14ac:dyDescent="0.35">
      <c r="A348" t="s">
        <v>347</v>
      </c>
      <c r="B348">
        <v>94.65</v>
      </c>
      <c r="C348" cm="1">
        <f t="array" ref="C348">INDEX(DataAll!$E$2:$E$555,MATCH(LOWER(Data!A348),LOWER(DataAll!$D$2:$D$555),0))</f>
        <v>66.989999999999995</v>
      </c>
      <c r="D348" cm="1">
        <f t="array" ref="D348">INDEX(DataAll!$H$2:$H$579,MATCH(LOWER(Data!A348),LOWER(DataAll!$G$2:$G$555),0))</f>
        <v>0.28599999999999998</v>
      </c>
      <c r="E348" cm="1">
        <f t="array" ref="E348">INDEX(DataAll!$K$2:$K$579,MATCH(LOWER(Data!A348),LOWER(DataAll!$J$2:$J$555),0))</f>
        <v>13.33</v>
      </c>
      <c r="F348" cm="1">
        <f t="array" ref="F348">INDEX(DataAll!$N$2:$N$555,MATCH(LOWER(Data!A348),LOWER(DataAll!$M$2:$M$555),0))</f>
        <v>45.35</v>
      </c>
      <c r="G348" cm="1">
        <f t="array" ref="G348">INDEX(DataAll!$Q$2:$Q$555,MATCH(LOWER(Data!A348),LOWER(DataAll!$P$2:$P$555),0))</f>
        <v>9.7100000000000009</v>
      </c>
      <c r="H348" cm="1">
        <f t="array" ref="H348">INDEX(DataAll!$T$2:$T$555,MATCH(LOWER(Data!A348),LOWER(DataAll!$S$2:$S$555),0))</f>
        <v>0.186</v>
      </c>
      <c r="I348" cm="1">
        <f t="array" ref="I348">INDEX(DataAll!$W$2:$W$555,MATCH(LOWER(Data!A348),LOWER(DataAll!$V$2:$V$555),0))</f>
        <v>34.51</v>
      </c>
      <c r="J348" cm="1">
        <f t="array" ref="J348">INDEX(DataAll!$Z$2:$Z$555,MATCH(LOWER(Data!A348),LOWER(DataAll!$Y$2:$Y$555),0))</f>
        <v>2.06</v>
      </c>
      <c r="K348" cm="1">
        <f t="array" ref="K348">INDEX(DataAll!$AM$2:$AM$555,MATCH(LOWER(Data!A348),LOWER(DataAll!$AL$2:$AL$555),0))</f>
        <v>4.45</v>
      </c>
      <c r="L348" cm="1">
        <f t="array" ref="L348">INDEX(DataAll!$AJ$2:$AJ$555,MATCH(LOWER(Data!A348),LOWER(DataAll!$AI$2:$AI$555),0))</f>
        <v>15.18</v>
      </c>
      <c r="M348" cm="1">
        <f t="array" ref="M348">INDEX(DataAll!$AP$2:$AP$555,MATCH(LOWER(Data!A348),LOWER(DataAll!$AO$2:$AO$555),0))</f>
        <v>71.569999999999993</v>
      </c>
      <c r="N348" cm="1">
        <f t="array" ref="N348">INDEX(DataAll!$AQ$2:$AQ$555,MATCH(LOWER(Data!A348),LOWER(DataAll!$AO$2:$AO$555),0))</f>
        <v>76.28</v>
      </c>
      <c r="O348" cm="1">
        <f t="array" ref="O348">INDEX(DataAll!$AT$2:$AT$555,MATCH(LOWER(Data!A348),LOWER(DataAll!$AS$2:$AS$555),0))</f>
        <v>10.71</v>
      </c>
      <c r="P348" cm="1">
        <f t="array" ref="P348">INDEX(DataAll!$AU$2:$AU$555,MATCH(LOWER(Data!A348),LOWER(DataAll!$AS$2:$AS$555),0))</f>
        <v>10.15</v>
      </c>
      <c r="Q348" cm="1">
        <f t="array" ref="Q348">INDEX(DataAll!$AX$2:$AX$556,MATCH(LOWER(Data!A348),LOWER(DataAll!$AW$2:$AW$556),0))</f>
        <v>56.3</v>
      </c>
      <c r="R348" cm="1">
        <f t="array" ref="R348">INDEX('Longitude and Latitude'!$B$2:$B$579,MATCH(LOWER(Data!A348),LOWER('Longitude and Latitude'!$A$2:$A$579),0))</f>
        <v>-2.2523000000000001E-2</v>
      </c>
      <c r="S348" cm="1">
        <f t="array" ref="S348">INDEX('Longitude and Latitude'!$C$2:$C$579,MATCH(LOWER(Data!A348),LOWER('Longitude and Latitude'!$A$2:$A$579),0))</f>
        <v>109.330307</v>
      </c>
      <c r="T348" t="b">
        <f>IF(EXACT(A348, UPPER(A348)), TRUE, FALSE)</f>
        <v>0</v>
      </c>
    </row>
    <row r="349" spans="1:20" x14ac:dyDescent="0.35">
      <c r="A349" t="s">
        <v>348</v>
      </c>
      <c r="B349">
        <v>93.05</v>
      </c>
      <c r="C349" cm="1">
        <f t="array" ref="C349">INDEX(DataAll!$E$2:$E$555,MATCH(LOWER(Data!A349),LOWER(DataAll!$D$2:$D$555),0))</f>
        <v>69.66</v>
      </c>
      <c r="D349" cm="1">
        <f t="array" ref="D349">INDEX(DataAll!$H$2:$H$579,MATCH(LOWER(Data!A349),LOWER(DataAll!$G$2:$G$555),0))</f>
        <v>0.372</v>
      </c>
      <c r="E349" cm="1">
        <f t="array" ref="E349">INDEX(DataAll!$K$2:$K$579,MATCH(LOWER(Data!A349),LOWER(DataAll!$J$2:$J$555),0))</f>
        <v>20</v>
      </c>
      <c r="F349" cm="1">
        <f t="array" ref="F349">INDEX(DataAll!$N$2:$N$555,MATCH(LOWER(Data!A349),LOWER(DataAll!$M$2:$M$555),0))</f>
        <v>52.03</v>
      </c>
      <c r="G349" cm="1">
        <f t="array" ref="G349">INDEX(DataAll!$Q$2:$Q$555,MATCH(LOWER(Data!A349),LOWER(DataAll!$P$2:$P$555),0))</f>
        <v>9.2899999999999991</v>
      </c>
      <c r="H349" cm="1">
        <f t="array" ref="H349">INDEX(DataAll!$T$2:$T$555,MATCH(LOWER(Data!A349),LOWER(DataAll!$S$2:$S$555),0))</f>
        <v>0.21199999999999999</v>
      </c>
      <c r="I349" cm="1">
        <f t="array" ref="I349">INDEX(DataAll!$W$2:$W$555,MATCH(LOWER(Data!A349),LOWER(DataAll!$V$2:$V$555),0))</f>
        <v>29.44</v>
      </c>
      <c r="J349" cm="1">
        <f t="array" ref="J349">INDEX(DataAll!$Z$2:$Z$555,MATCH(LOWER(Data!A349),LOWER(DataAll!$Y$2:$Y$555),0))</f>
        <v>2.4500000000000002</v>
      </c>
      <c r="K349" cm="1">
        <f t="array" ref="K349">INDEX(DataAll!$AM$2:$AM$555,MATCH(LOWER(Data!A349),LOWER(DataAll!$AL$2:$AL$555),0))</f>
        <v>4.7</v>
      </c>
      <c r="L349" cm="1">
        <f t="array" ref="L349">INDEX(DataAll!$AJ$2:$AJ$555,MATCH(LOWER(Data!A349),LOWER(DataAll!$AI$2:$AI$555),0))</f>
        <v>17.52</v>
      </c>
      <c r="M349" cm="1">
        <f t="array" ref="M349">INDEX(DataAll!$AP$2:$AP$555,MATCH(LOWER(Data!A349),LOWER(DataAll!$AO$2:$AO$555),0))</f>
        <v>70.849999999999994</v>
      </c>
      <c r="N349" cm="1">
        <f t="array" ref="N349">INDEX(DataAll!$AQ$2:$AQ$555,MATCH(LOWER(Data!A349),LOWER(DataAll!$AO$2:$AO$555),0))</f>
        <v>74.88</v>
      </c>
      <c r="O349" cm="1">
        <f t="array" ref="O349">INDEX(DataAll!$AT$2:$AT$555,MATCH(LOWER(Data!A349),LOWER(DataAll!$AS$2:$AS$555),0))</f>
        <v>8.34</v>
      </c>
      <c r="P349" cm="1">
        <f t="array" ref="P349">INDEX(DataAll!$AU$2:$AU$555,MATCH(LOWER(Data!A349),LOWER(DataAll!$AS$2:$AS$555),0))</f>
        <v>8.06</v>
      </c>
      <c r="Q349" cm="1">
        <f t="array" ref="Q349">INDEX(DataAll!$AX$2:$AX$556,MATCH(LOWER(Data!A349),LOWER(DataAll!$AW$2:$AW$556),0))</f>
        <v>37.07</v>
      </c>
      <c r="R349" cm="1">
        <f t="array" ref="R349">INDEX('Longitude and Latitude'!$B$2:$B$579,MATCH(LOWER(Data!A349),LOWER('Longitude and Latitude'!$A$2:$A$579),0))</f>
        <v>0.90879500000000002</v>
      </c>
      <c r="S349" cm="1">
        <f t="array" ref="S349">INDEX('Longitude and Latitude'!$C$2:$C$579,MATCH(LOWER(Data!A349),LOWER('Longitude and Latitude'!$A$2:$A$579),0))</f>
        <v>108.984596</v>
      </c>
      <c r="T349" t="b">
        <f>IF(EXACT(A349, UPPER(A349)), TRUE, FALSE)</f>
        <v>0</v>
      </c>
    </row>
    <row r="350" spans="1:20" x14ac:dyDescent="0.35">
      <c r="A350" t="s">
        <v>349</v>
      </c>
      <c r="B350">
        <v>89.49</v>
      </c>
      <c r="C350" cm="1">
        <f t="array" ref="C350">INDEX(DataAll!$E$2:$E$555,MATCH(LOWER(Data!A350),LOWER(DataAll!$D$2:$D$555),0))</f>
        <v>79.989999999999995</v>
      </c>
      <c r="D350" cm="1">
        <f t="array" ref="D350">INDEX(DataAll!$H$2:$H$579,MATCH(LOWER(Data!A350),LOWER(DataAll!$G$2:$G$555),0))</f>
        <v>0.54100000000000004</v>
      </c>
      <c r="E350" cm="1">
        <f t="array" ref="E350">INDEX(DataAll!$K$2:$K$579,MATCH(LOWER(Data!A350),LOWER(DataAll!$J$2:$J$555),0))</f>
        <v>28.89</v>
      </c>
      <c r="F350" cm="1">
        <f t="array" ref="F350">INDEX(DataAll!$N$2:$N$555,MATCH(LOWER(Data!A350),LOWER(DataAll!$M$2:$M$555),0))</f>
        <v>50.86</v>
      </c>
      <c r="G350" t="e" cm="1">
        <f t="array" ref="G350">INDEX(DataAll!$Q$2:$Q$555,MATCH(LOWER(Data!A350),LOWER(DataAll!$P$2:$P$555),0))</f>
        <v>#N/A</v>
      </c>
      <c r="H350" cm="1">
        <f t="array" ref="H350">INDEX(DataAll!$T$2:$T$555,MATCH(LOWER(Data!A350),LOWER(DataAll!$S$2:$S$555),0))</f>
        <v>0.371</v>
      </c>
      <c r="I350" cm="1">
        <f t="array" ref="I350">INDEX(DataAll!$W$2:$W$555,MATCH(LOWER(Data!A350),LOWER(DataAll!$V$2:$V$555),0))</f>
        <v>33.130000000000003</v>
      </c>
      <c r="J350" cm="1">
        <f t="array" ref="J350">INDEX(DataAll!$Z$2:$Z$555,MATCH(LOWER(Data!A350),LOWER(DataAll!$Y$2:$Y$555),0))</f>
        <v>2.31</v>
      </c>
      <c r="K350" cm="1">
        <f t="array" ref="K350">INDEX(DataAll!$AM$2:$AM$555,MATCH(LOWER(Data!A350),LOWER(DataAll!$AL$2:$AL$555),0))</f>
        <v>5.1100000000000003</v>
      </c>
      <c r="L350" cm="1">
        <f t="array" ref="L350">INDEX(DataAll!$AJ$2:$AJ$555,MATCH(LOWER(Data!A350),LOWER(DataAll!$AI$2:$AI$555),0))</f>
        <v>21.19</v>
      </c>
      <c r="M350" cm="1">
        <f t="array" ref="M350">INDEX(DataAll!$AP$2:$AP$555,MATCH(LOWER(Data!A350),LOWER(DataAll!$AO$2:$AO$555),0))</f>
        <v>68.36</v>
      </c>
      <c r="N350" cm="1">
        <f t="array" ref="N350">INDEX(DataAll!$AQ$2:$AQ$555,MATCH(LOWER(Data!A350),LOWER(DataAll!$AO$2:$AO$555),0))</f>
        <v>72.290000000000006</v>
      </c>
      <c r="O350" cm="1">
        <f t="array" ref="O350">INDEX(DataAll!$AT$2:$AT$555,MATCH(LOWER(Data!A350),LOWER(DataAll!$AS$2:$AS$555),0))</f>
        <v>8.98</v>
      </c>
      <c r="P350" cm="1">
        <f t="array" ref="P350">INDEX(DataAll!$AU$2:$AU$555,MATCH(LOWER(Data!A350),LOWER(DataAll!$AS$2:$AS$555),0))</f>
        <v>8.5500000000000007</v>
      </c>
      <c r="Q350" cm="1">
        <f t="array" ref="Q350">INDEX(DataAll!$AX$2:$AX$556,MATCH(LOWER(Data!A350),LOWER(DataAll!$AW$2:$AW$556),0))</f>
        <v>30.86</v>
      </c>
      <c r="R350" cm="1">
        <f t="array" ref="R350">INDEX('Longitude and Latitude'!$B$2:$B$579,MATCH(LOWER(Data!A350),LOWER('Longitude and Latitude'!$A$2:$A$579),0))</f>
        <v>-1.6814878</v>
      </c>
      <c r="S350" cm="1">
        <f t="array" ref="S350">INDEX('Longitude and Latitude'!$C$2:$C$579,MATCH(LOWER(Data!A350),LOWER('Longitude and Latitude'!$A$2:$A$579),0))</f>
        <v>113.38235450000001</v>
      </c>
      <c r="T350" t="b">
        <f>IF(EXACT(A350, UPPER(A350)), TRUE, FALSE)</f>
        <v>1</v>
      </c>
    </row>
    <row r="351" spans="1:20" x14ac:dyDescent="0.35">
      <c r="A351" t="s">
        <v>350</v>
      </c>
      <c r="B351">
        <v>92.05</v>
      </c>
      <c r="C351" cm="1">
        <f t="array" ref="C351">INDEX(DataAll!$E$2:$E$555,MATCH(LOWER(Data!A351),LOWER(DataAll!$D$2:$D$555),0))</f>
        <v>66.180000000000007</v>
      </c>
      <c r="D351" cm="1">
        <f t="array" ref="D351">INDEX(DataAll!$H$2:$H$579,MATCH(LOWER(Data!A351),LOWER(DataAll!$G$2:$G$555),0))</f>
        <v>0.52400000000000002</v>
      </c>
      <c r="E351" cm="1">
        <f t="array" ref="E351">INDEX(DataAll!$K$2:$K$579,MATCH(LOWER(Data!A351),LOWER(DataAll!$J$2:$J$555),0))</f>
        <v>20</v>
      </c>
      <c r="F351" cm="1">
        <f t="array" ref="F351">INDEX(DataAll!$N$2:$N$555,MATCH(LOWER(Data!A351),LOWER(DataAll!$M$2:$M$555),0))</f>
        <v>50.28</v>
      </c>
      <c r="G351" cm="1">
        <f t="array" ref="G351">INDEX(DataAll!$Q$2:$Q$555,MATCH(LOWER(Data!A351),LOWER(DataAll!$P$2:$P$555),0))</f>
        <v>6.52</v>
      </c>
      <c r="H351" cm="1">
        <f t="array" ref="H351">INDEX(DataAll!$T$2:$T$555,MATCH(LOWER(Data!A351),LOWER(DataAll!$S$2:$S$555),0))</f>
        <v>0.31900000000000001</v>
      </c>
      <c r="I351" cm="1">
        <f t="array" ref="I351">INDEX(DataAll!$W$2:$W$555,MATCH(LOWER(Data!A351),LOWER(DataAll!$V$2:$V$555),0))</f>
        <v>24.47</v>
      </c>
      <c r="J351" cm="1">
        <f t="array" ref="J351">INDEX(DataAll!$Z$2:$Z$555,MATCH(LOWER(Data!A351),LOWER(DataAll!$Y$2:$Y$555),0))</f>
        <v>2.2999999999999998</v>
      </c>
      <c r="K351" cm="1">
        <f t="array" ref="K351">INDEX(DataAll!$AM$2:$AM$555,MATCH(LOWER(Data!A351),LOWER(DataAll!$AL$2:$AL$555),0))</f>
        <v>4.18</v>
      </c>
      <c r="L351" cm="1">
        <f t="array" ref="L351">INDEX(DataAll!$AJ$2:$AJ$555,MATCH(LOWER(Data!A351),LOWER(DataAll!$AI$2:$AI$555),0))</f>
        <v>21.94</v>
      </c>
      <c r="M351" cm="1">
        <f t="array" ref="M351">INDEX(DataAll!$AP$2:$AP$555,MATCH(LOWER(Data!A351),LOWER(DataAll!$AO$2:$AO$555),0))</f>
        <v>69.34</v>
      </c>
      <c r="N351" cm="1">
        <f t="array" ref="N351">INDEX(DataAll!$AQ$2:$AQ$555,MATCH(LOWER(Data!A351),LOWER(DataAll!$AO$2:$AO$555),0))</f>
        <v>73.31</v>
      </c>
      <c r="O351" cm="1">
        <f t="array" ref="O351">INDEX(DataAll!$AT$2:$AT$555,MATCH(LOWER(Data!A351),LOWER(DataAll!$AS$2:$AS$555),0))</f>
        <v>8.9499999999999993</v>
      </c>
      <c r="P351" cm="1">
        <f t="array" ref="P351">INDEX(DataAll!$AU$2:$AU$555,MATCH(LOWER(Data!A351),LOWER(DataAll!$AS$2:$AS$555),0))</f>
        <v>8.32</v>
      </c>
      <c r="Q351" cm="1">
        <f t="array" ref="Q351">INDEX(DataAll!$AX$2:$AX$556,MATCH(LOWER(Data!A351),LOWER(DataAll!$AW$2:$AW$556),0))</f>
        <v>33.64</v>
      </c>
      <c r="R351" cm="1">
        <f t="array" ref="R351">INDEX('Longitude and Latitude'!$B$2:$B$579,MATCH(LOWER(Data!A351),LOWER('Longitude and Latitude'!$A$2:$A$579),0))</f>
        <v>-6.1961130999999998</v>
      </c>
      <c r="S351" cm="1">
        <f t="array" ref="S351">INDEX('Longitude and Latitude'!$C$2:$C$579,MATCH(LOWER(Data!A351),LOWER('Longitude and Latitude'!$A$2:$A$579),0))</f>
        <v>106.8630174</v>
      </c>
      <c r="T351" t="b">
        <f>IF(EXACT(A351, UPPER(A351)), TRUE, FALSE)</f>
        <v>0</v>
      </c>
    </row>
    <row r="352" spans="1:20" x14ac:dyDescent="0.35">
      <c r="A352" t="s">
        <v>351</v>
      </c>
      <c r="B352">
        <v>88.34</v>
      </c>
      <c r="C352" cm="1">
        <f t="array" ref="C352">INDEX(DataAll!$E$2:$E$555,MATCH(LOWER(Data!A352),LOWER(DataAll!$D$2:$D$555),0))</f>
        <v>70.8</v>
      </c>
      <c r="D352" cm="1">
        <f t="array" ref="D352">INDEX(DataAll!$H$2:$H$579,MATCH(LOWER(Data!A352),LOWER(DataAll!$G$2:$G$555),0))</f>
        <v>0.53800000000000003</v>
      </c>
      <c r="E352" cm="1">
        <f t="array" ref="E352">INDEX(DataAll!$K$2:$K$579,MATCH(LOWER(Data!A352),LOWER(DataAll!$J$2:$J$555),0))</f>
        <v>22.5</v>
      </c>
      <c r="F352" cm="1">
        <f t="array" ref="F352">INDEX(DataAll!$N$2:$N$555,MATCH(LOWER(Data!A352),LOWER(DataAll!$M$2:$M$555),0))</f>
        <v>52.65</v>
      </c>
      <c r="G352" cm="1">
        <f t="array" ref="G352">INDEX(DataAll!$Q$2:$Q$555,MATCH(LOWER(Data!A352),LOWER(DataAll!$P$2:$P$555),0))</f>
        <v>8.44</v>
      </c>
      <c r="H352" cm="1">
        <f t="array" ref="H352">INDEX(DataAll!$T$2:$T$555,MATCH(LOWER(Data!A352),LOWER(DataAll!$S$2:$S$555),0))</f>
        <v>0.4</v>
      </c>
      <c r="I352" cm="1">
        <f t="array" ref="I352">INDEX(DataAll!$W$2:$W$555,MATCH(LOWER(Data!A352),LOWER(DataAll!$V$2:$V$555),0))</f>
        <v>25.93</v>
      </c>
      <c r="J352" cm="1">
        <f t="array" ref="J352">INDEX(DataAll!$Z$2:$Z$555,MATCH(LOWER(Data!A352),LOWER(DataAll!$Y$2:$Y$555),0))</f>
        <v>2.25</v>
      </c>
      <c r="K352" cm="1">
        <f t="array" ref="K352">INDEX(DataAll!$AM$2:$AM$555,MATCH(LOWER(Data!A352),LOWER(DataAll!$AL$2:$AL$555),0))</f>
        <v>5.69</v>
      </c>
      <c r="L352" cm="1">
        <f t="array" ref="L352">INDEX(DataAll!$AJ$2:$AJ$555,MATCH(LOWER(Data!A352),LOWER(DataAll!$AI$2:$AI$555),0))</f>
        <v>17.16</v>
      </c>
      <c r="M352" cm="1">
        <f t="array" ref="M352">INDEX(DataAll!$AP$2:$AP$555,MATCH(LOWER(Data!A352),LOWER(DataAll!$AO$2:$AO$555),0))</f>
        <v>68.47</v>
      </c>
      <c r="N352" cm="1">
        <f t="array" ref="N352">INDEX(DataAll!$AQ$2:$AQ$555,MATCH(LOWER(Data!A352),LOWER(DataAll!$AO$2:$AO$555),0))</f>
        <v>72.400000000000006</v>
      </c>
      <c r="O352" cm="1">
        <f t="array" ref="O352">INDEX(DataAll!$AT$2:$AT$555,MATCH(LOWER(Data!A352),LOWER(DataAll!$AS$2:$AS$555),0))</f>
        <v>8.56</v>
      </c>
      <c r="P352" cm="1">
        <f t="array" ref="P352">INDEX(DataAll!$AU$2:$AU$555,MATCH(LOWER(Data!A352),LOWER(DataAll!$AS$2:$AS$555),0))</f>
        <v>7.73</v>
      </c>
      <c r="Q352" cm="1">
        <f t="array" ref="Q352">INDEX(DataAll!$AX$2:$AX$556,MATCH(LOWER(Data!A352),LOWER(DataAll!$AW$2:$AW$556),0))</f>
        <v>23.45</v>
      </c>
      <c r="R352" cm="1">
        <f t="array" ref="R352">INDEX('Longitude and Latitude'!$B$2:$B$579,MATCH(LOWER(Data!A352),LOWER('Longitude and Latitude'!$A$2:$A$579),0))</f>
        <v>-6.1952992</v>
      </c>
      <c r="S352" cm="1">
        <f t="array" ref="S352">INDEX('Longitude and Latitude'!$C$2:$C$579,MATCH(LOWER(Data!A352),LOWER('Longitude and Latitude'!$A$2:$A$579),0))</f>
        <v>106.8630737</v>
      </c>
      <c r="T352" t="b">
        <f>IF(EXACT(A352, UPPER(A352)), TRUE, FALSE)</f>
        <v>0</v>
      </c>
    </row>
    <row r="353" spans="1:20" x14ac:dyDescent="0.35">
      <c r="A353" t="s">
        <v>352</v>
      </c>
      <c r="B353">
        <v>95.51</v>
      </c>
      <c r="C353" cm="1">
        <f t="array" ref="C353">INDEX(DataAll!$E$2:$E$555,MATCH(LOWER(Data!A353),LOWER(DataAll!$D$2:$D$555),0))</f>
        <v>74.37</v>
      </c>
      <c r="D353" cm="1">
        <f t="array" ref="D353">INDEX(DataAll!$H$2:$H$579,MATCH(LOWER(Data!A353),LOWER(DataAll!$G$2:$G$555),0))</f>
        <v>0.56399999999999995</v>
      </c>
      <c r="E353" cm="1">
        <f t="array" ref="E353">INDEX(DataAll!$K$2:$K$579,MATCH(LOWER(Data!A353),LOWER(DataAll!$J$2:$J$555),0))</f>
        <v>27.5</v>
      </c>
      <c r="F353" cm="1">
        <f t="array" ref="F353">INDEX(DataAll!$N$2:$N$555,MATCH(LOWER(Data!A353),LOWER(DataAll!$M$2:$M$555),0))</f>
        <v>49.9</v>
      </c>
      <c r="G353" cm="1">
        <f t="array" ref="G353">INDEX(DataAll!$Q$2:$Q$555,MATCH(LOWER(Data!A353),LOWER(DataAll!$P$2:$P$555),0))</f>
        <v>16.09</v>
      </c>
      <c r="H353" cm="1">
        <f t="array" ref="H353">INDEX(DataAll!$T$2:$T$555,MATCH(LOWER(Data!A353),LOWER(DataAll!$S$2:$S$555),0))</f>
        <v>0.40100000000000002</v>
      </c>
      <c r="I353" cm="1">
        <f t="array" ref="I353">INDEX(DataAll!$W$2:$W$555,MATCH(LOWER(Data!A353),LOWER(DataAll!$V$2:$V$555),0))</f>
        <v>27.92</v>
      </c>
      <c r="J353" cm="1">
        <f t="array" ref="J353">INDEX(DataAll!$Z$2:$Z$555,MATCH(LOWER(Data!A353),LOWER(DataAll!$Y$2:$Y$555),0))</f>
        <v>2.4500000000000002</v>
      </c>
      <c r="K353" cm="1">
        <f t="array" ref="K353">INDEX(DataAll!$AM$2:$AM$555,MATCH(LOWER(Data!A353),LOWER(DataAll!$AL$2:$AL$555),0))</f>
        <v>5.21</v>
      </c>
      <c r="L353" cm="1">
        <f t="array" ref="L353">INDEX(DataAll!$AJ$2:$AJ$555,MATCH(LOWER(Data!A353),LOWER(DataAll!$AI$2:$AI$555),0))</f>
        <v>23.98</v>
      </c>
      <c r="M353" cm="1">
        <f t="array" ref="M353">INDEX(DataAll!$AP$2:$AP$555,MATCH(LOWER(Data!A353),LOWER(DataAll!$AO$2:$AO$555),0))</f>
        <v>67.3</v>
      </c>
      <c r="N353" cm="1">
        <f t="array" ref="N353">INDEX(DataAll!$AQ$2:$AQ$555,MATCH(LOWER(Data!A353),LOWER(DataAll!$AO$2:$AO$555),0))</f>
        <v>71.260000000000005</v>
      </c>
      <c r="O353" cm="1">
        <f t="array" ref="O353">INDEX(DataAll!$AT$2:$AT$555,MATCH(LOWER(Data!A353),LOWER(DataAll!$AS$2:$AS$555),0))</f>
        <v>8.09</v>
      </c>
      <c r="P353" cm="1">
        <f t="array" ref="P353">INDEX(DataAll!$AU$2:$AU$555,MATCH(LOWER(Data!A353),LOWER(DataAll!$AS$2:$AS$555),0))</f>
        <v>7.78</v>
      </c>
      <c r="Q353" cm="1">
        <f t="array" ref="Q353">INDEX(DataAll!$AX$2:$AX$556,MATCH(LOWER(Data!A353),LOWER(DataAll!$AW$2:$AW$556),0))</f>
        <v>25.33</v>
      </c>
      <c r="R353" cm="1">
        <f t="array" ref="R353">INDEX('Longitude and Latitude'!$B$2:$B$579,MATCH(LOWER(Data!A353),LOWER('Longitude and Latitude'!$A$2:$A$579),0))</f>
        <v>-4.5997200000000002E-2</v>
      </c>
      <c r="S353" cm="1">
        <f t="array" ref="S353">INDEX('Longitude and Latitude'!$C$2:$C$579,MATCH(LOWER(Data!A353),LOWER('Longitude and Latitude'!$A$2:$A$579),0))</f>
        <v>110.1313251</v>
      </c>
      <c r="T353" t="b">
        <f>IF(EXACT(A353, UPPER(A353)), TRUE, FALSE)</f>
        <v>0</v>
      </c>
    </row>
    <row r="354" spans="1:20" x14ac:dyDescent="0.35">
      <c r="A354" t="s">
        <v>353</v>
      </c>
      <c r="B354">
        <v>92.29</v>
      </c>
      <c r="C354" cm="1">
        <f t="array" ref="C354">INDEX(DataAll!$E$2:$E$555,MATCH(LOWER(Data!A354),LOWER(DataAll!$D$2:$D$555),0))</f>
        <v>86.33</v>
      </c>
      <c r="D354" cm="1">
        <f t="array" ref="D354">INDEX(DataAll!$H$2:$H$579,MATCH(LOWER(Data!A354),LOWER(DataAll!$G$2:$G$555),0))</f>
        <v>0.52900000000000003</v>
      </c>
      <c r="E354" cm="1">
        <f t="array" ref="E354">INDEX(DataAll!$K$2:$K$579,MATCH(LOWER(Data!A354),LOWER(DataAll!$J$2:$J$555),0))</f>
        <v>44</v>
      </c>
      <c r="F354" cm="1">
        <f t="array" ref="F354">INDEX(DataAll!$N$2:$N$555,MATCH(LOWER(Data!A354),LOWER(DataAll!$M$2:$M$555),0))</f>
        <v>56.78</v>
      </c>
      <c r="G354" cm="1">
        <f t="array" ref="G354">INDEX(DataAll!$Q$2:$Q$555,MATCH(LOWER(Data!A354),LOWER(DataAll!$P$2:$P$555),0))</f>
        <v>11.68</v>
      </c>
      <c r="H354" cm="1">
        <f t="array" ref="H354">INDEX(DataAll!$T$2:$T$555,MATCH(LOWER(Data!A354),LOWER(DataAll!$S$2:$S$555),0))</f>
        <v>0.38</v>
      </c>
      <c r="I354" cm="1">
        <f t="array" ref="I354">INDEX(DataAll!$W$2:$W$555,MATCH(LOWER(Data!A354),LOWER(DataAll!$V$2:$V$555),0))</f>
        <v>37.049999999999997</v>
      </c>
      <c r="J354" cm="1">
        <f t="array" ref="J354">INDEX(DataAll!$Z$2:$Z$555,MATCH(LOWER(Data!A354),LOWER(DataAll!$Y$2:$Y$555),0))</f>
        <v>2.2200000000000002</v>
      </c>
      <c r="K354" cm="1">
        <f t="array" ref="K354">INDEX(DataAll!$AM$2:$AM$555,MATCH(LOWER(Data!A354),LOWER(DataAll!$AL$2:$AL$555),0))</f>
        <v>4.72</v>
      </c>
      <c r="L354" cm="1">
        <f t="array" ref="L354">INDEX(DataAll!$AJ$2:$AJ$555,MATCH(LOWER(Data!A354),LOWER(DataAll!$AI$2:$AI$555),0))</f>
        <v>24.32</v>
      </c>
      <c r="M354" cm="1">
        <f t="array" ref="M354">INDEX(DataAll!$AP$2:$AP$555,MATCH(LOWER(Data!A354),LOWER(DataAll!$AO$2:$AO$555),0))</f>
        <v>65.81</v>
      </c>
      <c r="N354" cm="1">
        <f t="array" ref="N354">INDEX(DataAll!$AQ$2:$AQ$555,MATCH(LOWER(Data!A354),LOWER(DataAll!$AO$2:$AO$555),0))</f>
        <v>69.790000000000006</v>
      </c>
      <c r="O354" cm="1">
        <f t="array" ref="O354">INDEX(DataAll!$AT$2:$AT$555,MATCH(LOWER(Data!A354),LOWER(DataAll!$AS$2:$AS$555),0))</f>
        <v>9.51</v>
      </c>
      <c r="P354" cm="1">
        <f t="array" ref="P354">INDEX(DataAll!$AU$2:$AU$555,MATCH(LOWER(Data!A354),LOWER(DataAll!$AS$2:$AS$555),0))</f>
        <v>8.89</v>
      </c>
      <c r="Q354" cm="1">
        <f t="array" ref="Q354">INDEX(DataAll!$AX$2:$AX$556,MATCH(LOWER(Data!A354),LOWER(DataAll!$AW$2:$AW$556),0))</f>
        <v>32.15</v>
      </c>
      <c r="R354" cm="1">
        <f t="array" ref="R354">INDEX('Longitude and Latitude'!$B$2:$B$579,MATCH(LOWER(Data!A354),LOWER('Longitude and Latitude'!$A$2:$A$579),0))</f>
        <v>-1.8759429999999999</v>
      </c>
      <c r="S354" cm="1">
        <f t="array" ref="S354">INDEX('Longitude and Latitude'!$C$2:$C$579,MATCH(LOWER(Data!A354),LOWER('Longitude and Latitude'!$A$2:$A$579),0))</f>
        <v>114.80926909999999</v>
      </c>
      <c r="T354" t="b">
        <f>IF(EXACT(A354, UPPER(A354)), TRUE, FALSE)</f>
        <v>0</v>
      </c>
    </row>
    <row r="355" spans="1:20" x14ac:dyDescent="0.35">
      <c r="A355" t="s">
        <v>354</v>
      </c>
      <c r="B355">
        <v>87.72</v>
      </c>
      <c r="C355" cm="1">
        <f t="array" ref="C355">INDEX(DataAll!$E$2:$E$555,MATCH(LOWER(Data!A355),LOWER(DataAll!$D$2:$D$555),0))</f>
        <v>87.08</v>
      </c>
      <c r="D355" cm="1">
        <f t="array" ref="D355">INDEX(DataAll!$H$2:$H$579,MATCH(LOWER(Data!A355),LOWER(DataAll!$G$2:$G$555),0))</f>
        <v>0.53300000000000003</v>
      </c>
      <c r="E355" cm="1">
        <f t="array" ref="E355">INDEX(DataAll!$K$2:$K$579,MATCH(LOWER(Data!A355),LOWER(DataAll!$J$2:$J$555),0))</f>
        <v>36</v>
      </c>
      <c r="F355" cm="1">
        <f t="array" ref="F355">INDEX(DataAll!$N$2:$N$555,MATCH(LOWER(Data!A355),LOWER(DataAll!$M$2:$M$555),0))</f>
        <v>48.91</v>
      </c>
      <c r="G355" cm="1">
        <f t="array" ref="G355">INDEX(DataAll!$Q$2:$Q$555,MATCH(LOWER(Data!A355),LOWER(DataAll!$P$2:$P$555),0))</f>
        <v>13.2</v>
      </c>
      <c r="H355" cm="1">
        <f t="array" ref="H355">INDEX(DataAll!$T$2:$T$555,MATCH(LOWER(Data!A355),LOWER(DataAll!$S$2:$S$555),0))</f>
        <v>0.378</v>
      </c>
      <c r="I355" cm="1">
        <f t="array" ref="I355">INDEX(DataAll!$W$2:$W$555,MATCH(LOWER(Data!A355),LOWER(DataAll!$V$2:$V$555),0))</f>
        <v>41.35</v>
      </c>
      <c r="J355" cm="1">
        <f t="array" ref="J355">INDEX(DataAll!$Z$2:$Z$555,MATCH(LOWER(Data!A355),LOWER(DataAll!$Y$2:$Y$555),0))</f>
        <v>2.25</v>
      </c>
      <c r="K355" cm="1">
        <f t="array" ref="K355">INDEX(DataAll!$AM$2:$AM$555,MATCH(LOWER(Data!A355),LOWER(DataAll!$AL$2:$AL$555),0))</f>
        <v>5.35</v>
      </c>
      <c r="L355" cm="1">
        <f t="array" ref="L355">INDEX(DataAll!$AJ$2:$AJ$555,MATCH(LOWER(Data!A355),LOWER(DataAll!$AI$2:$AI$555),0))</f>
        <v>20.64</v>
      </c>
      <c r="M355" cm="1">
        <f t="array" ref="M355">INDEX(DataAll!$AP$2:$AP$555,MATCH(LOWER(Data!A355),LOWER(DataAll!$AO$2:$AO$555),0))</f>
        <v>69.73</v>
      </c>
      <c r="N355" cm="1">
        <f t="array" ref="N355">INDEX(DataAll!$AQ$2:$AQ$555,MATCH(LOWER(Data!A355),LOWER(DataAll!$AO$2:$AO$555),0))</f>
        <v>73.72</v>
      </c>
      <c r="O355" cm="1">
        <f t="array" ref="O355">INDEX(DataAll!$AT$2:$AT$555,MATCH(LOWER(Data!A355),LOWER(DataAll!$AS$2:$AS$555),0))</f>
        <v>9.11</v>
      </c>
      <c r="P355" cm="1">
        <f t="array" ref="P355">INDEX(DataAll!$AU$2:$AU$555,MATCH(LOWER(Data!A355),LOWER(DataAll!$AS$2:$AS$555),0))</f>
        <v>8.61</v>
      </c>
      <c r="Q355" cm="1">
        <f t="array" ref="Q355">INDEX(DataAll!$AX$2:$AX$556,MATCH(LOWER(Data!A355),LOWER(DataAll!$AW$2:$AW$556),0))</f>
        <v>30</v>
      </c>
      <c r="R355" cm="1">
        <f t="array" ref="R355">INDEX('Longitude and Latitude'!$B$2:$B$579,MATCH(LOWER(Data!A355),LOWER('Longitude and Latitude'!$A$2:$A$579),0))</f>
        <v>-0.95871360000000005</v>
      </c>
      <c r="S355" cm="1">
        <f t="array" ref="S355">INDEX('Longitude and Latitude'!$C$2:$C$579,MATCH(LOWER(Data!A355),LOWER('Longitude and Latitude'!$A$2:$A$579),0))</f>
        <v>115.09404499999999</v>
      </c>
      <c r="T355" t="b">
        <f>IF(EXACT(A355, UPPER(A355)), TRUE, FALSE)</f>
        <v>0</v>
      </c>
    </row>
    <row r="356" spans="1:20" x14ac:dyDescent="0.35">
      <c r="A356" t="s">
        <v>355</v>
      </c>
      <c r="B356">
        <v>91.96</v>
      </c>
      <c r="C356" cm="1">
        <f t="array" ref="C356">INDEX(DataAll!$E$2:$E$555,MATCH(LOWER(Data!A356),LOWER(DataAll!$D$2:$D$555),0))</f>
        <v>67.53</v>
      </c>
      <c r="D356" cm="1">
        <f t="array" ref="D356">INDEX(DataAll!$H$2:$H$579,MATCH(LOWER(Data!A356),LOWER(DataAll!$G$2:$G$555),0))</f>
        <v>0.499</v>
      </c>
      <c r="E356" cm="1">
        <f t="array" ref="E356">INDEX(DataAll!$K$2:$K$579,MATCH(LOWER(Data!A356),LOWER(DataAll!$J$2:$J$555),0))</f>
        <v>25</v>
      </c>
      <c r="F356" cm="1">
        <f t="array" ref="F356">INDEX(DataAll!$N$2:$N$555,MATCH(LOWER(Data!A356),LOWER(DataAll!$M$2:$M$555),0))</f>
        <v>47.61</v>
      </c>
      <c r="G356" cm="1">
        <f t="array" ref="G356">INDEX(DataAll!$Q$2:$Q$555,MATCH(LOWER(Data!A356),LOWER(DataAll!$P$2:$P$555),0))</f>
        <v>6.43</v>
      </c>
      <c r="H356" cm="1">
        <f t="array" ref="H356">INDEX(DataAll!$T$2:$T$555,MATCH(LOWER(Data!A356),LOWER(DataAll!$S$2:$S$555),0))</f>
        <v>0.35499999999999998</v>
      </c>
      <c r="I356" cm="1">
        <f t="array" ref="I356">INDEX(DataAll!$W$2:$W$555,MATCH(LOWER(Data!A356),LOWER(DataAll!$V$2:$V$555),0))</f>
        <v>20.48</v>
      </c>
      <c r="J356" cm="1">
        <f t="array" ref="J356">INDEX(DataAll!$Z$2:$Z$555,MATCH(LOWER(Data!A356),LOWER(DataAll!$Y$2:$Y$555),0))</f>
        <v>2.1800000000000002</v>
      </c>
      <c r="K356" cm="1">
        <f t="array" ref="K356">INDEX(DataAll!$AM$2:$AM$555,MATCH(LOWER(Data!A356),LOWER(DataAll!$AL$2:$AL$555),0))</f>
        <v>3.96</v>
      </c>
      <c r="L356" cm="1">
        <f t="array" ref="L356">INDEX(DataAll!$AJ$2:$AJ$555,MATCH(LOWER(Data!A356),LOWER(DataAll!$AI$2:$AI$555),0))</f>
        <v>17.34</v>
      </c>
      <c r="M356" cm="1">
        <f t="array" ref="M356">INDEX(DataAll!$AP$2:$AP$555,MATCH(LOWER(Data!A356),LOWER(DataAll!$AO$2:$AO$555),0))</f>
        <v>70.069999999999993</v>
      </c>
      <c r="N356" cm="1">
        <f t="array" ref="N356">INDEX(DataAll!$AQ$2:$AQ$555,MATCH(LOWER(Data!A356),LOWER(DataAll!$AO$2:$AO$555),0))</f>
        <v>74.069999999999993</v>
      </c>
      <c r="O356" cm="1">
        <f t="array" ref="O356">INDEX(DataAll!$AT$2:$AT$555,MATCH(LOWER(Data!A356),LOWER(DataAll!$AS$2:$AS$555),0))</f>
        <v>8.6</v>
      </c>
      <c r="P356" cm="1">
        <f t="array" ref="P356">INDEX(DataAll!$AU$2:$AU$555,MATCH(LOWER(Data!A356),LOWER(DataAll!$AS$2:$AS$555),0))</f>
        <v>7.88</v>
      </c>
      <c r="Q356" cm="1">
        <f t="array" ref="Q356">INDEX(DataAll!$AX$2:$AX$556,MATCH(LOWER(Data!A356),LOWER(DataAll!$AW$2:$AW$556),0))</f>
        <v>25.91</v>
      </c>
      <c r="R356" cm="1">
        <f t="array" ref="R356">INDEX('Longitude and Latitude'!$B$2:$B$579,MATCH(LOWER(Data!A356),LOWER('Longitude and Latitude'!$A$2:$A$579),0))</f>
        <v>-2.6267516999999998</v>
      </c>
      <c r="S356" cm="1">
        <f t="array" ref="S356">INDEX('Longitude and Latitude'!$C$2:$C$579,MATCH(LOWER(Data!A356),LOWER('Longitude and Latitude'!$A$2:$A$579),0))</f>
        <v>111.2368084</v>
      </c>
      <c r="T356" t="b">
        <f>IF(EXACT(A356, UPPER(A356)), TRUE, FALSE)</f>
        <v>0</v>
      </c>
    </row>
    <row r="357" spans="1:20" x14ac:dyDescent="0.35">
      <c r="A357" t="s">
        <v>356</v>
      </c>
      <c r="B357">
        <v>91.68</v>
      </c>
      <c r="C357" cm="1">
        <f t="array" ref="C357">INDEX(DataAll!$E$2:$E$555,MATCH(LOWER(Data!A357),LOWER(DataAll!$D$2:$D$555),0))</f>
        <v>71.400000000000006</v>
      </c>
      <c r="D357" cm="1">
        <f t="array" ref="D357">INDEX(DataAll!$H$2:$H$579,MATCH(LOWER(Data!A357),LOWER(DataAll!$G$2:$G$555),0))</f>
        <v>0.56399999999999995</v>
      </c>
      <c r="E357" cm="1">
        <f t="array" ref="E357">INDEX(DataAll!$K$2:$K$579,MATCH(LOWER(Data!A357),LOWER(DataAll!$J$2:$J$555),0))</f>
        <v>20</v>
      </c>
      <c r="F357" cm="1">
        <f t="array" ref="F357">INDEX(DataAll!$N$2:$N$555,MATCH(LOWER(Data!A357),LOWER(DataAll!$M$2:$M$555),0))</f>
        <v>46.9</v>
      </c>
      <c r="G357" cm="1">
        <f t="array" ref="G357">INDEX(DataAll!$Q$2:$Q$555,MATCH(LOWER(Data!A357),LOWER(DataAll!$P$2:$P$555),0))</f>
        <v>7.13</v>
      </c>
      <c r="H357" cm="1">
        <f t="array" ref="H357">INDEX(DataAll!$T$2:$T$555,MATCH(LOWER(Data!A357),LOWER(DataAll!$S$2:$S$555),0))</f>
        <v>0.35699999999999998</v>
      </c>
      <c r="I357" cm="1">
        <f t="array" ref="I357">INDEX(DataAll!$W$2:$W$555,MATCH(LOWER(Data!A357),LOWER(DataAll!$V$2:$V$555),0))</f>
        <v>28.57</v>
      </c>
      <c r="J357" cm="1">
        <f t="array" ref="J357">INDEX(DataAll!$Z$2:$Z$555,MATCH(LOWER(Data!A357),LOWER(DataAll!$Y$2:$Y$555),0))</f>
        <v>2.2400000000000002</v>
      </c>
      <c r="K357" cm="1">
        <f t="array" ref="K357">INDEX(DataAll!$AM$2:$AM$555,MATCH(LOWER(Data!A357),LOWER(DataAll!$AL$2:$AL$555),0))</f>
        <v>3.12</v>
      </c>
      <c r="L357" cm="1">
        <f t="array" ref="L357">INDEX(DataAll!$AJ$2:$AJ$555,MATCH(LOWER(Data!A357),LOWER(DataAll!$AI$2:$AI$555),0))</f>
        <v>21.27</v>
      </c>
      <c r="M357" cm="1">
        <f t="array" ref="M357">INDEX(DataAll!$AP$2:$AP$555,MATCH(LOWER(Data!A357),LOWER(DataAll!$AO$2:$AO$555),0))</f>
        <v>67.92</v>
      </c>
      <c r="N357" cm="1">
        <f t="array" ref="N357">INDEX(DataAll!$AQ$2:$AQ$555,MATCH(LOWER(Data!A357),LOWER(DataAll!$AO$2:$AO$555),0))</f>
        <v>71.86</v>
      </c>
      <c r="O357" cm="1">
        <f t="array" ref="O357">INDEX(DataAll!$AT$2:$AT$555,MATCH(LOWER(Data!A357),LOWER(DataAll!$AS$2:$AS$555),0))</f>
        <v>9.02</v>
      </c>
      <c r="P357" cm="1">
        <f t="array" ref="P357">INDEX(DataAll!$AU$2:$AU$555,MATCH(LOWER(Data!A357),LOWER(DataAll!$AS$2:$AS$555),0))</f>
        <v>8.24</v>
      </c>
      <c r="Q357" cm="1">
        <f t="array" ref="Q357">INDEX(DataAll!$AX$2:$AX$556,MATCH(LOWER(Data!A357),LOWER(DataAll!$AW$2:$AW$556),0))</f>
        <v>25.86</v>
      </c>
      <c r="R357" cm="1">
        <f t="array" ref="R357">INDEX('Longitude and Latitude'!$B$2:$B$579,MATCH(LOWER(Data!A357),LOWER('Longitude and Latitude'!$A$2:$A$579),0))</f>
        <v>-1.9269166</v>
      </c>
      <c r="S357" cm="1">
        <f t="array" ref="S357">INDEX('Longitude and Latitude'!$C$2:$C$579,MATCH(LOWER(Data!A357),LOWER('Longitude and Latitude'!$A$2:$A$579),0))</f>
        <v>111.1891151</v>
      </c>
      <c r="T357" t="b">
        <f>IF(EXACT(A357, UPPER(A357)), TRUE, FALSE)</f>
        <v>0</v>
      </c>
    </row>
    <row r="358" spans="1:20" x14ac:dyDescent="0.35">
      <c r="A358" t="s">
        <v>357</v>
      </c>
      <c r="B358">
        <v>89.31</v>
      </c>
      <c r="C358" cm="1">
        <f t="array" ref="C358">INDEX(DataAll!$E$2:$E$555,MATCH(LOWER(Data!A358),LOWER(DataAll!$D$2:$D$555),0))</f>
        <v>66.83</v>
      </c>
      <c r="D358" cm="1">
        <f t="array" ref="D358">INDEX(DataAll!$H$2:$H$579,MATCH(LOWER(Data!A358),LOWER(DataAll!$G$2:$G$555),0))</f>
        <v>0.61599999999999999</v>
      </c>
      <c r="E358" cm="1">
        <f t="array" ref="E358">INDEX(DataAll!$K$2:$K$579,MATCH(LOWER(Data!A358),LOWER(DataAll!$J$2:$J$555),0))</f>
        <v>16</v>
      </c>
      <c r="F358" cm="1">
        <f t="array" ref="F358">INDEX(DataAll!$N$2:$N$555,MATCH(LOWER(Data!A358),LOWER(DataAll!$M$2:$M$555),0))</f>
        <v>54.98</v>
      </c>
      <c r="G358" cm="1">
        <f t="array" ref="G358">INDEX(DataAll!$Q$2:$Q$555,MATCH(LOWER(Data!A358),LOWER(DataAll!$P$2:$P$555),0))</f>
        <v>7.11</v>
      </c>
      <c r="H358" cm="1">
        <f t="array" ref="H358">INDEX(DataAll!$T$2:$T$555,MATCH(LOWER(Data!A358),LOWER(DataAll!$S$2:$S$555),0))</f>
        <v>0.39700000000000002</v>
      </c>
      <c r="I358" cm="1">
        <f t="array" ref="I358">INDEX(DataAll!$W$2:$W$555,MATCH(LOWER(Data!A358),LOWER(DataAll!$V$2:$V$555),0))</f>
        <v>27.33</v>
      </c>
      <c r="J358" cm="1">
        <f t="array" ref="J358">INDEX(DataAll!$Z$2:$Z$555,MATCH(LOWER(Data!A358),LOWER(DataAll!$Y$2:$Y$555),0))</f>
        <v>2.2000000000000002</v>
      </c>
      <c r="K358" cm="1">
        <f t="array" ref="K358">INDEX(DataAll!$AM$2:$AM$555,MATCH(LOWER(Data!A358),LOWER(DataAll!$AL$2:$AL$555),0))</f>
        <v>7.12</v>
      </c>
      <c r="L358" cm="1">
        <f t="array" ref="L358">INDEX(DataAll!$AJ$2:$AJ$555,MATCH(LOWER(Data!A358),LOWER(DataAll!$AI$2:$AI$555),0))</f>
        <v>21.71</v>
      </c>
      <c r="M358" cm="1">
        <f t="array" ref="M358">INDEX(DataAll!$AP$2:$AP$555,MATCH(LOWER(Data!A358),LOWER(DataAll!$AO$2:$AO$555),0))</f>
        <v>67.709999999999994</v>
      </c>
      <c r="N358" cm="1">
        <f t="array" ref="N358">INDEX(DataAll!$AQ$2:$AQ$555,MATCH(LOWER(Data!A358),LOWER(DataAll!$AO$2:$AO$555),0))</f>
        <v>71.66</v>
      </c>
      <c r="O358" cm="1">
        <f t="array" ref="O358">INDEX(DataAll!$AT$2:$AT$555,MATCH(LOWER(Data!A358),LOWER(DataAll!$AS$2:$AS$555),0))</f>
        <v>8.43</v>
      </c>
      <c r="P358" cm="1">
        <f t="array" ref="P358">INDEX(DataAll!$AU$2:$AU$555,MATCH(LOWER(Data!A358),LOWER(DataAll!$AS$2:$AS$555),0))</f>
        <v>7.56</v>
      </c>
      <c r="Q358" cm="1">
        <f t="array" ref="Q358">INDEX(DataAll!$AX$2:$AX$556,MATCH(LOWER(Data!A358),LOWER(DataAll!$AW$2:$AW$556),0))</f>
        <v>19.7</v>
      </c>
      <c r="R358" cm="1">
        <f t="array" ref="R358">INDEX('Longitude and Latitude'!$B$2:$B$579,MATCH(LOWER(Data!A358),LOWER('Longitude and Latitude'!$A$2:$A$579),0))</f>
        <v>-3.0123467000000002</v>
      </c>
      <c r="S358" cm="1">
        <f t="array" ref="S358">INDEX('Longitude and Latitude'!$C$2:$C$579,MATCH(LOWER(Data!A358),LOWER('Longitude and Latitude'!$A$2:$A$579),0))</f>
        <v>112.42914639999999</v>
      </c>
      <c r="T358" t="b">
        <f>IF(EXACT(A358, UPPER(A358)), TRUE, FALSE)</f>
        <v>0</v>
      </c>
    </row>
    <row r="359" spans="1:20" x14ac:dyDescent="0.35">
      <c r="A359" t="s">
        <v>358</v>
      </c>
      <c r="B359">
        <v>86.36</v>
      </c>
      <c r="C359" cm="1">
        <f t="array" ref="C359">INDEX(DataAll!$E$2:$E$555,MATCH(LOWER(Data!A359),LOWER(DataAll!$D$2:$D$555),0))</f>
        <v>68.19</v>
      </c>
      <c r="D359" cm="1">
        <f t="array" ref="D359">INDEX(DataAll!$H$2:$H$579,MATCH(LOWER(Data!A359),LOWER(DataAll!$G$2:$G$555),0))</f>
        <v>0.59299999999999997</v>
      </c>
      <c r="E359" cm="1">
        <f t="array" ref="E359">INDEX(DataAll!$K$2:$K$579,MATCH(LOWER(Data!A359),LOWER(DataAll!$J$2:$J$555),0))</f>
        <v>16</v>
      </c>
      <c r="F359" cm="1">
        <f t="array" ref="F359">INDEX(DataAll!$N$2:$N$555,MATCH(LOWER(Data!A359),LOWER(DataAll!$M$2:$M$555),0))</f>
        <v>50.4</v>
      </c>
      <c r="G359" cm="1">
        <f t="array" ref="G359">INDEX(DataAll!$Q$2:$Q$555,MATCH(LOWER(Data!A359),LOWER(DataAll!$P$2:$P$555),0))</f>
        <v>7.47</v>
      </c>
      <c r="H359" cm="1">
        <f t="array" ref="H359">INDEX(DataAll!$T$2:$T$555,MATCH(LOWER(Data!A359),LOWER(DataAll!$S$2:$S$555),0))</f>
        <v>0.39400000000000002</v>
      </c>
      <c r="I359" cm="1">
        <f t="array" ref="I359">INDEX(DataAll!$W$2:$W$555,MATCH(LOWER(Data!A359),LOWER(DataAll!$V$2:$V$555),0))</f>
        <v>29.98</v>
      </c>
      <c r="J359" cm="1">
        <f t="array" ref="J359">INDEX(DataAll!$Z$2:$Z$555,MATCH(LOWER(Data!A359),LOWER(DataAll!$Y$2:$Y$555),0))</f>
        <v>2.48</v>
      </c>
      <c r="K359" cm="1">
        <f t="array" ref="K359">INDEX(DataAll!$AM$2:$AM$555,MATCH(LOWER(Data!A359),LOWER(DataAll!$AL$2:$AL$555),0))</f>
        <v>4.99</v>
      </c>
      <c r="L359" cm="1">
        <f t="array" ref="L359">INDEX(DataAll!$AJ$2:$AJ$555,MATCH(LOWER(Data!A359),LOWER(DataAll!$AI$2:$AI$555),0))</f>
        <v>17.899999999999999</v>
      </c>
      <c r="M359" cm="1">
        <f t="array" ref="M359">INDEX(DataAll!$AP$2:$AP$555,MATCH(LOWER(Data!A359),LOWER(DataAll!$AO$2:$AO$555),0))</f>
        <v>64.52</v>
      </c>
      <c r="N359" cm="1">
        <f t="array" ref="N359">INDEX(DataAll!$AQ$2:$AQ$555,MATCH(LOWER(Data!A359),LOWER(DataAll!$AO$2:$AO$555),0))</f>
        <v>68.430000000000007</v>
      </c>
      <c r="O359" cm="1">
        <f t="array" ref="O359">INDEX(DataAll!$AT$2:$AT$555,MATCH(LOWER(Data!A359),LOWER(DataAll!$AS$2:$AS$555),0))</f>
        <v>9.02</v>
      </c>
      <c r="P359" cm="1">
        <f t="array" ref="P359">INDEX(DataAll!$AU$2:$AU$555,MATCH(LOWER(Data!A359),LOWER(DataAll!$AS$2:$AS$555),0))</f>
        <v>8.6999999999999993</v>
      </c>
      <c r="Q359" cm="1">
        <f t="array" ref="Q359">INDEX(DataAll!$AX$2:$AX$556,MATCH(LOWER(Data!A359),LOWER(DataAll!$AW$2:$AW$556),0))</f>
        <v>26.17</v>
      </c>
      <c r="R359" cm="1">
        <f t="array" ref="R359">INDEX('Longitude and Latitude'!$B$2:$B$579,MATCH(LOWER(Data!A359),LOWER('Longitude and Latitude'!$A$2:$A$579),0))</f>
        <v>-0.97583790000000004</v>
      </c>
      <c r="S359" cm="1">
        <f t="array" ref="S359">INDEX('Longitude and Latitude'!$C$2:$C$579,MATCH(LOWER(Data!A359),LOWER('Longitude and Latitude'!$A$2:$A$579),0))</f>
        <v>112.81055120000001</v>
      </c>
      <c r="T359" t="b">
        <f>IF(EXACT(A359, UPPER(A359)), TRUE, FALSE)</f>
        <v>0</v>
      </c>
    </row>
    <row r="360" spans="1:20" x14ac:dyDescent="0.35">
      <c r="A360" t="s">
        <v>359</v>
      </c>
      <c r="B360">
        <v>92.3</v>
      </c>
      <c r="C360" cm="1">
        <f t="array" ref="C360">INDEX(DataAll!$E$2:$E$555,MATCH(LOWER(Data!A360),LOWER(DataAll!$D$2:$D$555),0))</f>
        <v>71.010000000000005</v>
      </c>
      <c r="D360" cm="1">
        <f t="array" ref="D360">INDEX(DataAll!$H$2:$H$579,MATCH(LOWER(Data!A360),LOWER(DataAll!$G$2:$G$555),0))</f>
        <v>0.501</v>
      </c>
      <c r="E360" cm="1">
        <f t="array" ref="E360">INDEX(DataAll!$K$2:$K$579,MATCH(LOWER(Data!A360),LOWER(DataAll!$J$2:$J$555),0))</f>
        <v>28</v>
      </c>
      <c r="F360" cm="1">
        <f t="array" ref="F360">INDEX(DataAll!$N$2:$N$555,MATCH(LOWER(Data!A360),LOWER(DataAll!$M$2:$M$555),0))</f>
        <v>49.35</v>
      </c>
      <c r="G360" cm="1">
        <f t="array" ref="G360">INDEX(DataAll!$Q$2:$Q$555,MATCH(LOWER(Data!A360),LOWER(DataAll!$P$2:$P$555),0))</f>
        <v>10.73</v>
      </c>
      <c r="H360" cm="1">
        <f t="array" ref="H360">INDEX(DataAll!$T$2:$T$555,MATCH(LOWER(Data!A360),LOWER(DataAll!$S$2:$S$555),0))</f>
        <v>0.39100000000000001</v>
      </c>
      <c r="I360" cm="1">
        <f t="array" ref="I360">INDEX(DataAll!$W$2:$W$555,MATCH(LOWER(Data!A360),LOWER(DataAll!$V$2:$V$555),0))</f>
        <v>22.66</v>
      </c>
      <c r="J360" cm="1">
        <f t="array" ref="J360">INDEX(DataAll!$Z$2:$Z$555,MATCH(LOWER(Data!A360),LOWER(DataAll!$Y$2:$Y$555),0))</f>
        <v>2.2400000000000002</v>
      </c>
      <c r="K360" cm="1">
        <f t="array" ref="K360">INDEX(DataAll!$AM$2:$AM$555,MATCH(LOWER(Data!A360),LOWER(DataAll!$AL$2:$AL$555),0))</f>
        <v>4.58</v>
      </c>
      <c r="L360" cm="1">
        <f t="array" ref="L360">INDEX(DataAll!$AJ$2:$AJ$555,MATCH(LOWER(Data!A360),LOWER(DataAll!$AI$2:$AI$555),0))</f>
        <v>23.18</v>
      </c>
      <c r="M360" cm="1">
        <f t="array" ref="M360">INDEX(DataAll!$AP$2:$AP$555,MATCH(LOWER(Data!A360),LOWER(DataAll!$AO$2:$AO$555),0))</f>
        <v>66.66</v>
      </c>
      <c r="N360" cm="1">
        <f t="array" ref="N360">INDEX(DataAll!$AQ$2:$AQ$555,MATCH(LOWER(Data!A360),LOWER(DataAll!$AO$2:$AO$555),0))</f>
        <v>70.64</v>
      </c>
      <c r="O360" cm="1">
        <f t="array" ref="O360">INDEX(DataAll!$AT$2:$AT$555,MATCH(LOWER(Data!A360),LOWER(DataAll!$AS$2:$AS$555),0))</f>
        <v>8.41</v>
      </c>
      <c r="P360" cm="1">
        <f t="array" ref="P360">INDEX(DataAll!$AU$2:$AU$555,MATCH(LOWER(Data!A360),LOWER(DataAll!$AS$2:$AS$555),0))</f>
        <v>8.18</v>
      </c>
      <c r="Q360" cm="1">
        <f t="array" ref="Q360">INDEX(DataAll!$AX$2:$AX$556,MATCH(LOWER(Data!A360),LOWER(DataAll!$AW$2:$AW$556),0))</f>
        <v>28.18</v>
      </c>
      <c r="R360" cm="1">
        <f t="array" ref="R360">INDEX('Longitude and Latitude'!$B$2:$B$579,MATCH(LOWER(Data!A360),LOWER('Longitude and Latitude'!$A$2:$A$579),0))</f>
        <v>-2.6849607</v>
      </c>
      <c r="S360" cm="1">
        <f t="array" ref="S360">INDEX('Longitude and Latitude'!$C$2:$C$579,MATCH(LOWER(Data!A360),LOWER('Longitude and Latitude'!$A$2:$A$579),0))</f>
        <v>113.9536466</v>
      </c>
      <c r="T360" t="b">
        <f>IF(EXACT(A360, UPPER(A360)), TRUE, FALSE)</f>
        <v>0</v>
      </c>
    </row>
    <row r="361" spans="1:20" x14ac:dyDescent="0.35">
      <c r="A361" t="s">
        <v>360</v>
      </c>
      <c r="B361">
        <v>92.38</v>
      </c>
      <c r="C361" cm="1">
        <f t="array" ref="C361">INDEX(DataAll!$E$2:$E$555,MATCH(LOWER(Data!A361),LOWER(DataAll!$D$2:$D$555),0))</f>
        <v>89.29</v>
      </c>
      <c r="D361" cm="1">
        <f t="array" ref="D361">INDEX(DataAll!$H$2:$H$579,MATCH(LOWER(Data!A361),LOWER(DataAll!$G$2:$G$555),0))</f>
        <v>0.57199999999999995</v>
      </c>
      <c r="E361" cm="1">
        <f t="array" ref="E361">INDEX(DataAll!$K$2:$K$579,MATCH(LOWER(Data!A361),LOWER(DataAll!$J$2:$J$555),0))</f>
        <v>44</v>
      </c>
      <c r="F361" cm="1">
        <f t="array" ref="F361">INDEX(DataAll!$N$2:$N$555,MATCH(LOWER(Data!A361),LOWER(DataAll!$M$2:$M$555),0))</f>
        <v>49.28</v>
      </c>
      <c r="G361" cm="1">
        <f t="array" ref="G361">INDEX(DataAll!$Q$2:$Q$555,MATCH(LOWER(Data!A361),LOWER(DataAll!$P$2:$P$555),0))</f>
        <v>8.24</v>
      </c>
      <c r="H361" cm="1">
        <f t="array" ref="H361">INDEX(DataAll!$T$2:$T$555,MATCH(LOWER(Data!A361),LOWER(DataAll!$S$2:$S$555),0))</f>
        <v>0.46</v>
      </c>
      <c r="I361" cm="1">
        <f t="array" ref="I361">INDEX(DataAll!$W$2:$W$555,MATCH(LOWER(Data!A361),LOWER(DataAll!$V$2:$V$555),0))</f>
        <v>49.94</v>
      </c>
      <c r="J361" cm="1">
        <f t="array" ref="J361">INDEX(DataAll!$Z$2:$Z$555,MATCH(LOWER(Data!A361),LOWER(DataAll!$Y$2:$Y$555),0))</f>
        <v>2.42</v>
      </c>
      <c r="K361" cm="1">
        <f t="array" ref="K361">INDEX(DataAll!$AM$2:$AM$555,MATCH(LOWER(Data!A361),LOWER(DataAll!$AL$2:$AL$555),0))</f>
        <v>5.47</v>
      </c>
      <c r="L361" cm="1">
        <f t="array" ref="L361">INDEX(DataAll!$AJ$2:$AJ$555,MATCH(LOWER(Data!A361),LOWER(DataAll!$AI$2:$AI$555),0))</f>
        <v>21.5</v>
      </c>
      <c r="M361" cm="1">
        <f t="array" ref="M361">INDEX(DataAll!$AP$2:$AP$555,MATCH(LOWER(Data!A361),LOWER(DataAll!$AO$2:$AO$555),0))</f>
        <v>69.03</v>
      </c>
      <c r="N361" cm="1">
        <f t="array" ref="N361">INDEX(DataAll!$AQ$2:$AQ$555,MATCH(LOWER(Data!A361),LOWER(DataAll!$AO$2:$AO$555),0))</f>
        <v>72.98</v>
      </c>
      <c r="O361" cm="1">
        <f t="array" ref="O361">INDEX(DataAll!$AT$2:$AT$555,MATCH(LOWER(Data!A361),LOWER(DataAll!$AS$2:$AS$555),0))</f>
        <v>9.31</v>
      </c>
      <c r="P361" cm="1">
        <f t="array" ref="P361">INDEX(DataAll!$AU$2:$AU$555,MATCH(LOWER(Data!A361),LOWER(DataAll!$AS$2:$AS$555),0))</f>
        <v>9.18</v>
      </c>
      <c r="Q361" cm="1">
        <f t="array" ref="Q361">INDEX(DataAll!$AX$2:$AX$556,MATCH(LOWER(Data!A361),LOWER(DataAll!$AW$2:$AW$556),0))</f>
        <v>31.07</v>
      </c>
      <c r="R361" cm="1">
        <f t="array" ref="R361">INDEX('Longitude and Latitude'!$B$2:$B$579,MATCH(LOWER(Data!A361),LOWER('Longitude and Latitude'!$A$2:$A$579),0))</f>
        <v>-6.7052778000000002</v>
      </c>
      <c r="S361" cm="1">
        <f t="array" ref="S361">INDEX('Longitude and Latitude'!$C$2:$C$579,MATCH(LOWER(Data!A361),LOWER('Longitude and Latitude'!$A$2:$A$579),0))</f>
        <v>106.9913889</v>
      </c>
      <c r="T361" t="b">
        <f>IF(EXACT(A361, UPPER(A361)), TRUE, FALSE)</f>
        <v>0</v>
      </c>
    </row>
    <row r="362" spans="1:20" x14ac:dyDescent="0.35">
      <c r="A362" t="s">
        <v>361</v>
      </c>
      <c r="B362">
        <v>89.2</v>
      </c>
      <c r="C362" cm="1">
        <f t="array" ref="C362">INDEX(DataAll!$E$2:$E$555,MATCH(LOWER(Data!A362),LOWER(DataAll!$D$2:$D$555),0))</f>
        <v>81.48</v>
      </c>
      <c r="D362" cm="1">
        <f t="array" ref="D362">INDEX(DataAll!$H$2:$H$579,MATCH(LOWER(Data!A362),LOWER(DataAll!$G$2:$G$555),0))</f>
        <v>0.48199999999999998</v>
      </c>
      <c r="E362" cm="1">
        <f t="array" ref="E362">INDEX(DataAll!$K$2:$K$579,MATCH(LOWER(Data!A362),LOWER(DataAll!$J$2:$J$555),0))</f>
        <v>28</v>
      </c>
      <c r="F362" cm="1">
        <f t="array" ref="F362">INDEX(DataAll!$N$2:$N$555,MATCH(LOWER(Data!A362),LOWER(DataAll!$M$2:$M$555),0))</f>
        <v>59.16</v>
      </c>
      <c r="G362" cm="1">
        <f t="array" ref="G362">INDEX(DataAll!$Q$2:$Q$555,MATCH(LOWER(Data!A362),LOWER(DataAll!$P$2:$P$555),0))</f>
        <v>10.92</v>
      </c>
      <c r="H362" cm="1">
        <f t="array" ref="H362">INDEX(DataAll!$T$2:$T$555,MATCH(LOWER(Data!A362),LOWER(DataAll!$S$2:$S$555),0))</f>
        <v>0.32900000000000001</v>
      </c>
      <c r="I362" cm="1">
        <f t="array" ref="I362">INDEX(DataAll!$W$2:$W$555,MATCH(LOWER(Data!A362),LOWER(DataAll!$V$2:$V$555),0))</f>
        <v>42.85</v>
      </c>
      <c r="J362" cm="1">
        <f t="array" ref="J362">INDEX(DataAll!$Z$2:$Z$555,MATCH(LOWER(Data!A362),LOWER(DataAll!$Y$2:$Y$555),0))</f>
        <v>2.2000000000000002</v>
      </c>
      <c r="K362" cm="1">
        <f t="array" ref="K362">INDEX(DataAll!$AM$2:$AM$555,MATCH(LOWER(Data!A362),LOWER(DataAll!$AL$2:$AL$555),0))</f>
        <v>6.63</v>
      </c>
      <c r="L362" cm="1">
        <f t="array" ref="L362">INDEX(DataAll!$AJ$2:$AJ$555,MATCH(LOWER(Data!A362),LOWER(DataAll!$AI$2:$AI$555),0))</f>
        <v>26.79</v>
      </c>
      <c r="M362" cm="1">
        <f t="array" ref="M362">INDEX(DataAll!$AP$2:$AP$555,MATCH(LOWER(Data!A362),LOWER(DataAll!$AO$2:$AO$555),0))</f>
        <v>66.97</v>
      </c>
      <c r="N362" cm="1">
        <f t="array" ref="N362">INDEX(DataAll!$AQ$2:$AQ$555,MATCH(LOWER(Data!A362),LOWER(DataAll!$AO$2:$AO$555),0))</f>
        <v>70.94</v>
      </c>
      <c r="O362" cm="1">
        <f t="array" ref="O362">INDEX(DataAll!$AT$2:$AT$555,MATCH(LOWER(Data!A362),LOWER(DataAll!$AS$2:$AS$555),0))</f>
        <v>9.9</v>
      </c>
      <c r="P362" cm="1">
        <f t="array" ref="P362">INDEX(DataAll!$AU$2:$AU$555,MATCH(LOWER(Data!A362),LOWER(DataAll!$AS$2:$AS$555),0))</f>
        <v>9.24</v>
      </c>
      <c r="Q362" cm="1">
        <f t="array" ref="Q362">INDEX(DataAll!$AX$2:$AX$556,MATCH(LOWER(Data!A362),LOWER(DataAll!$AW$2:$AW$556),0))</f>
        <v>39.520000000000003</v>
      </c>
      <c r="R362" cm="1">
        <f t="array" ref="R362">INDEX('Longitude and Latitude'!$B$2:$B$579,MATCH(LOWER(Data!A362),LOWER('Longitude and Latitude'!$A$2:$A$579),0))</f>
        <v>-2.0123999000000001</v>
      </c>
      <c r="S362" cm="1">
        <f t="array" ref="S362">INDEX('Longitude and Latitude'!$C$2:$C$579,MATCH(LOWER(Data!A362),LOWER('Longitude and Latitude'!$A$2:$A$579),0))</f>
        <v>115.18891600000001</v>
      </c>
      <c r="T362" t="b">
        <f>IF(EXACT(A362, UPPER(A362)), TRUE, FALSE)</f>
        <v>0</v>
      </c>
    </row>
    <row r="363" spans="1:20" x14ac:dyDescent="0.35">
      <c r="A363" t="s">
        <v>362</v>
      </c>
      <c r="B363">
        <v>84.25</v>
      </c>
      <c r="C363" cm="1">
        <f t="array" ref="C363">INDEX(DataAll!$E$2:$E$555,MATCH(LOWER(Data!A363),LOWER(DataAll!$D$2:$D$555),0))</f>
        <v>66.69</v>
      </c>
      <c r="D363" cm="1">
        <f t="array" ref="D363">INDEX(DataAll!$H$2:$H$579,MATCH(LOWER(Data!A363),LOWER(DataAll!$G$2:$G$555),0))</f>
        <v>0.59799999999999998</v>
      </c>
      <c r="E363" cm="1">
        <f t="array" ref="E363">INDEX(DataAll!$K$2:$K$579,MATCH(LOWER(Data!A363),LOWER(DataAll!$J$2:$J$555),0))</f>
        <v>16</v>
      </c>
      <c r="F363" cm="1">
        <f t="array" ref="F363">INDEX(DataAll!$N$2:$N$555,MATCH(LOWER(Data!A363),LOWER(DataAll!$M$2:$M$555),0))</f>
        <v>58.68</v>
      </c>
      <c r="G363" cm="1">
        <f t="array" ref="G363">INDEX(DataAll!$Q$2:$Q$555,MATCH(LOWER(Data!A363),LOWER(DataAll!$P$2:$P$555),0))</f>
        <v>8.9700000000000006</v>
      </c>
      <c r="H363" cm="1">
        <f t="array" ref="H363">INDEX(DataAll!$T$2:$T$555,MATCH(LOWER(Data!A363),LOWER(DataAll!$S$2:$S$555),0))</f>
        <v>0.42499999999999999</v>
      </c>
      <c r="I363" cm="1">
        <f t="array" ref="I363">INDEX(DataAll!$W$2:$W$555,MATCH(LOWER(Data!A363),LOWER(DataAll!$V$2:$V$555),0))</f>
        <v>29.79</v>
      </c>
      <c r="J363" cm="1">
        <f t="array" ref="J363">INDEX(DataAll!$Z$2:$Z$555,MATCH(LOWER(Data!A363),LOWER(DataAll!$Y$2:$Y$555),0))</f>
        <v>2.4500000000000002</v>
      </c>
      <c r="K363" cm="1">
        <f t="array" ref="K363">INDEX(DataAll!$AM$2:$AM$555,MATCH(LOWER(Data!A363),LOWER(DataAll!$AL$2:$AL$555),0))</f>
        <v>6.44</v>
      </c>
      <c r="L363" cm="1">
        <f t="array" ref="L363">INDEX(DataAll!$AJ$2:$AJ$555,MATCH(LOWER(Data!A363),LOWER(DataAll!$AI$2:$AI$555),0))</f>
        <v>21.46</v>
      </c>
      <c r="M363" cm="1">
        <f t="array" ref="M363">INDEX(DataAll!$AP$2:$AP$555,MATCH(LOWER(Data!A363),LOWER(DataAll!$AO$2:$AO$555),0))</f>
        <v>68.010000000000005</v>
      </c>
      <c r="N363" cm="1">
        <f t="array" ref="N363">INDEX(DataAll!$AQ$2:$AQ$555,MATCH(LOWER(Data!A363),LOWER(DataAll!$AO$2:$AO$555),0))</f>
        <v>71.959999999999994</v>
      </c>
      <c r="O363" cm="1">
        <f t="array" ref="O363">INDEX(DataAll!$AT$2:$AT$555,MATCH(LOWER(Data!A363),LOWER(DataAll!$AS$2:$AS$555),0))</f>
        <v>8.48</v>
      </c>
      <c r="P363" cm="1">
        <f t="array" ref="P363">INDEX(DataAll!$AU$2:$AU$555,MATCH(LOWER(Data!A363),LOWER(DataAll!$AS$2:$AS$555),0))</f>
        <v>7.63</v>
      </c>
      <c r="Q363" cm="1">
        <f t="array" ref="Q363">INDEX(DataAll!$AX$2:$AX$556,MATCH(LOWER(Data!A363),LOWER(DataAll!$AW$2:$AW$556),0))</f>
        <v>25.82</v>
      </c>
      <c r="R363" cm="1">
        <f t="array" ref="R363">INDEX('Longitude and Latitude'!$B$2:$B$579,MATCH(LOWER(Data!A363),LOWER('Longitude and Latitude'!$A$2:$A$579),0))</f>
        <v>-0.13621710000000001</v>
      </c>
      <c r="S363" cm="1">
        <f t="array" ref="S363">INDEX('Longitude and Latitude'!$C$2:$C$579,MATCH(LOWER(Data!A363),LOWER('Longitude and Latitude'!$A$2:$A$579),0))</f>
        <v>114.3341432</v>
      </c>
      <c r="T363" t="b">
        <f>IF(EXACT(A363, UPPER(A363)), TRUE, FALSE)</f>
        <v>0</v>
      </c>
    </row>
    <row r="364" spans="1:20" x14ac:dyDescent="0.35">
      <c r="A364" t="s">
        <v>363</v>
      </c>
      <c r="B364">
        <v>95.51</v>
      </c>
      <c r="C364" cm="1">
        <f t="array" ref="C364">INDEX(DataAll!$E$2:$E$555,MATCH(LOWER(Data!A364),LOWER(DataAll!$D$2:$D$555),0))</f>
        <v>81.849999999999994</v>
      </c>
      <c r="D364" cm="1">
        <f t="array" ref="D364">INDEX(DataAll!$H$2:$H$579,MATCH(LOWER(Data!A364),LOWER(DataAll!$G$2:$G$555),0))</f>
        <v>0.41499999999999998</v>
      </c>
      <c r="E364" cm="1">
        <f t="array" ref="E364">INDEX(DataAll!$K$2:$K$579,MATCH(LOWER(Data!A364),LOWER(DataAll!$J$2:$J$555),0))</f>
        <v>36.67</v>
      </c>
      <c r="F364" cm="1">
        <f t="array" ref="F364">INDEX(DataAll!$N$2:$N$555,MATCH(LOWER(Data!A364),LOWER(DataAll!$M$2:$M$555),0))</f>
        <v>47.89</v>
      </c>
      <c r="G364" cm="1">
        <f t="array" ref="G364">INDEX(DataAll!$Q$2:$Q$555,MATCH(LOWER(Data!A364),LOWER(DataAll!$P$2:$P$555),0))</f>
        <v>6.34</v>
      </c>
      <c r="H364" cm="1">
        <f t="array" ref="H364">INDEX(DataAll!$T$2:$T$555,MATCH(LOWER(Data!A364),LOWER(DataAll!$S$2:$S$555),0))</f>
        <v>0.26200000000000001</v>
      </c>
      <c r="I364" cm="1">
        <f t="array" ref="I364">INDEX(DataAll!$W$2:$W$555,MATCH(LOWER(Data!A364),LOWER(DataAll!$V$2:$V$555),0))</f>
        <v>32.159999999999997</v>
      </c>
      <c r="J364" cm="1">
        <f t="array" ref="J364">INDEX(DataAll!$Z$2:$Z$555,MATCH(LOWER(Data!A364),LOWER(DataAll!$Y$2:$Y$555),0))</f>
        <v>2.16</v>
      </c>
      <c r="K364" cm="1">
        <f t="array" ref="K364">INDEX(DataAll!$AM$2:$AM$555,MATCH(LOWER(Data!A364),LOWER(DataAll!$AL$2:$AL$555),0))</f>
        <v>3.44</v>
      </c>
      <c r="L364" cm="1">
        <f t="array" ref="L364">INDEX(DataAll!$AJ$2:$AJ$555,MATCH(LOWER(Data!A364),LOWER(DataAll!$AI$2:$AI$555),0))</f>
        <v>16.559999999999999</v>
      </c>
      <c r="M364" cm="1">
        <f t="array" ref="M364">INDEX(DataAll!$AP$2:$AP$555,MATCH(LOWER(Data!A364),LOWER(DataAll!$AO$2:$AO$555),0))</f>
        <v>71.459999999999994</v>
      </c>
      <c r="N364" cm="1">
        <f t="array" ref="N364">INDEX(DataAll!$AQ$2:$AQ$555,MATCH(LOWER(Data!A364),LOWER(DataAll!$AO$2:$AO$555),0))</f>
        <v>76.05</v>
      </c>
      <c r="O364" cm="1">
        <f t="array" ref="O364">INDEX(DataAll!$AT$2:$AT$555,MATCH(LOWER(Data!A364),LOWER(DataAll!$AS$2:$AS$555),0))</f>
        <v>11.75</v>
      </c>
      <c r="P364" cm="1">
        <f t="array" ref="P364">INDEX(DataAll!$AU$2:$AU$555,MATCH(LOWER(Data!A364),LOWER(DataAll!$AS$2:$AS$555),0))</f>
        <v>11.55</v>
      </c>
      <c r="Q364" cm="1">
        <f t="array" ref="Q364">INDEX(DataAll!$AX$2:$AX$556,MATCH(LOWER(Data!A364),LOWER(DataAll!$AW$2:$AW$556),0))</f>
        <v>58.1</v>
      </c>
      <c r="R364" cm="1">
        <f t="array" ref="R364">INDEX('Longitude and Latitude'!$B$2:$B$579,MATCH(LOWER(Data!A364),LOWER('Longitude and Latitude'!$A$2:$A$579),0))</f>
        <v>-2.21</v>
      </c>
      <c r="S364" cm="1">
        <f t="array" ref="S364">INDEX('Longitude and Latitude'!$C$2:$C$579,MATCH(LOWER(Data!A364),LOWER('Longitude and Latitude'!$A$2:$A$579),0))</f>
        <v>113.92</v>
      </c>
      <c r="T364" t="b">
        <f>IF(EXACT(A364, UPPER(A364)), TRUE, FALSE)</f>
        <v>0</v>
      </c>
    </row>
    <row r="365" spans="1:20" x14ac:dyDescent="0.35">
      <c r="A365" t="s">
        <v>364</v>
      </c>
      <c r="B365">
        <v>89.65</v>
      </c>
      <c r="C365" cm="1">
        <f t="array" ref="C365">INDEX(DataAll!$E$2:$E$555,MATCH(LOWER(Data!A365),LOWER(DataAll!$D$2:$D$555),0))</f>
        <v>75.97</v>
      </c>
      <c r="D365" cm="1">
        <f t="array" ref="D365">INDEX(DataAll!$H$2:$H$579,MATCH(LOWER(Data!A365),LOWER(DataAll!$G$2:$G$555),0))</f>
        <v>0.50700000000000001</v>
      </c>
      <c r="E365" cm="1">
        <f t="array" ref="E365">INDEX(DataAll!$K$2:$K$579,MATCH(LOWER(Data!A365),LOWER(DataAll!$J$2:$J$555),0))</f>
        <v>21.82</v>
      </c>
      <c r="F365" cm="1">
        <f t="array" ref="F365">INDEX(DataAll!$N$2:$N$555,MATCH(LOWER(Data!A365),LOWER(DataAll!$M$2:$M$555),0))</f>
        <v>52.97</v>
      </c>
      <c r="G365" t="e" cm="1">
        <f t="array" ref="G365">INDEX(DataAll!$Q$2:$Q$555,MATCH(LOWER(Data!A365),LOWER(DataAll!$P$2:$P$555),0))</f>
        <v>#N/A</v>
      </c>
      <c r="H365" cm="1">
        <f t="array" ref="H365">INDEX(DataAll!$T$2:$T$555,MATCH(LOWER(Data!A365),LOWER(DataAll!$S$2:$S$555),0))</f>
        <v>0.307</v>
      </c>
      <c r="I365" cm="1">
        <f t="array" ref="I365">INDEX(DataAll!$W$2:$W$555,MATCH(LOWER(Data!A365),LOWER(DataAll!$V$2:$V$555),0))</f>
        <v>36.15</v>
      </c>
      <c r="J365" cm="1">
        <f t="array" ref="J365">INDEX(DataAll!$Z$2:$Z$555,MATCH(LOWER(Data!A365),LOWER(DataAll!$Y$2:$Y$555),0))</f>
        <v>2.31</v>
      </c>
      <c r="K365" cm="1">
        <f t="array" ref="K365">INDEX(DataAll!$AM$2:$AM$555,MATCH(LOWER(Data!A365),LOWER(DataAll!$AL$2:$AL$555),0))</f>
        <v>4.29</v>
      </c>
      <c r="L365" cm="1">
        <f t="array" ref="L365">INDEX(DataAll!$AJ$2:$AJ$555,MATCH(LOWER(Data!A365),LOWER(DataAll!$AI$2:$AI$555),0))</f>
        <v>20.100000000000001</v>
      </c>
      <c r="M365" cm="1">
        <f t="array" ref="M365">INDEX(DataAll!$AP$2:$AP$555,MATCH(LOWER(Data!A365),LOWER(DataAll!$AO$2:$AO$555),0))</f>
        <v>67.489999999999995</v>
      </c>
      <c r="N365" cm="1">
        <f t="array" ref="N365">INDEX(DataAll!$AQ$2:$AQ$555,MATCH(LOWER(Data!A365),LOWER(DataAll!$AO$2:$AO$555),0))</f>
        <v>71.45</v>
      </c>
      <c r="O365" cm="1">
        <f t="array" ref="O365">INDEX(DataAll!$AT$2:$AT$555,MATCH(LOWER(Data!A365),LOWER(DataAll!$AS$2:$AS$555),0))</f>
        <v>8.91</v>
      </c>
      <c r="P365" cm="1">
        <f t="array" ref="P365">INDEX(DataAll!$AU$2:$AU$555,MATCH(LOWER(Data!A365),LOWER(DataAll!$AS$2:$AS$555),0))</f>
        <v>8.19</v>
      </c>
      <c r="Q365" cm="1">
        <f t="array" ref="Q365">INDEX(DataAll!$AX$2:$AX$556,MATCH(LOWER(Data!A365),LOWER(DataAll!$AW$2:$AW$556),0))</f>
        <v>31.86</v>
      </c>
      <c r="R365" cm="1">
        <f t="array" ref="R365">INDEX('Longitude and Latitude'!$B$2:$B$579,MATCH(LOWER(Data!A365),LOWER('Longitude and Latitude'!$A$2:$A$579),0))</f>
        <v>-3.0926415</v>
      </c>
      <c r="S365" cm="1">
        <f t="array" ref="S365">INDEX('Longitude and Latitude'!$C$2:$C$579,MATCH(LOWER(Data!A365),LOWER('Longitude and Latitude'!$A$2:$A$579),0))</f>
        <v>115.2837585</v>
      </c>
      <c r="T365" t="b">
        <f>IF(EXACT(A365, UPPER(A365)), TRUE, FALSE)</f>
        <v>1</v>
      </c>
    </row>
    <row r="366" spans="1:20" x14ac:dyDescent="0.35">
      <c r="A366" t="s">
        <v>365</v>
      </c>
      <c r="B366">
        <v>87.53</v>
      </c>
      <c r="C366" cm="1">
        <f t="array" ref="C366">INDEX(DataAll!$E$2:$E$555,MATCH(LOWER(Data!A366),LOWER(DataAll!$D$2:$D$555),0))</f>
        <v>76.45</v>
      </c>
      <c r="D366" cm="1">
        <f t="array" ref="D366">INDEX(DataAll!$H$2:$H$579,MATCH(LOWER(Data!A366),LOWER(DataAll!$G$2:$G$555),0))</f>
        <v>0.42099999999999999</v>
      </c>
      <c r="E366" cm="1">
        <f t="array" ref="E366">INDEX(DataAll!$K$2:$K$579,MATCH(LOWER(Data!A366),LOWER(DataAll!$J$2:$J$555),0))</f>
        <v>31.43</v>
      </c>
      <c r="F366" cm="1">
        <f t="array" ref="F366">INDEX(DataAll!$N$2:$N$555,MATCH(LOWER(Data!A366),LOWER(DataAll!$M$2:$M$555),0))</f>
        <v>56.3</v>
      </c>
      <c r="G366" cm="1">
        <f t="array" ref="G366">INDEX(DataAll!$Q$2:$Q$555,MATCH(LOWER(Data!A366),LOWER(DataAll!$P$2:$P$555),0))</f>
        <v>4.0599999999999996</v>
      </c>
      <c r="H366" cm="1">
        <f t="array" ref="H366">INDEX(DataAll!$T$2:$T$555,MATCH(LOWER(Data!A366),LOWER(DataAll!$S$2:$S$555),0))</f>
        <v>0.35299999999999998</v>
      </c>
      <c r="I366" cm="1">
        <f t="array" ref="I366">INDEX(DataAll!$W$2:$W$555,MATCH(LOWER(Data!A366),LOWER(DataAll!$V$2:$V$555),0))</f>
        <v>28.66</v>
      </c>
      <c r="J366" cm="1">
        <f t="array" ref="J366">INDEX(DataAll!$Z$2:$Z$555,MATCH(LOWER(Data!A366),LOWER(DataAll!$Y$2:$Y$555),0))</f>
        <v>2.2000000000000002</v>
      </c>
      <c r="K366" cm="1">
        <f t="array" ref="K366">INDEX(DataAll!$AM$2:$AM$555,MATCH(LOWER(Data!A366),LOWER(DataAll!$AL$2:$AL$555),0))</f>
        <v>3.73</v>
      </c>
      <c r="L366" cm="1">
        <f t="array" ref="L366">INDEX(DataAll!$AJ$2:$AJ$555,MATCH(LOWER(Data!A366),LOWER(DataAll!$AI$2:$AI$555),0))</f>
        <v>17.53</v>
      </c>
      <c r="M366" cm="1">
        <f t="array" ref="M366">INDEX(DataAll!$AP$2:$AP$555,MATCH(LOWER(Data!A366),LOWER(DataAll!$AO$2:$AO$555),0))</f>
        <v>68.19</v>
      </c>
      <c r="N366" cm="1">
        <f t="array" ref="N366">INDEX(DataAll!$AQ$2:$AQ$555,MATCH(LOWER(Data!A366),LOWER(DataAll!$AO$2:$AO$555),0))</f>
        <v>72.13</v>
      </c>
      <c r="O366" cm="1">
        <f t="array" ref="O366">INDEX(DataAll!$AT$2:$AT$555,MATCH(LOWER(Data!A366),LOWER(DataAll!$AS$2:$AS$555),0))</f>
        <v>8.3699999999999992</v>
      </c>
      <c r="P366" cm="1">
        <f t="array" ref="P366">INDEX(DataAll!$AU$2:$AU$555,MATCH(LOWER(Data!A366),LOWER(DataAll!$AS$2:$AS$555),0))</f>
        <v>7.36</v>
      </c>
      <c r="Q366" cm="1">
        <f t="array" ref="Q366">INDEX(DataAll!$AX$2:$AX$556,MATCH(LOWER(Data!A366),LOWER(DataAll!$AW$2:$AW$556),0))</f>
        <v>24.74</v>
      </c>
      <c r="R366" cm="1">
        <f t="array" ref="R366">INDEX('Longitude and Latitude'!$B$2:$B$579,MATCH(LOWER(Data!A366),LOWER('Longitude and Latitude'!$A$2:$A$579),0))</f>
        <v>-3.7694046999999999</v>
      </c>
      <c r="S366" cm="1">
        <f t="array" ref="S366">INDEX('Longitude and Latitude'!$C$2:$C$579,MATCH(LOWER(Data!A366),LOWER('Longitude and Latitude'!$A$2:$A$579),0))</f>
        <v>114.80926909999999</v>
      </c>
      <c r="T366" t="b">
        <f>IF(EXACT(A366, UPPER(A366)), TRUE, FALSE)</f>
        <v>0</v>
      </c>
    </row>
    <row r="367" spans="1:20" x14ac:dyDescent="0.35">
      <c r="A367" t="s">
        <v>1087</v>
      </c>
      <c r="B367">
        <v>85.05</v>
      </c>
      <c r="C367" cm="1">
        <f t="array" ref="C367">INDEX(DataAll!$E$2:$E$555,MATCH(LOWER(Data!A367),LOWER(DataAll!$D$2:$D$555),0))</f>
        <v>75.95</v>
      </c>
      <c r="D367" cm="1">
        <f t="array" ref="D367">INDEX(DataAll!$H$2:$H$579,MATCH(LOWER(Data!A367),LOWER(DataAll!$G$2:$G$555),0))</f>
        <v>0.57099999999999995</v>
      </c>
      <c r="E367" cm="1">
        <f t="array" ref="E367">INDEX(DataAll!$K$2:$K$579,MATCH(LOWER(Data!A367),LOWER(DataAll!$J$2:$J$555),0))</f>
        <v>28.57</v>
      </c>
      <c r="F367" cm="1">
        <f t="array" ref="F367">INDEX(DataAll!$N$2:$N$555,MATCH(LOWER(Data!A367),LOWER(DataAll!$M$2:$M$555),0))</f>
        <v>55.32</v>
      </c>
      <c r="G367" cm="1">
        <f t="array" ref="G367">INDEX(DataAll!$Q$2:$Q$555,MATCH(LOWER(Data!A367),LOWER(DataAll!$P$2:$P$555),0))</f>
        <v>4.43</v>
      </c>
      <c r="H367" cm="1">
        <f t="array" ref="H367">INDEX(DataAll!$T$2:$T$555,MATCH(LOWER(Data!A367),LOWER(DataAll!$S$2:$S$555),0))</f>
        <v>0.35799999999999998</v>
      </c>
      <c r="I367" cm="1">
        <f t="array" ref="I367">INDEX(DataAll!$W$2:$W$555,MATCH(LOWER(Data!A367),LOWER(DataAll!$V$2:$V$555),0))</f>
        <v>27.8</v>
      </c>
      <c r="J367" cm="1">
        <f t="array" ref="J367">INDEX(DataAll!$Z$2:$Z$555,MATCH(LOWER(Data!A367),LOWER(DataAll!$Y$2:$Y$555),0))</f>
        <v>2.57</v>
      </c>
      <c r="K367" cm="1">
        <f t="array" ref="K367">INDEX(DataAll!$AM$2:$AM$555,MATCH(LOWER(Data!A367),LOWER(DataAll!$AL$2:$AL$555),0))</f>
        <v>4.32</v>
      </c>
      <c r="L367" cm="1">
        <f t="array" ref="L367">INDEX(DataAll!$AJ$2:$AJ$555,MATCH(LOWER(Data!A367),LOWER(DataAll!$AI$2:$AI$555),0))</f>
        <v>20.43</v>
      </c>
      <c r="M367" cm="1">
        <f t="array" ref="M367">INDEX(DataAll!$AP$2:$AP$555,MATCH(LOWER(Data!A367),LOWER(DataAll!$AO$2:$AO$555),0))</f>
        <v>67.84</v>
      </c>
      <c r="N367" cm="1">
        <f t="array" ref="N367">INDEX(DataAll!$AQ$2:$AQ$555,MATCH(LOWER(Data!A367),LOWER(DataAll!$AO$2:$AO$555),0))</f>
        <v>71.790000000000006</v>
      </c>
      <c r="O367" cm="1">
        <f t="array" ref="O367">INDEX(DataAll!$AT$2:$AT$555,MATCH(LOWER(Data!A367),LOWER(DataAll!$AS$2:$AS$555),0))</f>
        <v>8.09</v>
      </c>
      <c r="P367" cm="1">
        <f t="array" ref="P367">INDEX(DataAll!$AU$2:$AU$555,MATCH(LOWER(Data!A367),LOWER(DataAll!$AS$2:$AS$555),0))</f>
        <v>7.23</v>
      </c>
      <c r="Q367" cm="1">
        <f t="array" ref="Q367">INDEX(DataAll!$AX$2:$AX$556,MATCH(LOWER(Data!A367),LOWER(DataAll!$AW$2:$AW$556),0))</f>
        <v>22.23</v>
      </c>
      <c r="R367" cm="1">
        <f t="array" ref="R367">INDEX('Longitude and Latitude'!$B$2:$B$579,MATCH(LOWER(Data!A367),LOWER('Longitude and Latitude'!$A$2:$A$579),0))</f>
        <v>-6.332973</v>
      </c>
      <c r="S367" cm="1">
        <f t="array" ref="S367">INDEX('Longitude and Latitude'!$C$2:$C$579,MATCH(LOWER(Data!A367),LOWER('Longitude and Latitude'!$A$2:$A$579),0))</f>
        <v>106.80791499999999</v>
      </c>
      <c r="T367" t="b">
        <f>IF(EXACT(A367, UPPER(A367)), TRUE, FALSE)</f>
        <v>0</v>
      </c>
    </row>
    <row r="368" spans="1:20" x14ac:dyDescent="0.35">
      <c r="A368" t="s">
        <v>366</v>
      </c>
      <c r="B368">
        <v>92.49</v>
      </c>
      <c r="C368" cm="1">
        <f t="array" ref="C368">INDEX(DataAll!$E$2:$E$555,MATCH(LOWER(Data!A368),LOWER(DataAll!$D$2:$D$555),0))</f>
        <v>80.86</v>
      </c>
      <c r="D368" cm="1">
        <f t="array" ref="D368">INDEX(DataAll!$H$2:$H$579,MATCH(LOWER(Data!A368),LOWER(DataAll!$G$2:$G$555),0))</f>
        <v>0.53</v>
      </c>
      <c r="E368" cm="1">
        <f t="array" ref="E368">INDEX(DataAll!$K$2:$K$579,MATCH(LOWER(Data!A368),LOWER(DataAll!$J$2:$J$555),0))</f>
        <v>31.11</v>
      </c>
      <c r="F368" cm="1">
        <f t="array" ref="F368">INDEX(DataAll!$N$2:$N$555,MATCH(LOWER(Data!A368),LOWER(DataAll!$M$2:$M$555),0))</f>
        <v>54.49</v>
      </c>
      <c r="G368" cm="1">
        <f t="array" ref="G368">INDEX(DataAll!$Q$2:$Q$555,MATCH(LOWER(Data!A368),LOWER(DataAll!$P$2:$P$555),0))</f>
        <v>5.61</v>
      </c>
      <c r="H368" cm="1">
        <f t="array" ref="H368">INDEX(DataAll!$T$2:$T$555,MATCH(LOWER(Data!A368),LOWER(DataAll!$S$2:$S$555),0))</f>
        <v>0.32300000000000001</v>
      </c>
      <c r="I368" cm="1">
        <f t="array" ref="I368">INDEX(DataAll!$W$2:$W$555,MATCH(LOWER(Data!A368),LOWER(DataAll!$V$2:$V$555),0))</f>
        <v>33.44</v>
      </c>
      <c r="J368" cm="1">
        <f t="array" ref="J368">INDEX(DataAll!$Z$2:$Z$555,MATCH(LOWER(Data!A368),LOWER(DataAll!$Y$2:$Y$555),0))</f>
        <v>2.2999999999999998</v>
      </c>
      <c r="K368" cm="1">
        <f t="array" ref="K368">INDEX(DataAll!$AM$2:$AM$555,MATCH(LOWER(Data!A368),LOWER(DataAll!$AL$2:$AL$555),0))</f>
        <v>2.44</v>
      </c>
      <c r="L368" cm="1">
        <f t="array" ref="L368">INDEX(DataAll!$AJ$2:$AJ$555,MATCH(LOWER(Data!A368),LOWER(DataAll!$AI$2:$AI$555),0))</f>
        <v>23.58</v>
      </c>
      <c r="M368" cm="1">
        <f t="array" ref="M368">INDEX(DataAll!$AP$2:$AP$555,MATCH(LOWER(Data!A368),LOWER(DataAll!$AO$2:$AO$555),0))</f>
        <v>66.069999999999993</v>
      </c>
      <c r="N368" cm="1">
        <f t="array" ref="N368">INDEX(DataAll!$AQ$2:$AQ$555,MATCH(LOWER(Data!A368),LOWER(DataAll!$AO$2:$AO$555),0))</f>
        <v>70.06</v>
      </c>
      <c r="O368" cm="1">
        <f t="array" ref="O368">INDEX(DataAll!$AT$2:$AT$555,MATCH(LOWER(Data!A368),LOWER(DataAll!$AS$2:$AS$555),0))</f>
        <v>8.2799999999999994</v>
      </c>
      <c r="P368" cm="1">
        <f t="array" ref="P368">INDEX(DataAll!$AU$2:$AU$555,MATCH(LOWER(Data!A368),LOWER(DataAll!$AS$2:$AS$555),0))</f>
        <v>7.58</v>
      </c>
      <c r="Q368" cm="1">
        <f t="array" ref="Q368">INDEX(DataAll!$AX$2:$AX$556,MATCH(LOWER(Data!A368),LOWER(DataAll!$AW$2:$AW$556),0))</f>
        <v>28.09</v>
      </c>
      <c r="R368" cm="1">
        <f t="array" ref="R368">INDEX('Longitude and Latitude'!$B$2:$B$579,MATCH(LOWER(Data!A368),LOWER('Longitude and Latitude'!$A$2:$A$579),0))</f>
        <v>-7.3666666999999997</v>
      </c>
      <c r="S368" cm="1">
        <f t="array" ref="S368">INDEX('Longitude and Latitude'!$C$2:$C$579,MATCH(LOWER(Data!A368),LOWER('Longitude and Latitude'!$A$2:$A$579),0))</f>
        <v>108.5333333</v>
      </c>
      <c r="T368" t="b">
        <f>IF(EXACT(A368, UPPER(A368)), TRUE, FALSE)</f>
        <v>0</v>
      </c>
    </row>
    <row r="369" spans="1:20" x14ac:dyDescent="0.35">
      <c r="A369" t="s">
        <v>367</v>
      </c>
      <c r="B369">
        <v>89.8</v>
      </c>
      <c r="C369" cm="1">
        <f t="array" ref="C369">INDEX(DataAll!$E$2:$E$555,MATCH(LOWER(Data!A369),LOWER(DataAll!$D$2:$D$555),0))</f>
        <v>79.239999999999995</v>
      </c>
      <c r="D369" cm="1">
        <f t="array" ref="D369">INDEX(DataAll!$H$2:$H$579,MATCH(LOWER(Data!A369),LOWER(DataAll!$G$2:$G$555),0))</f>
        <v>0.51600000000000001</v>
      </c>
      <c r="E369" cm="1">
        <f t="array" ref="E369">INDEX(DataAll!$K$2:$K$579,MATCH(LOWER(Data!A369),LOWER(DataAll!$J$2:$J$555),0))</f>
        <v>22.86</v>
      </c>
      <c r="F369" cm="1">
        <f t="array" ref="F369">INDEX(DataAll!$N$2:$N$555,MATCH(LOWER(Data!A369),LOWER(DataAll!$M$2:$M$555),0))</f>
        <v>48.21</v>
      </c>
      <c r="G369" cm="1">
        <f t="array" ref="G369">INDEX(DataAll!$Q$2:$Q$555,MATCH(LOWER(Data!A369),LOWER(DataAll!$P$2:$P$555),0))</f>
        <v>6.73</v>
      </c>
      <c r="H369" cm="1">
        <f t="array" ref="H369">INDEX(DataAll!$T$2:$T$555,MATCH(LOWER(Data!A369),LOWER(DataAll!$S$2:$S$555),0))</f>
        <v>0.27600000000000002</v>
      </c>
      <c r="I369" cm="1">
        <f t="array" ref="I369">INDEX(DataAll!$W$2:$W$555,MATCH(LOWER(Data!A369),LOWER(DataAll!$V$2:$V$555),0))</f>
        <v>41.98</v>
      </c>
      <c r="J369" cm="1">
        <f t="array" ref="J369">INDEX(DataAll!$Z$2:$Z$555,MATCH(LOWER(Data!A369),LOWER(DataAll!$Y$2:$Y$555),0))</f>
        <v>2.37</v>
      </c>
      <c r="K369" cm="1">
        <f t="array" ref="K369">INDEX(DataAll!$AM$2:$AM$555,MATCH(LOWER(Data!A369),LOWER(DataAll!$AL$2:$AL$555),0))</f>
        <v>4.5999999999999996</v>
      </c>
      <c r="L369" cm="1">
        <f t="array" ref="L369">INDEX(DataAll!$AJ$2:$AJ$555,MATCH(LOWER(Data!A369),LOWER(DataAll!$AI$2:$AI$555),0))</f>
        <v>28.73</v>
      </c>
      <c r="M369" cm="1">
        <f t="array" ref="M369">INDEX(DataAll!$AP$2:$AP$555,MATCH(LOWER(Data!A369),LOWER(DataAll!$AO$2:$AO$555),0))</f>
        <v>64.89</v>
      </c>
      <c r="N369" cm="1">
        <f t="array" ref="N369">INDEX(DataAll!$AQ$2:$AQ$555,MATCH(LOWER(Data!A369),LOWER(DataAll!$AO$2:$AO$555),0))</f>
        <v>68.819999999999993</v>
      </c>
      <c r="O369" cm="1">
        <f t="array" ref="O369">INDEX(DataAll!$AT$2:$AT$555,MATCH(LOWER(Data!A369),LOWER(DataAll!$AS$2:$AS$555),0))</f>
        <v>8.16</v>
      </c>
      <c r="P369" cm="1">
        <f t="array" ref="P369">INDEX(DataAll!$AU$2:$AU$555,MATCH(LOWER(Data!A369),LOWER(DataAll!$AS$2:$AS$555),0))</f>
        <v>7.32</v>
      </c>
      <c r="Q369" cm="1">
        <f t="array" ref="Q369">INDEX(DataAll!$AX$2:$AX$556,MATCH(LOWER(Data!A369),LOWER(DataAll!$AW$2:$AW$556),0))</f>
        <v>23.7</v>
      </c>
      <c r="R369" cm="1">
        <f t="array" ref="R369">INDEX('Longitude and Latitude'!$B$2:$B$579,MATCH(LOWER(Data!A369),LOWER('Longitude and Latitude'!$A$2:$A$579),0))</f>
        <v>-3.0714738000000001</v>
      </c>
      <c r="S369" cm="1">
        <f t="array" ref="S369">INDEX('Longitude and Latitude'!$C$2:$C$579,MATCH(LOWER(Data!A369),LOWER('Longitude and Latitude'!$A$2:$A$579),0))</f>
        <v>114.6667939</v>
      </c>
      <c r="T369" t="b">
        <f>IF(EXACT(A369, UPPER(A369)), TRUE, FALSE)</f>
        <v>0</v>
      </c>
    </row>
    <row r="370" spans="1:20" x14ac:dyDescent="0.35">
      <c r="A370" t="s">
        <v>368</v>
      </c>
      <c r="B370">
        <v>85.13</v>
      </c>
      <c r="C370" cm="1">
        <f t="array" ref="C370">INDEX(DataAll!$E$2:$E$555,MATCH(LOWER(Data!A370),LOWER(DataAll!$D$2:$D$555),0))</f>
        <v>73.53</v>
      </c>
      <c r="D370" cm="1">
        <f t="array" ref="D370">INDEX(DataAll!$H$2:$H$579,MATCH(LOWER(Data!A370),LOWER(DataAll!$G$2:$G$555),0))</f>
        <v>0.56299999999999994</v>
      </c>
      <c r="E370" cm="1">
        <f t="array" ref="E370">INDEX(DataAll!$K$2:$K$579,MATCH(LOWER(Data!A370),LOWER(DataAll!$J$2:$J$555),0))</f>
        <v>16</v>
      </c>
      <c r="F370" cm="1">
        <f t="array" ref="F370">INDEX(DataAll!$N$2:$N$555,MATCH(LOWER(Data!A370),LOWER(DataAll!$M$2:$M$555),0))</f>
        <v>45.84</v>
      </c>
      <c r="G370" cm="1">
        <f t="array" ref="G370">INDEX(DataAll!$Q$2:$Q$555,MATCH(LOWER(Data!A370),LOWER(DataAll!$P$2:$P$555),0))</f>
        <v>4.0999999999999996</v>
      </c>
      <c r="H370" cm="1">
        <f t="array" ref="H370">INDEX(DataAll!$T$2:$T$555,MATCH(LOWER(Data!A370),LOWER(DataAll!$S$2:$S$555),0))</f>
        <v>0.37</v>
      </c>
      <c r="I370" cm="1">
        <f t="array" ref="I370">INDEX(DataAll!$W$2:$W$555,MATCH(LOWER(Data!A370),LOWER(DataAll!$V$2:$V$555),0))</f>
        <v>48.25</v>
      </c>
      <c r="J370" cm="1">
        <f t="array" ref="J370">INDEX(DataAll!$Z$2:$Z$555,MATCH(LOWER(Data!A370),LOWER(DataAll!$Y$2:$Y$555),0))</f>
        <v>2.21</v>
      </c>
      <c r="K370" cm="1">
        <f t="array" ref="K370">INDEX(DataAll!$AM$2:$AM$555,MATCH(LOWER(Data!A370),LOWER(DataAll!$AL$2:$AL$555),0))</f>
        <v>3.19</v>
      </c>
      <c r="L370" cm="1">
        <f t="array" ref="L370">INDEX(DataAll!$AJ$2:$AJ$555,MATCH(LOWER(Data!A370),LOWER(DataAll!$AI$2:$AI$555),0))</f>
        <v>17.21</v>
      </c>
      <c r="M370" cm="1">
        <f t="array" ref="M370">INDEX(DataAll!$AP$2:$AP$555,MATCH(LOWER(Data!A370),LOWER(DataAll!$AO$2:$AO$555),0))</f>
        <v>69.23</v>
      </c>
      <c r="N370" cm="1">
        <f t="array" ref="N370">INDEX(DataAll!$AQ$2:$AQ$555,MATCH(LOWER(Data!A370),LOWER(DataAll!$AO$2:$AO$555),0))</f>
        <v>73.19</v>
      </c>
      <c r="O370" cm="1">
        <f t="array" ref="O370">INDEX(DataAll!$AT$2:$AT$555,MATCH(LOWER(Data!A370),LOWER(DataAll!$AS$2:$AS$555),0))</f>
        <v>8.59</v>
      </c>
      <c r="P370" cm="1">
        <f t="array" ref="P370">INDEX(DataAll!$AU$2:$AU$555,MATCH(LOWER(Data!A370),LOWER(DataAll!$AS$2:$AS$555),0))</f>
        <v>7.68</v>
      </c>
      <c r="Q370" cm="1">
        <f t="array" ref="Q370">INDEX(DataAll!$AX$2:$AX$556,MATCH(LOWER(Data!A370),LOWER(DataAll!$AW$2:$AW$556),0))</f>
        <v>21.46</v>
      </c>
      <c r="R370" cm="1">
        <f t="array" ref="R370">INDEX('Longitude and Latitude'!$B$2:$B$579,MATCH(LOWER(Data!A370),LOWER('Longitude and Latitude'!$A$2:$A$579),0))</f>
        <v>-2.9160746</v>
      </c>
      <c r="S370" cm="1">
        <f t="array" ref="S370">INDEX('Longitude and Latitude'!$C$2:$C$579,MATCH(LOWER(Data!A370),LOWER('Longitude and Latitude'!$A$2:$A$579),0))</f>
        <v>115.04659909999999</v>
      </c>
      <c r="T370" t="b">
        <f>IF(EXACT(A370, UPPER(A370)), TRUE, FALSE)</f>
        <v>0</v>
      </c>
    </row>
    <row r="371" spans="1:20" x14ac:dyDescent="0.35">
      <c r="A371" t="s">
        <v>369</v>
      </c>
      <c r="B371">
        <v>89.62</v>
      </c>
      <c r="C371" cm="1">
        <f t="array" ref="C371">INDEX(DataAll!$E$2:$E$555,MATCH(LOWER(Data!A371),LOWER(DataAll!$D$2:$D$555),0))</f>
        <v>55.12</v>
      </c>
      <c r="D371" cm="1">
        <f t="array" ref="D371">INDEX(DataAll!$H$2:$H$579,MATCH(LOWER(Data!A371),LOWER(DataAll!$G$2:$G$555),0))</f>
        <v>0.53100000000000003</v>
      </c>
      <c r="E371" cm="1">
        <f t="array" ref="E371">INDEX(DataAll!$K$2:$K$579,MATCH(LOWER(Data!A371),LOWER(DataAll!$J$2:$J$555),0))</f>
        <v>6.67</v>
      </c>
      <c r="F371" cm="1">
        <f t="array" ref="F371">INDEX(DataAll!$N$2:$N$555,MATCH(LOWER(Data!A371),LOWER(DataAll!$M$2:$M$555),0))</f>
        <v>52.2</v>
      </c>
      <c r="G371" cm="1">
        <f t="array" ref="G371">INDEX(DataAll!$Q$2:$Q$555,MATCH(LOWER(Data!A371),LOWER(DataAll!$P$2:$P$555),0))</f>
        <v>6.26</v>
      </c>
      <c r="H371" cm="1">
        <f t="array" ref="H371">INDEX(DataAll!$T$2:$T$555,MATCH(LOWER(Data!A371),LOWER(DataAll!$S$2:$S$555),0))</f>
        <v>0.33700000000000002</v>
      </c>
      <c r="I371" cm="1">
        <f t="array" ref="I371">INDEX(DataAll!$W$2:$W$555,MATCH(LOWER(Data!A371),LOWER(DataAll!$V$2:$V$555),0))</f>
        <v>27.25</v>
      </c>
      <c r="J371" cm="1">
        <f t="array" ref="J371">INDEX(DataAll!$Z$2:$Z$555,MATCH(LOWER(Data!A371),LOWER(DataAll!$Y$2:$Y$555),0))</f>
        <v>2.33</v>
      </c>
      <c r="K371" cm="1">
        <f t="array" ref="K371">INDEX(DataAll!$AM$2:$AM$555,MATCH(LOWER(Data!A371),LOWER(DataAll!$AL$2:$AL$555),0))</f>
        <v>4.01</v>
      </c>
      <c r="L371" cm="1">
        <f t="array" ref="L371">INDEX(DataAll!$AJ$2:$AJ$555,MATCH(LOWER(Data!A371),LOWER(DataAll!$AI$2:$AI$555),0))</f>
        <v>27.29</v>
      </c>
      <c r="M371" cm="1">
        <f t="array" ref="M371">INDEX(DataAll!$AP$2:$AP$555,MATCH(LOWER(Data!A371),LOWER(DataAll!$AO$2:$AO$555),0))</f>
        <v>64.98</v>
      </c>
      <c r="N371" cm="1">
        <f t="array" ref="N371">INDEX(DataAll!$AQ$2:$AQ$555,MATCH(LOWER(Data!A371),LOWER(DataAll!$AO$2:$AO$555),0))</f>
        <v>68.91</v>
      </c>
      <c r="O371" cm="1">
        <f t="array" ref="O371">INDEX(DataAll!$AT$2:$AT$555,MATCH(LOWER(Data!A371),LOWER(DataAll!$AS$2:$AS$555),0))</f>
        <v>8.35</v>
      </c>
      <c r="P371" cm="1">
        <f t="array" ref="P371">INDEX(DataAll!$AU$2:$AU$555,MATCH(LOWER(Data!A371),LOWER(DataAll!$AS$2:$AS$555),0))</f>
        <v>7.8</v>
      </c>
      <c r="Q371" cm="1">
        <f t="array" ref="Q371">INDEX(DataAll!$AX$2:$AX$556,MATCH(LOWER(Data!A371),LOWER(DataAll!$AW$2:$AW$556),0))</f>
        <v>28.23</v>
      </c>
      <c r="R371" cm="1">
        <f t="array" ref="R371">INDEX('Longitude and Latitude'!$B$2:$B$579,MATCH(LOWER(Data!A371),LOWER('Longitude and Latitude'!$A$2:$A$579),0))</f>
        <v>-2.7662681</v>
      </c>
      <c r="S371" cm="1">
        <f t="array" ref="S371">INDEX('Longitude and Latitude'!$C$2:$C$579,MATCH(LOWER(Data!A371),LOWER('Longitude and Latitude'!$A$2:$A$579),0))</f>
        <v>115.23634079999999</v>
      </c>
      <c r="T371" t="b">
        <f>IF(EXACT(A371, UPPER(A371)), TRUE, FALSE)</f>
        <v>0</v>
      </c>
    </row>
    <row r="372" spans="1:20" x14ac:dyDescent="0.35">
      <c r="A372" t="s">
        <v>370</v>
      </c>
      <c r="B372">
        <v>96.07</v>
      </c>
      <c r="C372" cm="1">
        <f t="array" ref="C372">INDEX(DataAll!$E$2:$E$555,MATCH(LOWER(Data!A372),LOWER(DataAll!$D$2:$D$555),0))</f>
        <v>77.73</v>
      </c>
      <c r="D372" cm="1">
        <f t="array" ref="D372">INDEX(DataAll!$H$2:$H$579,MATCH(LOWER(Data!A372),LOWER(DataAll!$G$2:$G$555),0))</f>
        <v>0.36</v>
      </c>
      <c r="E372" cm="1">
        <f t="array" ref="E372">INDEX(DataAll!$K$2:$K$579,MATCH(LOWER(Data!A372),LOWER(DataAll!$J$2:$J$555),0))</f>
        <v>20</v>
      </c>
      <c r="F372" cm="1">
        <f t="array" ref="F372">INDEX(DataAll!$N$2:$N$555,MATCH(LOWER(Data!A372),LOWER(DataAll!$M$2:$M$555),0))</f>
        <v>56.62</v>
      </c>
      <c r="G372" cm="1">
        <f t="array" ref="G372">INDEX(DataAll!$Q$2:$Q$555,MATCH(LOWER(Data!A372),LOWER(DataAll!$P$2:$P$555),0))</f>
        <v>5.55</v>
      </c>
      <c r="H372" cm="1">
        <f t="array" ref="H372">INDEX(DataAll!$T$2:$T$555,MATCH(LOWER(Data!A372),LOWER(DataAll!$S$2:$S$555),0))</f>
        <v>0.248</v>
      </c>
      <c r="I372" cm="1">
        <f t="array" ref="I372">INDEX(DataAll!$W$2:$W$555,MATCH(LOWER(Data!A372),LOWER(DataAll!$V$2:$V$555),0))</f>
        <v>49.32</v>
      </c>
      <c r="J372" cm="1">
        <f t="array" ref="J372">INDEX(DataAll!$Z$2:$Z$555,MATCH(LOWER(Data!A372),LOWER(DataAll!$Y$2:$Y$555),0))</f>
        <v>2.3199999999999998</v>
      </c>
      <c r="K372" cm="1">
        <f t="array" ref="K372">INDEX(DataAll!$AM$2:$AM$555,MATCH(LOWER(Data!A372),LOWER(DataAll!$AL$2:$AL$555),0))</f>
        <v>5.84</v>
      </c>
      <c r="L372" cm="1">
        <f t="array" ref="L372">INDEX(DataAll!$AJ$2:$AJ$555,MATCH(LOWER(Data!A372),LOWER(DataAll!$AI$2:$AI$555),0))</f>
        <v>28.33</v>
      </c>
      <c r="M372" cm="1">
        <f t="array" ref="M372">INDEX(DataAll!$AP$2:$AP$555,MATCH(LOWER(Data!A372),LOWER(DataAll!$AO$2:$AO$555),0))</f>
        <v>64.94</v>
      </c>
      <c r="N372" cm="1">
        <f t="array" ref="N372">INDEX(DataAll!$AQ$2:$AQ$555,MATCH(LOWER(Data!A372),LOWER(DataAll!$AO$2:$AO$555),0))</f>
        <v>68.87</v>
      </c>
      <c r="O372" cm="1">
        <f t="array" ref="O372">INDEX(DataAll!$AT$2:$AT$555,MATCH(LOWER(Data!A372),LOWER(DataAll!$AS$2:$AS$555),0))</f>
        <v>8.73</v>
      </c>
      <c r="P372" cm="1">
        <f t="array" ref="P372">INDEX(DataAll!$AU$2:$AU$555,MATCH(LOWER(Data!A372),LOWER(DataAll!$AS$2:$AS$555),0))</f>
        <v>8.01</v>
      </c>
      <c r="Q372" cm="1">
        <f t="array" ref="Q372">INDEX(DataAll!$AX$2:$AX$556,MATCH(LOWER(Data!A372),LOWER(DataAll!$AW$2:$AW$556),0))</f>
        <v>28.1</v>
      </c>
      <c r="R372" cm="1">
        <f t="array" ref="R372">INDEX('Longitude and Latitude'!$B$2:$B$579,MATCH(LOWER(Data!A372),LOWER('Longitude and Latitude'!$A$2:$A$579),0))</f>
        <v>-2.6153162000000001</v>
      </c>
      <c r="S372" cm="1">
        <f t="array" ref="S372">INDEX('Longitude and Latitude'!$C$2:$C$579,MATCH(LOWER(Data!A372),LOWER('Longitude and Latitude'!$A$2:$A$579),0))</f>
        <v>115.5207358</v>
      </c>
      <c r="T372" t="b">
        <f>IF(EXACT(A372, UPPER(A372)), TRUE, FALSE)</f>
        <v>0</v>
      </c>
    </row>
    <row r="373" spans="1:20" x14ac:dyDescent="0.35">
      <c r="A373" t="s">
        <v>371</v>
      </c>
      <c r="B373">
        <v>91.69</v>
      </c>
      <c r="C373" cm="1">
        <f t="array" ref="C373">INDEX(DataAll!$E$2:$E$555,MATCH(LOWER(Data!A373),LOWER(DataAll!$D$2:$D$555),0))</f>
        <v>70.650000000000006</v>
      </c>
      <c r="D373" cm="1">
        <f t="array" ref="D373">INDEX(DataAll!$H$2:$H$579,MATCH(LOWER(Data!A373),LOWER(DataAll!$G$2:$G$555),0))</f>
        <v>0.45800000000000002</v>
      </c>
      <c r="E373" cm="1">
        <f t="array" ref="E373">INDEX(DataAll!$K$2:$K$579,MATCH(LOWER(Data!A373),LOWER(DataAll!$J$2:$J$555),0))</f>
        <v>23.33</v>
      </c>
      <c r="F373" cm="1">
        <f t="array" ref="F373">INDEX(DataAll!$N$2:$N$555,MATCH(LOWER(Data!A373),LOWER(DataAll!$M$2:$M$555),0))</f>
        <v>55.67</v>
      </c>
      <c r="G373" cm="1">
        <f t="array" ref="G373">INDEX(DataAll!$Q$2:$Q$555,MATCH(LOWER(Data!A373),LOWER(DataAll!$P$2:$P$555),0))</f>
        <v>5.63</v>
      </c>
      <c r="H373" cm="1">
        <f t="array" ref="H373">INDEX(DataAll!$T$2:$T$555,MATCH(LOWER(Data!A373),LOWER(DataAll!$S$2:$S$555),0))</f>
        <v>0.24099999999999999</v>
      </c>
      <c r="I373" cm="1">
        <f t="array" ref="I373">INDEX(DataAll!$W$2:$W$555,MATCH(LOWER(Data!A373),LOWER(DataAll!$V$2:$V$555),0))</f>
        <v>29.94</v>
      </c>
      <c r="J373" cm="1">
        <f t="array" ref="J373">INDEX(DataAll!$Z$2:$Z$555,MATCH(LOWER(Data!A373),LOWER(DataAll!$Y$2:$Y$555),0))</f>
        <v>2.4500000000000002</v>
      </c>
      <c r="K373" cm="1">
        <f t="array" ref="K373">INDEX(DataAll!$AM$2:$AM$555,MATCH(LOWER(Data!A373),LOWER(DataAll!$AL$2:$AL$555),0))</f>
        <v>6.25</v>
      </c>
      <c r="L373" cm="1">
        <f t="array" ref="L373">INDEX(DataAll!$AJ$2:$AJ$555,MATCH(LOWER(Data!A373),LOWER(DataAll!$AI$2:$AI$555),0))</f>
        <v>29.67</v>
      </c>
      <c r="M373" cm="1">
        <f t="array" ref="M373">INDEX(DataAll!$AP$2:$AP$555,MATCH(LOWER(Data!A373),LOWER(DataAll!$AO$2:$AO$555),0))</f>
        <v>63.09</v>
      </c>
      <c r="N373" cm="1">
        <f t="array" ref="N373">INDEX(DataAll!$AQ$2:$AQ$555,MATCH(LOWER(Data!A373),LOWER(DataAll!$AO$2:$AO$555),0))</f>
        <v>66.94</v>
      </c>
      <c r="O373" cm="1">
        <f t="array" ref="O373">INDEX(DataAll!$AT$2:$AT$555,MATCH(LOWER(Data!A373),LOWER(DataAll!$AS$2:$AS$555),0))</f>
        <v>8.4</v>
      </c>
      <c r="P373" cm="1">
        <f t="array" ref="P373">INDEX(DataAll!$AU$2:$AU$555,MATCH(LOWER(Data!A373),LOWER(DataAll!$AS$2:$AS$555),0))</f>
        <v>7.51</v>
      </c>
      <c r="Q373" cm="1">
        <f t="array" ref="Q373">INDEX(DataAll!$AX$2:$AX$556,MATCH(LOWER(Data!A373),LOWER(DataAll!$AW$2:$AW$556),0))</f>
        <v>24.22</v>
      </c>
      <c r="R373" cm="1">
        <f t="array" ref="R373">INDEX('Longitude and Latitude'!$B$2:$B$579,MATCH(LOWER(Data!A373),LOWER('Longitude and Latitude'!$A$2:$A$579),0))</f>
        <v>-2.4421225</v>
      </c>
      <c r="S373" cm="1">
        <f t="array" ref="S373">INDEX('Longitude and Latitude'!$C$2:$C$579,MATCH(LOWER(Data!A373),LOWER('Longitude and Latitude'!$A$2:$A$579),0))</f>
        <v>115.18891600000001</v>
      </c>
      <c r="T373" t="b">
        <f>IF(EXACT(A373, UPPER(A373)), TRUE, FALSE)</f>
        <v>0</v>
      </c>
    </row>
    <row r="374" spans="1:20" x14ac:dyDescent="0.35">
      <c r="A374" t="s">
        <v>372</v>
      </c>
      <c r="B374">
        <v>86.47</v>
      </c>
      <c r="C374" cm="1">
        <f t="array" ref="C374">INDEX(DataAll!$E$2:$E$555,MATCH(LOWER(Data!A374),LOWER(DataAll!$D$2:$D$555),0))</f>
        <v>72.540000000000006</v>
      </c>
      <c r="D374" cm="1">
        <f t="array" ref="D374">INDEX(DataAll!$H$2:$H$579,MATCH(LOWER(Data!A374),LOWER(DataAll!$G$2:$G$555),0))</f>
        <v>0.503</v>
      </c>
      <c r="E374" cm="1">
        <f t="array" ref="E374">INDEX(DataAll!$K$2:$K$579,MATCH(LOWER(Data!A374),LOWER(DataAll!$J$2:$J$555),0))</f>
        <v>23.33</v>
      </c>
      <c r="F374" cm="1">
        <f t="array" ref="F374">INDEX(DataAll!$N$2:$N$555,MATCH(LOWER(Data!A374),LOWER(DataAll!$M$2:$M$555),0))</f>
        <v>53.48</v>
      </c>
      <c r="G374" cm="1">
        <f t="array" ref="G374">INDEX(DataAll!$Q$2:$Q$555,MATCH(LOWER(Data!A374),LOWER(DataAll!$P$2:$P$555),0))</f>
        <v>4.1500000000000004</v>
      </c>
      <c r="H374" cm="1">
        <f t="array" ref="H374">INDEX(DataAll!$T$2:$T$555,MATCH(LOWER(Data!A374),LOWER(DataAll!$S$2:$S$555),0))</f>
        <v>0.29799999999999999</v>
      </c>
      <c r="I374" cm="1">
        <f t="array" ref="I374">INDEX(DataAll!$W$2:$W$555,MATCH(LOWER(Data!A374),LOWER(DataAll!$V$2:$V$555),0))</f>
        <v>28.71</v>
      </c>
      <c r="J374" cm="1">
        <f t="array" ref="J374">INDEX(DataAll!$Z$2:$Z$555,MATCH(LOWER(Data!A374),LOWER(DataAll!$Y$2:$Y$555),0))</f>
        <v>2.23</v>
      </c>
      <c r="K374" cm="1">
        <f t="array" ref="K374">INDEX(DataAll!$AM$2:$AM$555,MATCH(LOWER(Data!A374),LOWER(DataAll!$AL$2:$AL$555),0))</f>
        <v>5.77</v>
      </c>
      <c r="L374" cm="1">
        <f t="array" ref="L374">INDEX(DataAll!$AJ$2:$AJ$555,MATCH(LOWER(Data!A374),LOWER(DataAll!$AI$2:$AI$555),0))</f>
        <v>16.63</v>
      </c>
      <c r="M374" cm="1">
        <f t="array" ref="M374">INDEX(DataAll!$AP$2:$AP$555,MATCH(LOWER(Data!A374),LOWER(DataAll!$AO$2:$AO$555),0))</f>
        <v>69.34</v>
      </c>
      <c r="N374" cm="1">
        <f t="array" ref="N374">INDEX(DataAll!$AQ$2:$AQ$555,MATCH(LOWER(Data!A374),LOWER(DataAll!$AO$2:$AO$555),0))</f>
        <v>73.31</v>
      </c>
      <c r="O374" cm="1">
        <f t="array" ref="O374">INDEX(DataAll!$AT$2:$AT$555,MATCH(LOWER(Data!A374),LOWER(DataAll!$AS$2:$AS$555),0))</f>
        <v>9.6</v>
      </c>
      <c r="P374" cm="1">
        <f t="array" ref="P374">INDEX(DataAll!$AU$2:$AU$555,MATCH(LOWER(Data!A374),LOWER(DataAll!$AS$2:$AS$555),0))</f>
        <v>8.77</v>
      </c>
      <c r="Q374" cm="1">
        <f t="array" ref="Q374">INDEX(DataAll!$AX$2:$AX$556,MATCH(LOWER(Data!A374),LOWER(DataAll!$AW$2:$AW$556),0))</f>
        <v>35.119999999999997</v>
      </c>
      <c r="R374" cm="1">
        <f t="array" ref="R374">INDEX('Longitude and Latitude'!$B$2:$B$579,MATCH(LOWER(Data!A374),LOWER('Longitude and Latitude'!$A$2:$A$579),0))</f>
        <v>-1.8643019999999999</v>
      </c>
      <c r="S374" cm="1">
        <f t="array" ref="S374">INDEX('Longitude and Latitude'!$C$2:$C$579,MATCH(LOWER(Data!A374),LOWER('Longitude and Latitude'!$A$2:$A$579),0))</f>
        <v>115.5681084</v>
      </c>
      <c r="T374" t="b">
        <f>IF(EXACT(A374, UPPER(A374)), TRUE, FALSE)</f>
        <v>0</v>
      </c>
    </row>
    <row r="375" spans="1:20" x14ac:dyDescent="0.35">
      <c r="A375" t="s">
        <v>373</v>
      </c>
      <c r="B375">
        <v>85.74</v>
      </c>
      <c r="C375" cm="1">
        <f t="array" ref="C375">INDEX(DataAll!$E$2:$E$555,MATCH(LOWER(Data!A375),LOWER(DataAll!$D$2:$D$555),0))</f>
        <v>67.75</v>
      </c>
      <c r="D375" cm="1">
        <f t="array" ref="D375">INDEX(DataAll!$H$2:$H$579,MATCH(LOWER(Data!A375),LOWER(DataAll!$G$2:$G$555),0))</f>
        <v>0.55700000000000005</v>
      </c>
      <c r="E375" cm="1">
        <f t="array" ref="E375">INDEX(DataAll!$K$2:$K$579,MATCH(LOWER(Data!A375),LOWER(DataAll!$J$2:$J$555),0))</f>
        <v>17.14</v>
      </c>
      <c r="F375" cm="1">
        <f t="array" ref="F375">INDEX(DataAll!$N$2:$N$555,MATCH(LOWER(Data!A375),LOWER(DataAll!$M$2:$M$555),0))</f>
        <v>60.52</v>
      </c>
      <c r="G375" cm="1">
        <f t="array" ref="G375">INDEX(DataAll!$Q$2:$Q$555,MATCH(LOWER(Data!A375),LOWER(DataAll!$P$2:$P$555),0))</f>
        <v>2.31</v>
      </c>
      <c r="H375" cm="1">
        <f t="array" ref="H375">INDEX(DataAll!$T$2:$T$555,MATCH(LOWER(Data!A375),LOWER(DataAll!$S$2:$S$555),0))</f>
        <v>0.39</v>
      </c>
      <c r="I375" cm="1">
        <f t="array" ref="I375">INDEX(DataAll!$W$2:$W$555,MATCH(LOWER(Data!A375),LOWER(DataAll!$V$2:$V$555),0))</f>
        <v>31.25</v>
      </c>
      <c r="J375" cm="1">
        <f t="array" ref="J375">INDEX(DataAll!$Z$2:$Z$555,MATCH(LOWER(Data!A375),LOWER(DataAll!$Y$2:$Y$555),0))</f>
        <v>2.5099999999999998</v>
      </c>
      <c r="K375" cm="1">
        <f t="array" ref="K375">INDEX(DataAll!$AM$2:$AM$555,MATCH(LOWER(Data!A375),LOWER(DataAll!$AL$2:$AL$555),0))</f>
        <v>4.12</v>
      </c>
      <c r="L375" cm="1">
        <f t="array" ref="L375">INDEX(DataAll!$AJ$2:$AJ$555,MATCH(LOWER(Data!A375),LOWER(DataAll!$AI$2:$AI$555),0))</f>
        <v>17.93</v>
      </c>
      <c r="M375" cm="1">
        <f t="array" ref="M375">INDEX(DataAll!$AP$2:$AP$555,MATCH(LOWER(Data!A375),LOWER(DataAll!$AO$2:$AO$555),0))</f>
        <v>69.010000000000005</v>
      </c>
      <c r="N375" cm="1">
        <f t="array" ref="N375">INDEX(DataAll!$AQ$2:$AQ$555,MATCH(LOWER(Data!A375),LOWER(DataAll!$AO$2:$AO$555),0))</f>
        <v>72.959999999999994</v>
      </c>
      <c r="O375" cm="1">
        <f t="array" ref="O375">INDEX(DataAll!$AT$2:$AT$555,MATCH(LOWER(Data!A375),LOWER(DataAll!$AS$2:$AS$555),0))</f>
        <v>8.74</v>
      </c>
      <c r="P375" cm="1">
        <f t="array" ref="P375">INDEX(DataAll!$AU$2:$AU$555,MATCH(LOWER(Data!A375),LOWER(DataAll!$AS$2:$AS$555),0))</f>
        <v>7.92</v>
      </c>
      <c r="Q375" cm="1">
        <f t="array" ref="Q375">INDEX(DataAll!$AX$2:$AX$556,MATCH(LOWER(Data!A375),LOWER(DataAll!$AW$2:$AW$556),0))</f>
        <v>26.45</v>
      </c>
      <c r="R375" cm="1">
        <f t="array" ref="R375">INDEX('Longitude and Latitude'!$B$2:$B$579,MATCH(LOWER(Data!A375),LOWER('Longitude and Latitude'!$A$2:$A$579),0))</f>
        <v>-3.4512244000000001</v>
      </c>
      <c r="S375" cm="1">
        <f t="array" ref="S375">INDEX('Longitude and Latitude'!$C$2:$C$579,MATCH(LOWER(Data!A375),LOWER('Longitude and Latitude'!$A$2:$A$579),0))</f>
        <v>115.5681084</v>
      </c>
      <c r="T375" t="b">
        <f>IF(EXACT(A375, UPPER(A375)), TRUE, FALSE)</f>
        <v>0</v>
      </c>
    </row>
    <row r="376" spans="1:20" x14ac:dyDescent="0.35">
      <c r="A376" t="s">
        <v>374</v>
      </c>
      <c r="B376">
        <v>93.21</v>
      </c>
      <c r="C376" cm="1">
        <f t="array" ref="C376">INDEX(DataAll!$E$2:$E$555,MATCH(LOWER(Data!A376),LOWER(DataAll!$D$2:$D$555),0))</f>
        <v>73.27</v>
      </c>
      <c r="D376" cm="1">
        <f t="array" ref="D376">INDEX(DataAll!$H$2:$H$579,MATCH(LOWER(Data!A376),LOWER(DataAll!$G$2:$G$555),0))</f>
        <v>0.57399999999999995</v>
      </c>
      <c r="E376" cm="1">
        <f t="array" ref="E376">INDEX(DataAll!$K$2:$K$579,MATCH(LOWER(Data!A376),LOWER(DataAll!$J$2:$J$555),0))</f>
        <v>20</v>
      </c>
      <c r="F376" cm="1">
        <f t="array" ref="F376">INDEX(DataAll!$N$2:$N$555,MATCH(LOWER(Data!A376),LOWER(DataAll!$M$2:$M$555),0))</f>
        <v>49.64</v>
      </c>
      <c r="G376" cm="1">
        <f t="array" ref="G376">INDEX(DataAll!$Q$2:$Q$555,MATCH(LOWER(Data!A376),LOWER(DataAll!$P$2:$P$555),0))</f>
        <v>6.04</v>
      </c>
      <c r="H376" cm="1">
        <f t="array" ref="H376">INDEX(DataAll!$T$2:$T$555,MATCH(LOWER(Data!A376),LOWER(DataAll!$S$2:$S$555),0))</f>
        <v>0.36499999999999999</v>
      </c>
      <c r="I376" cm="1">
        <f t="array" ref="I376">INDEX(DataAll!$W$2:$W$555,MATCH(LOWER(Data!A376),LOWER(DataAll!$V$2:$V$555),0))</f>
        <v>37.94</v>
      </c>
      <c r="J376" cm="1">
        <f t="array" ref="J376">INDEX(DataAll!$Z$2:$Z$555,MATCH(LOWER(Data!A376),LOWER(DataAll!$Y$2:$Y$555),0))</f>
        <v>2.36</v>
      </c>
      <c r="K376" cm="1">
        <f t="array" ref="K376">INDEX(DataAll!$AM$2:$AM$555,MATCH(LOWER(Data!A376),LOWER(DataAll!$AL$2:$AL$555),0))</f>
        <v>5.22</v>
      </c>
      <c r="L376" cm="1">
        <f t="array" ref="L376">INDEX(DataAll!$AJ$2:$AJ$555,MATCH(LOWER(Data!A376),LOWER(DataAll!$AI$2:$AI$555),0))</f>
        <v>21.36</v>
      </c>
      <c r="M376" cm="1">
        <f t="array" ref="M376">INDEX(DataAll!$AP$2:$AP$555,MATCH(LOWER(Data!A376),LOWER(DataAll!$AO$2:$AO$555),0))</f>
        <v>66.45</v>
      </c>
      <c r="N376" cm="1">
        <f t="array" ref="N376">INDEX(DataAll!$AQ$2:$AQ$555,MATCH(LOWER(Data!A376),LOWER(DataAll!$AO$2:$AO$555),0))</f>
        <v>70.430000000000007</v>
      </c>
      <c r="O376" cm="1">
        <f t="array" ref="O376">INDEX(DataAll!$AT$2:$AT$555,MATCH(LOWER(Data!A376),LOWER(DataAll!$AS$2:$AS$555),0))</f>
        <v>8.7799999999999994</v>
      </c>
      <c r="P376" cm="1">
        <f t="array" ref="P376">INDEX(DataAll!$AU$2:$AU$555,MATCH(LOWER(Data!A376),LOWER(DataAll!$AS$2:$AS$555),0))</f>
        <v>7.61</v>
      </c>
      <c r="Q376" cm="1">
        <f t="array" ref="Q376">INDEX(DataAll!$AX$2:$AX$556,MATCH(LOWER(Data!A376),LOWER(DataAll!$AW$2:$AW$556),0))</f>
        <v>26.81</v>
      </c>
      <c r="R376" cm="1">
        <f t="array" ref="R376">INDEX('Longitude and Latitude'!$B$2:$B$579,MATCH(LOWER(Data!A376),LOWER('Longitude and Latitude'!$A$2:$A$579),0))</f>
        <v>-2.3260424999999998</v>
      </c>
      <c r="S376" cm="1">
        <f t="array" ref="S376">INDEX('Longitude and Latitude'!$C$2:$C$579,MATCH(LOWER(Data!A376),LOWER('Longitude and Latitude'!$A$2:$A$579),0))</f>
        <v>115.6154732</v>
      </c>
      <c r="T376" t="b">
        <f>IF(EXACT(A376, UPPER(A376)), TRUE, FALSE)</f>
        <v>0</v>
      </c>
    </row>
    <row r="377" spans="1:20" x14ac:dyDescent="0.35">
      <c r="A377" t="s">
        <v>375</v>
      </c>
      <c r="B377">
        <v>93.88</v>
      </c>
      <c r="C377" cm="1">
        <f t="array" ref="C377">INDEX(DataAll!$E$2:$E$555,MATCH(LOWER(Data!A377),LOWER(DataAll!$D$2:$D$555),0))</f>
        <v>79.48</v>
      </c>
      <c r="D377" cm="1">
        <f t="array" ref="D377">INDEX(DataAll!$H$2:$H$579,MATCH(LOWER(Data!A377),LOWER(DataAll!$G$2:$G$555),0))</f>
        <v>0.4</v>
      </c>
      <c r="E377" cm="1">
        <f t="array" ref="E377">INDEX(DataAll!$K$2:$K$579,MATCH(LOWER(Data!A377),LOWER(DataAll!$J$2:$J$555),0))</f>
        <v>24.44</v>
      </c>
      <c r="F377" cm="1">
        <f t="array" ref="F377">INDEX(DataAll!$N$2:$N$555,MATCH(LOWER(Data!A377),LOWER(DataAll!$M$2:$M$555),0))</f>
        <v>52.77</v>
      </c>
      <c r="G377" cm="1">
        <f t="array" ref="G377">INDEX(DataAll!$Q$2:$Q$555,MATCH(LOWER(Data!A377),LOWER(DataAll!$P$2:$P$555),0))</f>
        <v>3.56</v>
      </c>
      <c r="H377" cm="1">
        <f t="array" ref="H377">INDEX(DataAll!$T$2:$T$555,MATCH(LOWER(Data!A377),LOWER(DataAll!$S$2:$S$555),0))</f>
        <v>0.246</v>
      </c>
      <c r="I377" cm="1">
        <f t="array" ref="I377">INDEX(DataAll!$W$2:$W$555,MATCH(LOWER(Data!A377),LOWER(DataAll!$V$2:$V$555),0))</f>
        <v>37.799999999999997</v>
      </c>
      <c r="J377" cm="1">
        <f t="array" ref="J377">INDEX(DataAll!$Z$2:$Z$555,MATCH(LOWER(Data!A377),LOWER(DataAll!$Y$2:$Y$555),0))</f>
        <v>2.17</v>
      </c>
      <c r="K377" cm="1">
        <f t="array" ref="K377">INDEX(DataAll!$AM$2:$AM$555,MATCH(LOWER(Data!A377),LOWER(DataAll!$AL$2:$AL$555),0))</f>
        <v>4.63</v>
      </c>
      <c r="L377" cm="1">
        <f t="array" ref="L377">INDEX(DataAll!$AJ$2:$AJ$555,MATCH(LOWER(Data!A377),LOWER(DataAll!$AI$2:$AI$555),0))</f>
        <v>15.72</v>
      </c>
      <c r="M377" cm="1">
        <f t="array" ref="M377">INDEX(DataAll!$AP$2:$AP$555,MATCH(LOWER(Data!A377),LOWER(DataAll!$AO$2:$AO$555),0))</f>
        <v>69.95</v>
      </c>
      <c r="N377" cm="1">
        <f t="array" ref="N377">INDEX(DataAll!$AQ$2:$AQ$555,MATCH(LOWER(Data!A377),LOWER(DataAll!$AO$2:$AO$555),0))</f>
        <v>73.94</v>
      </c>
      <c r="O377" cm="1">
        <f t="array" ref="O377">INDEX(DataAll!$AT$2:$AT$555,MATCH(LOWER(Data!A377),LOWER(DataAll!$AS$2:$AS$555),0))</f>
        <v>11.13</v>
      </c>
      <c r="P377" cm="1">
        <f t="array" ref="P377">INDEX(DataAll!$AU$2:$AU$555,MATCH(LOWER(Data!A377),LOWER(DataAll!$AS$2:$AS$555),0))</f>
        <v>9.7100000000000009</v>
      </c>
      <c r="Q377" cm="1">
        <f t="array" ref="Q377">INDEX(DataAll!$AX$2:$AX$556,MATCH(LOWER(Data!A377),LOWER(DataAll!$AW$2:$AW$556),0))</f>
        <v>47.37</v>
      </c>
      <c r="R377" cm="1">
        <f t="array" ref="R377">INDEX('Longitude and Latitude'!$B$2:$B$579,MATCH(LOWER(Data!A377),LOWER('Longitude and Latitude'!$A$2:$A$579),0))</f>
        <v>-3.3284989999999999</v>
      </c>
      <c r="S377" cm="1">
        <f t="array" ref="S377">INDEX('Longitude and Latitude'!$C$2:$C$579,MATCH(LOWER(Data!A377),LOWER('Longitude and Latitude'!$A$2:$A$579),0))</f>
        <v>114.589203</v>
      </c>
      <c r="T377" t="b">
        <f>IF(EXACT(A377, UPPER(A377)), TRUE, FALSE)</f>
        <v>0</v>
      </c>
    </row>
    <row r="378" spans="1:20" x14ac:dyDescent="0.35">
      <c r="A378" t="s">
        <v>376</v>
      </c>
      <c r="B378">
        <v>92.99</v>
      </c>
      <c r="C378" cm="1">
        <f t="array" ref="C378">INDEX(DataAll!$E$2:$E$555,MATCH(LOWER(Data!A378),LOWER(DataAll!$D$2:$D$555),0))</f>
        <v>70.2</v>
      </c>
      <c r="D378" cm="1">
        <f t="array" ref="D378">INDEX(DataAll!$H$2:$H$579,MATCH(LOWER(Data!A378),LOWER(DataAll!$G$2:$G$555),0))</f>
        <v>0.36099999999999999</v>
      </c>
      <c r="E378" cm="1">
        <f t="array" ref="E378">INDEX(DataAll!$K$2:$K$579,MATCH(LOWER(Data!A378),LOWER(DataAll!$J$2:$J$555),0))</f>
        <v>16.670000000000002</v>
      </c>
      <c r="F378" cm="1">
        <f t="array" ref="F378">INDEX(DataAll!$N$2:$N$555,MATCH(LOWER(Data!A378),LOWER(DataAll!$M$2:$M$555),0))</f>
        <v>45.49</v>
      </c>
      <c r="G378" cm="1">
        <f t="array" ref="G378">INDEX(DataAll!$Q$2:$Q$555,MATCH(LOWER(Data!A378),LOWER(DataAll!$P$2:$P$555),0))</f>
        <v>2.31</v>
      </c>
      <c r="H378" cm="1">
        <f t="array" ref="H378">INDEX(DataAll!$T$2:$T$555,MATCH(LOWER(Data!A378),LOWER(DataAll!$S$2:$S$555),0))</f>
        <v>0.20300000000000001</v>
      </c>
      <c r="I378" cm="1">
        <f t="array" ref="I378">INDEX(DataAll!$W$2:$W$555,MATCH(LOWER(Data!A378),LOWER(DataAll!$V$2:$V$555),0))</f>
        <v>32.450000000000003</v>
      </c>
      <c r="J378" cm="1">
        <f t="array" ref="J378">INDEX(DataAll!$Z$2:$Z$555,MATCH(LOWER(Data!A378),LOWER(DataAll!$Y$2:$Y$555),0))</f>
        <v>2.15</v>
      </c>
      <c r="K378" cm="1">
        <f t="array" ref="K378">INDEX(DataAll!$AM$2:$AM$555,MATCH(LOWER(Data!A378),LOWER(DataAll!$AL$2:$AL$555),0))</f>
        <v>3.92</v>
      </c>
      <c r="L378" cm="1">
        <f t="array" ref="L378">INDEX(DataAll!$AJ$2:$AJ$555,MATCH(LOWER(Data!A378),LOWER(DataAll!$AI$2:$AI$555),0))</f>
        <v>15.22</v>
      </c>
      <c r="M378" cm="1">
        <f t="array" ref="M378">INDEX(DataAll!$AP$2:$AP$555,MATCH(LOWER(Data!A378),LOWER(DataAll!$AO$2:$AO$555),0))</f>
        <v>70.66</v>
      </c>
      <c r="N378" cm="1">
        <f t="array" ref="N378">INDEX(DataAll!$AQ$2:$AQ$555,MATCH(LOWER(Data!A378),LOWER(DataAll!$AO$2:$AO$555),0))</f>
        <v>74.69</v>
      </c>
      <c r="O378" cm="1">
        <f t="array" ref="O378">INDEX(DataAll!$AT$2:$AT$555,MATCH(LOWER(Data!A378),LOWER(DataAll!$AS$2:$AS$555),0))</f>
        <v>11.43</v>
      </c>
      <c r="P378" cm="1">
        <f t="array" ref="P378">INDEX(DataAll!$AU$2:$AU$555,MATCH(LOWER(Data!A378),LOWER(DataAll!$AS$2:$AS$555),0))</f>
        <v>10.79</v>
      </c>
      <c r="Q378" cm="1">
        <f t="array" ref="Q378">INDEX(DataAll!$AX$2:$AX$556,MATCH(LOWER(Data!A378),LOWER(DataAll!$AW$2:$AW$556),0))</f>
        <v>57.86</v>
      </c>
      <c r="R378" cm="1">
        <f t="array" ref="R378">INDEX('Longitude and Latitude'!$B$2:$B$579,MATCH(LOWER(Data!A378),LOWER('Longitude and Latitude'!$A$2:$A$579),0))</f>
        <v>-3.4666667000000002</v>
      </c>
      <c r="S378" cm="1">
        <f t="array" ref="S378">INDEX('Longitude and Latitude'!$C$2:$C$579,MATCH(LOWER(Data!A378),LOWER('Longitude and Latitude'!$A$2:$A$579),0))</f>
        <v>114.75</v>
      </c>
      <c r="T378" t="b">
        <f>IF(EXACT(A378, UPPER(A378)), TRUE, FALSE)</f>
        <v>0</v>
      </c>
    </row>
    <row r="379" spans="1:20" x14ac:dyDescent="0.35">
      <c r="A379" t="s">
        <v>377</v>
      </c>
      <c r="B379">
        <v>87.13</v>
      </c>
      <c r="C379" cm="1">
        <f t="array" ref="C379">INDEX(DataAll!$E$2:$E$555,MATCH(LOWER(Data!A379),LOWER(DataAll!$D$2:$D$555),0))</f>
        <v>68.959999999999994</v>
      </c>
      <c r="D379" cm="1">
        <f t="array" ref="D379">INDEX(DataAll!$H$2:$H$579,MATCH(LOWER(Data!A379),LOWER(DataAll!$G$2:$G$555),0))</f>
        <v>0.41399999999999998</v>
      </c>
      <c r="E379" cm="1">
        <f t="array" ref="E379">INDEX(DataAll!$K$2:$K$579,MATCH(LOWER(Data!A379),LOWER(DataAll!$J$2:$J$555),0))</f>
        <v>21.82</v>
      </c>
      <c r="F379" cm="1">
        <f t="array" ref="F379">INDEX(DataAll!$N$2:$N$555,MATCH(LOWER(Data!A379),LOWER(DataAll!$M$2:$M$555),0))</f>
        <v>48.03</v>
      </c>
      <c r="G379" t="e" cm="1">
        <f t="array" ref="G379">INDEX(DataAll!$Q$2:$Q$555,MATCH(LOWER(Data!A379),LOWER(DataAll!$P$2:$P$555),0))</f>
        <v>#N/A</v>
      </c>
      <c r="H379" cm="1">
        <f t="array" ref="H379">INDEX(DataAll!$T$2:$T$555,MATCH(LOWER(Data!A379),LOWER(DataAll!$S$2:$S$555),0))</f>
        <v>0.255</v>
      </c>
      <c r="I379" cm="1">
        <f t="array" ref="I379">INDEX(DataAll!$W$2:$W$555,MATCH(LOWER(Data!A379),LOWER(DataAll!$V$2:$V$555),0))</f>
        <v>24.57</v>
      </c>
      <c r="J379" cm="1">
        <f t="array" ref="J379">INDEX(DataAll!$Z$2:$Z$555,MATCH(LOWER(Data!A379),LOWER(DataAll!$Y$2:$Y$555),0))</f>
        <v>2.1800000000000002</v>
      </c>
      <c r="K379" cm="1">
        <f t="array" ref="K379">INDEX(DataAll!$AM$2:$AM$555,MATCH(LOWER(Data!A379),LOWER(DataAll!$AL$2:$AL$555),0))</f>
        <v>6.11</v>
      </c>
      <c r="L379" cm="1">
        <f t="array" ref="L379">INDEX(DataAll!$AJ$2:$AJ$555,MATCH(LOWER(Data!A379),LOWER(DataAll!$AI$2:$AI$555),0))</f>
        <v>18.04</v>
      </c>
      <c r="M379" cm="1">
        <f t="array" ref="M379">INDEX(DataAll!$AP$2:$AP$555,MATCH(LOWER(Data!A379),LOWER(DataAll!$AO$2:$AO$555),0))</f>
        <v>72.959999999999994</v>
      </c>
      <c r="N379" cm="1">
        <f t="array" ref="N379">INDEX(DataAll!$AQ$2:$AQ$555,MATCH(LOWER(Data!A379),LOWER(DataAll!$AO$2:$AO$555),0))</f>
        <v>76.62</v>
      </c>
      <c r="O379" cm="1">
        <f t="array" ref="O379">INDEX(DataAll!$AT$2:$AT$555,MATCH(LOWER(Data!A379),LOWER(DataAll!$AS$2:$AS$555),0))</f>
        <v>10.26</v>
      </c>
      <c r="P379" cm="1">
        <f t="array" ref="P379">INDEX(DataAll!$AU$2:$AU$555,MATCH(LOWER(Data!A379),LOWER(DataAll!$AS$2:$AS$555),0))</f>
        <v>9.7899999999999991</v>
      </c>
      <c r="Q379" cm="1">
        <f t="array" ref="Q379">INDEX(DataAll!$AX$2:$AX$556,MATCH(LOWER(Data!A379),LOWER(DataAll!$AW$2:$AW$556),0))</f>
        <v>50.68</v>
      </c>
      <c r="R379" cm="1">
        <f t="array" ref="R379">INDEX('Longitude and Latitude'!$B$2:$B$579,MATCH(LOWER(Data!A379),LOWER('Longitude and Latitude'!$A$2:$A$579),0))</f>
        <v>1.6406296</v>
      </c>
      <c r="S379" cm="1">
        <f t="array" ref="S379">INDEX('Longitude and Latitude'!$C$2:$C$579,MATCH(LOWER(Data!A379),LOWER('Longitude and Latitude'!$A$2:$A$579),0))</f>
        <v>116.419389</v>
      </c>
      <c r="T379" t="b">
        <f>IF(EXACT(A379, UPPER(A379)), TRUE, FALSE)</f>
        <v>1</v>
      </c>
    </row>
    <row r="380" spans="1:20" x14ac:dyDescent="0.35">
      <c r="A380" t="s">
        <v>1088</v>
      </c>
      <c r="B380">
        <v>72.84</v>
      </c>
      <c r="C380" cm="1">
        <f t="array" ref="C380">INDEX(DataAll!$E$2:$E$555,MATCH(LOWER(Data!A380),LOWER(DataAll!$D$2:$D$555),0))</f>
        <v>68.349999999999994</v>
      </c>
      <c r="D380" cm="1">
        <f t="array" ref="D380">INDEX(DataAll!$H$2:$H$579,MATCH(LOWER(Data!A380),LOWER(DataAll!$G$2:$G$555),0))</f>
        <v>0.48899999999999999</v>
      </c>
      <c r="E380" cm="1">
        <f t="array" ref="E380">INDEX(DataAll!$K$2:$K$579,MATCH(LOWER(Data!A380),LOWER(DataAll!$J$2:$J$555),0))</f>
        <v>23.33</v>
      </c>
      <c r="F380" cm="1">
        <f t="array" ref="F380">INDEX(DataAll!$N$2:$N$555,MATCH(LOWER(Data!A380),LOWER(DataAll!$M$2:$M$555),0))</f>
        <v>51.44</v>
      </c>
      <c r="G380" cm="1">
        <f t="array" ref="G380">INDEX(DataAll!$Q$2:$Q$555,MATCH(LOWER(Data!A380),LOWER(DataAll!$P$2:$P$555),0))</f>
        <v>11.99</v>
      </c>
      <c r="H380" cm="1">
        <f t="array" ref="H380">INDEX(DataAll!$T$2:$T$555,MATCH(LOWER(Data!A380),LOWER(DataAll!$S$2:$S$555),0))</f>
        <v>0.32200000000000001</v>
      </c>
      <c r="I380" cm="1">
        <f t="array" ref="I380">INDEX(DataAll!$W$2:$W$555,MATCH(LOWER(Data!A380),LOWER(DataAll!$V$2:$V$555),0))</f>
        <v>23.75</v>
      </c>
      <c r="J380" cm="1">
        <f t="array" ref="J380">INDEX(DataAll!$Z$2:$Z$555,MATCH(LOWER(Data!A380),LOWER(DataAll!$Y$2:$Y$555),0))</f>
        <v>2.27</v>
      </c>
      <c r="K380" cm="1">
        <f t="array" ref="K380">INDEX(DataAll!$AM$2:$AM$555,MATCH(LOWER(Data!A380),LOWER(DataAll!$AL$2:$AL$555),0))</f>
        <v>9.11</v>
      </c>
      <c r="L380" cm="1">
        <f t="array" ref="L380">INDEX(DataAll!$AJ$2:$AJ$555,MATCH(LOWER(Data!A380),LOWER(DataAll!$AI$2:$AI$555),0))</f>
        <v>19.079999999999998</v>
      </c>
      <c r="M380" cm="1">
        <f t="array" ref="M380">INDEX(DataAll!$AP$2:$AP$555,MATCH(LOWER(Data!A380),LOWER(DataAll!$AO$2:$AO$555),0))</f>
        <v>71</v>
      </c>
      <c r="N380" cm="1">
        <f t="array" ref="N380">INDEX(DataAll!$AQ$2:$AQ$555,MATCH(LOWER(Data!A380),LOWER(DataAll!$AO$2:$AO$555),0))</f>
        <v>75.08</v>
      </c>
      <c r="O380" cm="1">
        <f t="array" ref="O380">INDEX(DataAll!$AT$2:$AT$555,MATCH(LOWER(Data!A380),LOWER(DataAll!$AS$2:$AS$555),0))</f>
        <v>9.17</v>
      </c>
      <c r="P380" cm="1">
        <f t="array" ref="P380">INDEX(DataAll!$AU$2:$AU$555,MATCH(LOWER(Data!A380),LOWER(DataAll!$AS$2:$AS$555),0))</f>
        <v>8.75</v>
      </c>
      <c r="Q380" cm="1">
        <f t="array" ref="Q380">INDEX(DataAll!$AX$2:$AX$556,MATCH(LOWER(Data!A380),LOWER(DataAll!$AW$2:$AW$556),0))</f>
        <v>39.81</v>
      </c>
      <c r="R380" cm="1">
        <f t="array" ref="R380">INDEX('Longitude and Latitude'!$B$2:$B$579,MATCH(LOWER(Data!A380),LOWER('Longitude and Latitude'!$A$2:$A$579),0))</f>
        <v>-1.7175266</v>
      </c>
      <c r="S380" cm="1">
        <f t="array" ref="S380">INDEX('Longitude and Latitude'!$C$2:$C$579,MATCH(LOWER(Data!A380),LOWER('Longitude and Latitude'!$A$2:$A$579),0))</f>
        <v>115.9467997</v>
      </c>
      <c r="T380" t="b">
        <f>IF(EXACT(A380, UPPER(A380)), TRUE, FALSE)</f>
        <v>0</v>
      </c>
    </row>
    <row r="381" spans="1:20" x14ac:dyDescent="0.35">
      <c r="A381" t="s">
        <v>378</v>
      </c>
      <c r="B381">
        <v>85.29</v>
      </c>
      <c r="C381" cm="1">
        <f t="array" ref="C381">INDEX(DataAll!$E$2:$E$555,MATCH(LOWER(Data!A381),LOWER(DataAll!$D$2:$D$555),0))</f>
        <v>66.900000000000006</v>
      </c>
      <c r="D381" cm="1">
        <f t="array" ref="D381">INDEX(DataAll!$H$2:$H$579,MATCH(LOWER(Data!A381),LOWER(DataAll!$G$2:$G$555),0))</f>
        <v>0.49099999999999999</v>
      </c>
      <c r="E381" cm="1">
        <f t="array" ref="E381">INDEX(DataAll!$K$2:$K$579,MATCH(LOWER(Data!A381),LOWER(DataAll!$J$2:$J$555),0))</f>
        <v>16</v>
      </c>
      <c r="F381" cm="1">
        <f t="array" ref="F381">INDEX(DataAll!$N$2:$N$555,MATCH(LOWER(Data!A381),LOWER(DataAll!$M$2:$M$555),0))</f>
        <v>47.73</v>
      </c>
      <c r="G381" cm="1">
        <f t="array" ref="G381">INDEX(DataAll!$Q$2:$Q$555,MATCH(LOWER(Data!A381),LOWER(DataAll!$P$2:$P$555),0))</f>
        <v>12.63</v>
      </c>
      <c r="H381" cm="1">
        <f t="array" ref="H381">INDEX(DataAll!$T$2:$T$555,MATCH(LOWER(Data!A381),LOWER(DataAll!$S$2:$S$555),0))</f>
        <v>0.40200000000000002</v>
      </c>
      <c r="I381" cm="1">
        <f t="array" ref="I381">INDEX(DataAll!$W$2:$W$555,MATCH(LOWER(Data!A381),LOWER(DataAll!$V$2:$V$555),0))</f>
        <v>27.17</v>
      </c>
      <c r="J381" cm="1">
        <f t="array" ref="J381">INDEX(DataAll!$Z$2:$Z$555,MATCH(LOWER(Data!A381),LOWER(DataAll!$Y$2:$Y$555),0))</f>
        <v>2.2799999999999998</v>
      </c>
      <c r="K381" cm="1">
        <f t="array" ref="K381">INDEX(DataAll!$AM$2:$AM$555,MATCH(LOWER(Data!A381),LOWER(DataAll!$AL$2:$AL$555),0))</f>
        <v>9.7200000000000006</v>
      </c>
      <c r="L381" cm="1">
        <f t="array" ref="L381">INDEX(DataAll!$AJ$2:$AJ$555,MATCH(LOWER(Data!A381),LOWER(DataAll!$AI$2:$AI$555),0))</f>
        <v>19.61</v>
      </c>
      <c r="M381" cm="1">
        <f t="array" ref="M381">INDEX(DataAll!$AP$2:$AP$555,MATCH(LOWER(Data!A381),LOWER(DataAll!$AO$2:$AO$555),0))</f>
        <v>71.37</v>
      </c>
      <c r="N381" cm="1">
        <f t="array" ref="N381">INDEX(DataAll!$AQ$2:$AQ$555,MATCH(LOWER(Data!A381),LOWER(DataAll!$AO$2:$AO$555),0))</f>
        <v>75.16</v>
      </c>
      <c r="O381" cm="1">
        <f t="array" ref="O381">INDEX(DataAll!$AT$2:$AT$555,MATCH(LOWER(Data!A381),LOWER(DataAll!$AS$2:$AS$555),0))</f>
        <v>9.41</v>
      </c>
      <c r="P381" cm="1">
        <f t="array" ref="P381">INDEX(DataAll!$AU$2:$AU$555,MATCH(LOWER(Data!A381),LOWER(DataAll!$AS$2:$AS$555),0))</f>
        <v>8.36</v>
      </c>
      <c r="Q381" cm="1">
        <f t="array" ref="Q381">INDEX(DataAll!$AX$2:$AX$556,MATCH(LOWER(Data!A381),LOWER(DataAll!$AW$2:$AW$556),0))</f>
        <v>39.36</v>
      </c>
      <c r="R381" cm="1">
        <f t="array" ref="R381">INDEX('Longitude and Latitude'!$B$2:$B$579,MATCH(LOWER(Data!A381),LOWER('Longitude and Latitude'!$A$2:$A$579),0))</f>
        <v>0.13538810000000001</v>
      </c>
      <c r="S381" cm="1">
        <f t="array" ref="S381">INDEX('Longitude and Latitude'!$C$2:$C$579,MATCH(LOWER(Data!A381),LOWER('Longitude and Latitude'!$A$2:$A$579),0))</f>
        <v>115.09404499999999</v>
      </c>
      <c r="T381" t="b">
        <f>IF(EXACT(A381, UPPER(A381)), TRUE, FALSE)</f>
        <v>0</v>
      </c>
    </row>
    <row r="382" spans="1:20" x14ac:dyDescent="0.35">
      <c r="A382" t="s">
        <v>379</v>
      </c>
      <c r="B382">
        <v>80.64</v>
      </c>
      <c r="C382" cm="1">
        <f t="array" ref="C382">INDEX(DataAll!$E$2:$E$555,MATCH(LOWER(Data!A382),LOWER(DataAll!$D$2:$D$555),0))</f>
        <v>63.55</v>
      </c>
      <c r="D382" cm="1">
        <f t="array" ref="D382">INDEX(DataAll!$H$2:$H$579,MATCH(LOWER(Data!A382),LOWER(DataAll!$G$2:$G$555),0))</f>
        <v>0.49</v>
      </c>
      <c r="E382" cm="1">
        <f t="array" ref="E382">INDEX(DataAll!$K$2:$K$579,MATCH(LOWER(Data!A382),LOWER(DataAll!$J$2:$J$555),0))</f>
        <v>15.56</v>
      </c>
      <c r="F382" cm="1">
        <f t="array" ref="F382">INDEX(DataAll!$N$2:$N$555,MATCH(LOWER(Data!A382),LOWER(DataAll!$M$2:$M$555),0))</f>
        <v>52.45</v>
      </c>
      <c r="G382" cm="1">
        <f t="array" ref="G382">INDEX(DataAll!$Q$2:$Q$555,MATCH(LOWER(Data!A382),LOWER(DataAll!$P$2:$P$555),0))</f>
        <v>10.59</v>
      </c>
      <c r="H382" cm="1">
        <f t="array" ref="H382">INDEX(DataAll!$T$2:$T$555,MATCH(LOWER(Data!A382),LOWER(DataAll!$S$2:$S$555),0))</f>
        <v>0.315</v>
      </c>
      <c r="I382" cm="1">
        <f t="array" ref="I382">INDEX(DataAll!$W$2:$W$555,MATCH(LOWER(Data!A382),LOWER(DataAll!$V$2:$V$555),0))</f>
        <v>24.34</v>
      </c>
      <c r="J382" cm="1">
        <f t="array" ref="J382">INDEX(DataAll!$Z$2:$Z$555,MATCH(LOWER(Data!A382),LOWER(DataAll!$Y$2:$Y$555),0))</f>
        <v>2.16</v>
      </c>
      <c r="K382" cm="1">
        <f t="array" ref="K382">INDEX(DataAll!$AM$2:$AM$555,MATCH(LOWER(Data!A382),LOWER(DataAll!$AL$2:$AL$555),0))</f>
        <v>7.61</v>
      </c>
      <c r="L382" cm="1">
        <f t="array" ref="L382">INDEX(DataAll!$AJ$2:$AJ$555,MATCH(LOWER(Data!A382),LOWER(DataAll!$AI$2:$AI$555),0))</f>
        <v>18.329999999999998</v>
      </c>
      <c r="M382" cm="1">
        <f t="array" ref="M382">INDEX(DataAll!$AP$2:$AP$555,MATCH(LOWER(Data!A382),LOWER(DataAll!$AO$2:$AO$555),0))</f>
        <v>70.78</v>
      </c>
      <c r="N382" cm="1">
        <f t="array" ref="N382">INDEX(DataAll!$AQ$2:$AQ$555,MATCH(LOWER(Data!A382),LOWER(DataAll!$AO$2:$AO$555),0))</f>
        <v>74.81</v>
      </c>
      <c r="O382" cm="1">
        <f t="array" ref="O382">INDEX(DataAll!$AT$2:$AT$555,MATCH(LOWER(Data!A382),LOWER(DataAll!$AS$2:$AS$555),0))</f>
        <v>9.61</v>
      </c>
      <c r="P382" cm="1">
        <f t="array" ref="P382">INDEX(DataAll!$AU$2:$AU$555,MATCH(LOWER(Data!A382),LOWER(DataAll!$AS$2:$AS$555),0))</f>
        <v>8.82</v>
      </c>
      <c r="Q382" cm="1">
        <f t="array" ref="Q382">INDEX(DataAll!$AX$2:$AX$556,MATCH(LOWER(Data!A382),LOWER(DataAll!$AW$2:$AW$556),0))</f>
        <v>37.69</v>
      </c>
      <c r="R382" cm="1">
        <f t="array" ref="R382">INDEX('Longitude and Latitude'!$B$2:$B$579,MATCH(LOWER(Data!A382),LOWER('Longitude and Latitude'!$A$2:$A$579),0))</f>
        <v>-0.13366549999999999</v>
      </c>
      <c r="S382" cm="1">
        <f t="array" ref="S382">INDEX('Longitude and Latitude'!$C$2:$C$579,MATCH(LOWER(Data!A382),LOWER('Longitude and Latitude'!$A$2:$A$579),0))</f>
        <v>116.6081653</v>
      </c>
      <c r="T382" t="b">
        <f>IF(EXACT(A382, UPPER(A382)), TRUE, FALSE)</f>
        <v>0</v>
      </c>
    </row>
    <row r="383" spans="1:20" x14ac:dyDescent="0.35">
      <c r="A383" t="s">
        <v>380</v>
      </c>
      <c r="B383">
        <v>77.83</v>
      </c>
      <c r="C383" cm="1">
        <f t="array" ref="C383">INDEX(DataAll!$E$2:$E$555,MATCH(LOWER(Data!A383),LOWER(DataAll!$D$2:$D$555),0))</f>
        <v>53.99</v>
      </c>
      <c r="D383" cm="1">
        <f t="array" ref="D383">INDEX(DataAll!$H$2:$H$579,MATCH(LOWER(Data!A383),LOWER(DataAll!$G$2:$G$555),0))</f>
        <v>0.53200000000000003</v>
      </c>
      <c r="E383" cm="1">
        <f t="array" ref="E383">INDEX(DataAll!$K$2:$K$579,MATCH(LOWER(Data!A383),LOWER(DataAll!$J$2:$J$555),0))</f>
        <v>12.5</v>
      </c>
      <c r="F383" cm="1">
        <f t="array" ref="F383">INDEX(DataAll!$N$2:$N$555,MATCH(LOWER(Data!A383),LOWER(DataAll!$M$2:$M$555),0))</f>
        <v>45.65</v>
      </c>
      <c r="G383" cm="1">
        <f t="array" ref="G383">INDEX(DataAll!$Q$2:$Q$555,MATCH(LOWER(Data!A383),LOWER(DataAll!$P$2:$P$555),0))</f>
        <v>8.6999999999999993</v>
      </c>
      <c r="H383" cm="1">
        <f t="array" ref="H383">INDEX(DataAll!$T$2:$T$555,MATCH(LOWER(Data!A383),LOWER(DataAll!$S$2:$S$555),0))</f>
        <v>0.32300000000000001</v>
      </c>
      <c r="I383" cm="1">
        <f t="array" ref="I383">INDEX(DataAll!$W$2:$W$555,MATCH(LOWER(Data!A383),LOWER(DataAll!$V$2:$V$555),0))</f>
        <v>18.7</v>
      </c>
      <c r="J383" cm="1">
        <f t="array" ref="J383">INDEX(DataAll!$Z$2:$Z$555,MATCH(LOWER(Data!A383),LOWER(DataAll!$Y$2:$Y$555),0))</f>
        <v>2.2400000000000002</v>
      </c>
      <c r="K383" cm="1">
        <f t="array" ref="K383">INDEX(DataAll!$AM$2:$AM$555,MATCH(LOWER(Data!A383),LOWER(DataAll!$AL$2:$AL$555),0))</f>
        <v>9.06</v>
      </c>
      <c r="L383" cm="1">
        <f t="array" ref="L383">INDEX(DataAll!$AJ$2:$AJ$555,MATCH(LOWER(Data!A383),LOWER(DataAll!$AI$2:$AI$555),0))</f>
        <v>17.350000000000001</v>
      </c>
      <c r="M383" cm="1">
        <f t="array" ref="M383">INDEX(DataAll!$AP$2:$AP$555,MATCH(LOWER(Data!A383),LOWER(DataAll!$AO$2:$AO$555),0))</f>
        <v>71.77</v>
      </c>
      <c r="N383" cm="1">
        <f t="array" ref="N383">INDEX(DataAll!$AQ$2:$AQ$555,MATCH(LOWER(Data!A383),LOWER(DataAll!$AO$2:$AO$555),0))</f>
        <v>75.52</v>
      </c>
      <c r="O383" cm="1">
        <f t="array" ref="O383">INDEX(DataAll!$AT$2:$AT$555,MATCH(LOWER(Data!A383),LOWER(DataAll!$AS$2:$AS$555),0))</f>
        <v>9.91</v>
      </c>
      <c r="P383" cm="1">
        <f t="array" ref="P383">INDEX(DataAll!$AU$2:$AU$555,MATCH(LOWER(Data!A383),LOWER(DataAll!$AS$2:$AS$555),0))</f>
        <v>8.98</v>
      </c>
      <c r="Q383" cm="1">
        <f t="array" ref="Q383">INDEX(DataAll!$AX$2:$AX$556,MATCH(LOWER(Data!A383),LOWER(DataAll!$AW$2:$AW$556),0))</f>
        <v>40.26</v>
      </c>
      <c r="R383" cm="1">
        <f t="array" ref="R383">INDEX('Longitude and Latitude'!$B$2:$B$579,MATCH(LOWER(Data!A383),LOWER('Longitude and Latitude'!$A$2:$A$579),0))</f>
        <v>0.94337740000000003</v>
      </c>
      <c r="S383" cm="1">
        <f t="array" ref="S383">INDEX('Longitude and Latitude'!$C$2:$C$579,MATCH(LOWER(Data!A383),LOWER('Longitude and Latitude'!$A$2:$A$579),0))</f>
        <v>116.9852422</v>
      </c>
      <c r="T383" t="b">
        <f>IF(EXACT(A383, UPPER(A383)), TRUE, FALSE)</f>
        <v>0</v>
      </c>
    </row>
    <row r="384" spans="1:20" x14ac:dyDescent="0.35">
      <c r="A384" t="s">
        <v>381</v>
      </c>
      <c r="B384">
        <v>88.2</v>
      </c>
      <c r="C384" cm="1">
        <f t="array" ref="C384">INDEX(DataAll!$E$2:$E$555,MATCH(LOWER(Data!A384),LOWER(DataAll!$D$2:$D$555),0))</f>
        <v>57.53</v>
      </c>
      <c r="D384" cm="1">
        <f t="array" ref="D384">INDEX(DataAll!$H$2:$H$579,MATCH(LOWER(Data!A384),LOWER(DataAll!$G$2:$G$555),0))</f>
        <v>0.502</v>
      </c>
      <c r="E384" cm="1">
        <f t="array" ref="E384">INDEX(DataAll!$K$2:$K$579,MATCH(LOWER(Data!A384),LOWER(DataAll!$J$2:$J$555),0))</f>
        <v>16.670000000000002</v>
      </c>
      <c r="F384" cm="1">
        <f t="array" ref="F384">INDEX(DataAll!$N$2:$N$555,MATCH(LOWER(Data!A384),LOWER(DataAll!$M$2:$M$555),0))</f>
        <v>44.77</v>
      </c>
      <c r="G384" cm="1">
        <f t="array" ref="G384">INDEX(DataAll!$Q$2:$Q$555,MATCH(LOWER(Data!A384),LOWER(DataAll!$P$2:$P$555),0))</f>
        <v>7.86</v>
      </c>
      <c r="H384" cm="1">
        <f t="array" ref="H384">INDEX(DataAll!$T$2:$T$555,MATCH(LOWER(Data!A384),LOWER(DataAll!$S$2:$S$555),0))</f>
        <v>0.35</v>
      </c>
      <c r="I384" cm="1">
        <f t="array" ref="I384">INDEX(DataAll!$W$2:$W$555,MATCH(LOWER(Data!A384),LOWER(DataAll!$V$2:$V$555),0))</f>
        <v>17.88</v>
      </c>
      <c r="J384" cm="1">
        <f t="array" ref="J384">INDEX(DataAll!$Z$2:$Z$555,MATCH(LOWER(Data!A384),LOWER(DataAll!$Y$2:$Y$555),0))</f>
        <v>2.37</v>
      </c>
      <c r="K384" cm="1">
        <f t="array" ref="K384">INDEX(DataAll!$AM$2:$AM$555,MATCH(LOWER(Data!A384),LOWER(DataAll!$AL$2:$AL$555),0))</f>
        <v>5.54</v>
      </c>
      <c r="L384" cm="1">
        <f t="array" ref="L384">INDEX(DataAll!$AJ$2:$AJ$555,MATCH(LOWER(Data!A384),LOWER(DataAll!$AI$2:$AI$555),0))</f>
        <v>21.15</v>
      </c>
      <c r="M384" cm="1">
        <f t="array" ref="M384">INDEX(DataAll!$AP$2:$AP$555,MATCH(LOWER(Data!A384),LOWER(DataAll!$AO$2:$AO$555),0))</f>
        <v>70.45</v>
      </c>
      <c r="N384" cm="1">
        <f t="array" ref="N384">INDEX(DataAll!$AQ$2:$AQ$555,MATCH(LOWER(Data!A384),LOWER(DataAll!$AO$2:$AO$555),0))</f>
        <v>74.47</v>
      </c>
      <c r="O384" cm="1">
        <f t="array" ref="O384">INDEX(DataAll!$AT$2:$AT$555,MATCH(LOWER(Data!A384),LOWER(DataAll!$AS$2:$AS$555),0))</f>
        <v>9.93</v>
      </c>
      <c r="P384" cm="1">
        <f t="array" ref="P384">INDEX(DataAll!$AU$2:$AU$555,MATCH(LOWER(Data!A384),LOWER(DataAll!$AS$2:$AS$555),0))</f>
        <v>9.2799999999999994</v>
      </c>
      <c r="Q384" cm="1">
        <f t="array" ref="Q384">INDEX(DataAll!$AX$2:$AX$556,MATCH(LOWER(Data!A384),LOWER(DataAll!$AW$2:$AW$556),0))</f>
        <v>43.73</v>
      </c>
      <c r="R384" cm="1">
        <f t="array" ref="R384">INDEX('Longitude and Latitude'!$B$2:$B$579,MATCH(LOWER(Data!A384),LOWER('Longitude and Latitude'!$A$2:$A$579),0))</f>
        <v>2.0450883000000002</v>
      </c>
      <c r="S384" cm="1">
        <f t="array" ref="S384">INDEX('Longitude and Latitude'!$C$2:$C$579,MATCH(LOWER(Data!A384),LOWER('Longitude and Latitude'!$A$2:$A$579),0))</f>
        <v>117.3616476</v>
      </c>
      <c r="T384" t="b">
        <f>IF(EXACT(A384, UPPER(A384)), TRUE, FALSE)</f>
        <v>0</v>
      </c>
    </row>
    <row r="385" spans="1:20" x14ac:dyDescent="0.35">
      <c r="A385" t="s">
        <v>382</v>
      </c>
      <c r="B385">
        <v>86.93</v>
      </c>
      <c r="C385" cm="1">
        <f t="array" ref="C385">INDEX(DataAll!$E$2:$E$555,MATCH(LOWER(Data!A385),LOWER(DataAll!$D$2:$D$555),0))</f>
        <v>50.02</v>
      </c>
      <c r="D385" cm="1">
        <f t="array" ref="D385">INDEX(DataAll!$H$2:$H$579,MATCH(LOWER(Data!A385),LOWER(DataAll!$G$2:$G$555),0))</f>
        <v>0.54400000000000004</v>
      </c>
      <c r="E385" cm="1">
        <f t="array" ref="E385">INDEX(DataAll!$K$2:$K$579,MATCH(LOWER(Data!A385),LOWER(DataAll!$J$2:$J$555),0))</f>
        <v>4</v>
      </c>
      <c r="F385" cm="1">
        <f t="array" ref="F385">INDEX(DataAll!$N$2:$N$555,MATCH(LOWER(Data!A385),LOWER(DataAll!$M$2:$M$555),0))</f>
        <v>58.37</v>
      </c>
      <c r="G385" cm="1">
        <f t="array" ref="G385">INDEX(DataAll!$Q$2:$Q$555,MATCH(LOWER(Data!A385),LOWER(DataAll!$P$2:$P$555),0))</f>
        <v>16.34</v>
      </c>
      <c r="H385" cm="1">
        <f t="array" ref="H385">INDEX(DataAll!$T$2:$T$555,MATCH(LOWER(Data!A385),LOWER(DataAll!$S$2:$S$555),0))</f>
        <v>0.29799999999999999</v>
      </c>
      <c r="I385" cm="1">
        <f t="array" ref="I385">INDEX(DataAll!$W$2:$W$555,MATCH(LOWER(Data!A385),LOWER(DataAll!$V$2:$V$555),0))</f>
        <v>25.53</v>
      </c>
      <c r="J385" cm="1">
        <f t="array" ref="J385">INDEX(DataAll!$Z$2:$Z$555,MATCH(LOWER(Data!A385),LOWER(DataAll!$Y$2:$Y$555),0))</f>
        <v>2.36</v>
      </c>
      <c r="K385" cm="1">
        <f t="array" ref="K385">INDEX(DataAll!$AM$2:$AM$555,MATCH(LOWER(Data!A385),LOWER(DataAll!$AL$2:$AL$555),0))</f>
        <v>6.97</v>
      </c>
      <c r="L385" cm="1">
        <f t="array" ref="L385">INDEX(DataAll!$AJ$2:$AJ$555,MATCH(LOWER(Data!A385),LOWER(DataAll!$AI$2:$AI$555),0))</f>
        <v>18.63</v>
      </c>
      <c r="M385" cm="1">
        <f t="array" ref="M385">INDEX(DataAll!$AP$2:$AP$555,MATCH(LOWER(Data!A385),LOWER(DataAll!$AO$2:$AO$555),0))</f>
        <v>70.099999999999994</v>
      </c>
      <c r="N385" cm="1">
        <f t="array" ref="N385">INDEX(DataAll!$AQ$2:$AQ$555,MATCH(LOWER(Data!A385),LOWER(DataAll!$AO$2:$AO$555),0))</f>
        <v>74.09</v>
      </c>
      <c r="O385" cm="1">
        <f t="array" ref="O385">INDEX(DataAll!$AT$2:$AT$555,MATCH(LOWER(Data!A385),LOWER(DataAll!$AS$2:$AS$555),0))</f>
        <v>8.85</v>
      </c>
      <c r="P385" cm="1">
        <f t="array" ref="P385">INDEX(DataAll!$AU$2:$AU$555,MATCH(LOWER(Data!A385),LOWER(DataAll!$AS$2:$AS$555),0))</f>
        <v>8.19</v>
      </c>
      <c r="Q385" cm="1">
        <f t="array" ref="Q385">INDEX(DataAll!$AX$2:$AX$556,MATCH(LOWER(Data!A385),LOWER(DataAll!$AW$2:$AW$556),0))</f>
        <v>37.85</v>
      </c>
      <c r="R385" cm="1">
        <f t="array" ref="R385">INDEX('Longitude and Latitude'!$B$2:$B$579,MATCH(LOWER(Data!A385),LOWER('Longitude and Latitude'!$A$2:$A$579),0))</f>
        <v>-1.2917094</v>
      </c>
      <c r="S385" cm="1">
        <f t="array" ref="S385">INDEX('Longitude and Latitude'!$C$2:$C$579,MATCH(LOWER(Data!A385),LOWER('Longitude and Latitude'!$A$2:$A$579),0))</f>
        <v>116.5137964</v>
      </c>
      <c r="T385" t="b">
        <f>IF(EXACT(A385, UPPER(A385)), TRUE, FALSE)</f>
        <v>0</v>
      </c>
    </row>
    <row r="386" spans="1:20" x14ac:dyDescent="0.35">
      <c r="A386" t="s">
        <v>383</v>
      </c>
      <c r="B386">
        <v>83.07</v>
      </c>
      <c r="C386" cm="1">
        <f t="array" ref="C386">INDEX(DataAll!$E$2:$E$555,MATCH(LOWER(Data!A386),LOWER(DataAll!$D$2:$D$555),0))</f>
        <v>82.42</v>
      </c>
      <c r="D386" cm="1">
        <f t="array" ref="D386">INDEX(DataAll!$H$2:$H$579,MATCH(LOWER(Data!A386),LOWER(DataAll!$G$2:$G$555),0))</f>
        <v>0.36199999999999999</v>
      </c>
      <c r="E386" cm="1">
        <f t="array" ref="E386">INDEX(DataAll!$K$2:$K$579,MATCH(LOWER(Data!A386),LOWER(DataAll!$J$2:$J$555),0))</f>
        <v>45</v>
      </c>
      <c r="F386" cm="1">
        <f t="array" ref="F386">INDEX(DataAll!$N$2:$N$555,MATCH(LOWER(Data!A386),LOWER(DataAll!$M$2:$M$555),0))</f>
        <v>47.76</v>
      </c>
      <c r="G386" cm="1">
        <f t="array" ref="G386">INDEX(DataAll!$Q$2:$Q$555,MATCH(LOWER(Data!A386),LOWER(DataAll!$P$2:$P$555),0))</f>
        <v>13.82</v>
      </c>
      <c r="H386" cm="1">
        <f t="array" ref="H386">INDEX(DataAll!$T$2:$T$555,MATCH(LOWER(Data!A386),LOWER(DataAll!$S$2:$S$555),0))</f>
        <v>0.35299999999999998</v>
      </c>
      <c r="I386" cm="1">
        <f t="array" ref="I386">INDEX(DataAll!$W$2:$W$555,MATCH(LOWER(Data!A386),LOWER(DataAll!$V$2:$V$555),0))</f>
        <v>28.15</v>
      </c>
      <c r="J386" cm="1">
        <f t="array" ref="J386">INDEX(DataAll!$Z$2:$Z$555,MATCH(LOWER(Data!A386),LOWER(DataAll!$Y$2:$Y$555),0))</f>
        <v>2.42</v>
      </c>
      <c r="K386" cm="1">
        <f t="array" ref="K386">INDEX(DataAll!$AM$2:$AM$555,MATCH(LOWER(Data!A386),LOWER(DataAll!$AL$2:$AL$555),0))</f>
        <v>11.38</v>
      </c>
      <c r="L386" cm="1">
        <f t="array" ref="L386">INDEX(DataAll!$AJ$2:$AJ$555,MATCH(LOWER(Data!A386),LOWER(DataAll!$AI$2:$AI$555),0))</f>
        <v>21.12</v>
      </c>
      <c r="M386" cm="1">
        <f t="array" ref="M386">INDEX(DataAll!$AP$2:$AP$555,MATCH(LOWER(Data!A386),LOWER(DataAll!$AO$2:$AO$555),0))</f>
        <v>70.5</v>
      </c>
      <c r="N386" cm="1">
        <f t="array" ref="N386">INDEX(DataAll!$AQ$2:$AQ$555,MATCH(LOWER(Data!A386),LOWER(DataAll!$AO$2:$AO$555),0))</f>
        <v>74.52</v>
      </c>
      <c r="O386" cm="1">
        <f t="array" ref="O386">INDEX(DataAll!$AT$2:$AT$555,MATCH(LOWER(Data!A386),LOWER(DataAll!$AS$2:$AS$555),0))</f>
        <v>8.9499999999999993</v>
      </c>
      <c r="P386" cm="1">
        <f t="array" ref="P386">INDEX(DataAll!$AU$2:$AU$555,MATCH(LOWER(Data!A386),LOWER(DataAll!$AS$2:$AS$555),0))</f>
        <v>8.4499999999999993</v>
      </c>
      <c r="Q386" cm="1">
        <f t="array" ref="Q386">INDEX(DataAll!$AX$2:$AX$556,MATCH(LOWER(Data!A386),LOWER(DataAll!$AW$2:$AW$556),0))</f>
        <v>43.45</v>
      </c>
      <c r="R386" cm="1">
        <f t="array" ref="R386">INDEX('Longitude and Latitude'!$B$2:$B$579,MATCH(LOWER(Data!A386),LOWER('Longitude and Latitude'!$A$2:$A$579),0))</f>
        <v>0.5</v>
      </c>
      <c r="S386" cm="1">
        <f t="array" ref="S386">INDEX('Longitude and Latitude'!$C$2:$C$579,MATCH(LOWER(Data!A386),LOWER('Longitude and Latitude'!$A$2:$A$579),0))</f>
        <v>115.28</v>
      </c>
      <c r="T386" t="b">
        <f>IF(EXACT(A386, UPPER(A386)), TRUE, FALSE)</f>
        <v>0</v>
      </c>
    </row>
    <row r="387" spans="1:20" x14ac:dyDescent="0.35">
      <c r="A387" t="s">
        <v>384</v>
      </c>
      <c r="B387">
        <v>90.13</v>
      </c>
      <c r="C387" cm="1">
        <f t="array" ref="C387">INDEX(DataAll!$E$2:$E$555,MATCH(LOWER(Data!A387),LOWER(DataAll!$D$2:$D$555),0))</f>
        <v>72</v>
      </c>
      <c r="D387" cm="1">
        <f t="array" ref="D387">INDEX(DataAll!$H$2:$H$579,MATCH(LOWER(Data!A387),LOWER(DataAll!$G$2:$G$555),0))</f>
        <v>0.17799999999999999</v>
      </c>
      <c r="E387" cm="1">
        <f t="array" ref="E387">INDEX(DataAll!$K$2:$K$579,MATCH(LOWER(Data!A387),LOWER(DataAll!$J$2:$J$555),0))</f>
        <v>22.73</v>
      </c>
      <c r="F387" cm="1">
        <f t="array" ref="F387">INDEX(DataAll!$N$2:$N$555,MATCH(LOWER(Data!A387),LOWER(DataAll!$M$2:$M$555),0))</f>
        <v>47.64</v>
      </c>
      <c r="G387" cm="1">
        <f t="array" ref="G387">INDEX(DataAll!$Q$2:$Q$555,MATCH(LOWER(Data!A387),LOWER(DataAll!$P$2:$P$555),0))</f>
        <v>6.98</v>
      </c>
      <c r="H387" cm="1">
        <f t="array" ref="H387">INDEX(DataAll!$T$2:$T$555,MATCH(LOWER(Data!A387),LOWER(DataAll!$S$2:$S$555),0))</f>
        <v>0.16800000000000001</v>
      </c>
      <c r="I387" cm="1">
        <f t="array" ref="I387">INDEX(DataAll!$W$2:$W$555,MATCH(LOWER(Data!A387),LOWER(DataAll!$V$2:$V$555),0))</f>
        <v>27.13</v>
      </c>
      <c r="J387" cm="1">
        <f t="array" ref="J387">INDEX(DataAll!$Z$2:$Z$555,MATCH(LOWER(Data!A387),LOWER(DataAll!$Y$2:$Y$555),0))</f>
        <v>2.13</v>
      </c>
      <c r="K387" cm="1">
        <f t="array" ref="K387">INDEX(DataAll!$AM$2:$AM$555,MATCH(LOWER(Data!A387),LOWER(DataAll!$AL$2:$AL$555),0))</f>
        <v>2.31</v>
      </c>
      <c r="L387" cm="1">
        <f t="array" ref="L387">INDEX(DataAll!$AJ$2:$AJ$555,MATCH(LOWER(Data!A387),LOWER(DataAll!$AI$2:$AI$555),0))</f>
        <v>14.47</v>
      </c>
      <c r="M387" cm="1">
        <f t="array" ref="M387">INDEX(DataAll!$AP$2:$AP$555,MATCH(LOWER(Data!A387),LOWER(DataAll!$AO$2:$AO$555),0))</f>
        <v>73.13</v>
      </c>
      <c r="N387" cm="1">
        <f t="array" ref="N387">INDEX(DataAll!$AQ$2:$AQ$555,MATCH(LOWER(Data!A387),LOWER(DataAll!$AO$2:$AO$555),0))</f>
        <v>76.78</v>
      </c>
      <c r="O387" cm="1">
        <f t="array" ref="O387">INDEX(DataAll!$AT$2:$AT$555,MATCH(LOWER(Data!A387),LOWER(DataAll!$AS$2:$AS$555),0))</f>
        <v>11.38</v>
      </c>
      <c r="P387" cm="1">
        <f t="array" ref="P387">INDEX(DataAll!$AU$2:$AU$555,MATCH(LOWER(Data!A387),LOWER(DataAll!$AS$2:$AS$555),0))</f>
        <v>10.71</v>
      </c>
      <c r="Q387" cm="1">
        <f t="array" ref="Q387">INDEX(DataAll!$AX$2:$AX$556,MATCH(LOWER(Data!A387),LOWER(DataAll!$AW$2:$AW$556),0))</f>
        <v>60.69</v>
      </c>
      <c r="R387" cm="1">
        <f t="array" ref="R387">INDEX('Longitude and Latitude'!$B$2:$B$579,MATCH(LOWER(Data!A387),LOWER('Longitude and Latitude'!$A$2:$A$579),0))</f>
        <v>-1.2635388999999999</v>
      </c>
      <c r="S387" cm="1">
        <f t="array" ref="S387">INDEX('Longitude and Latitude'!$C$2:$C$579,MATCH(LOWER(Data!A387),LOWER('Longitude and Latitude'!$A$2:$A$579),0))</f>
        <v>116.8278833</v>
      </c>
      <c r="T387" t="b">
        <f>IF(EXACT(A387, UPPER(A387)), TRUE, FALSE)</f>
        <v>0</v>
      </c>
    </row>
    <row r="388" spans="1:20" x14ac:dyDescent="0.35">
      <c r="A388" t="s">
        <v>385</v>
      </c>
      <c r="B388">
        <v>90.07</v>
      </c>
      <c r="C388" cm="1">
        <f t="array" ref="C388">INDEX(DataAll!$E$2:$E$555,MATCH(LOWER(Data!A388),LOWER(DataAll!$D$2:$D$555),0))</f>
        <v>68.709999999999994</v>
      </c>
      <c r="D388" cm="1">
        <f t="array" ref="D388">INDEX(DataAll!$H$2:$H$579,MATCH(LOWER(Data!A388),LOWER(DataAll!$G$2:$G$555),0))</f>
        <v>0.23699999999999999</v>
      </c>
      <c r="E388" cm="1">
        <f t="array" ref="E388">INDEX(DataAll!$K$2:$K$579,MATCH(LOWER(Data!A388),LOWER(DataAll!$J$2:$J$555),0))</f>
        <v>15.56</v>
      </c>
      <c r="F388" cm="1">
        <f t="array" ref="F388">INDEX(DataAll!$N$2:$N$555,MATCH(LOWER(Data!A388),LOWER(DataAll!$M$2:$M$555),0))</f>
        <v>45.26</v>
      </c>
      <c r="G388" cm="1">
        <f t="array" ref="G388">INDEX(DataAll!$Q$2:$Q$555,MATCH(LOWER(Data!A388),LOWER(DataAll!$P$2:$P$555),0))</f>
        <v>7.87</v>
      </c>
      <c r="H388" cm="1">
        <f t="array" ref="H388">INDEX(DataAll!$T$2:$T$555,MATCH(LOWER(Data!A388),LOWER(DataAll!$S$2:$S$555),0))</f>
        <v>0.14899999999999999</v>
      </c>
      <c r="I388" cm="1">
        <f t="array" ref="I388">INDEX(DataAll!$W$2:$W$555,MATCH(LOWER(Data!A388),LOWER(DataAll!$V$2:$V$555),0))</f>
        <v>30.93</v>
      </c>
      <c r="J388" cm="1">
        <f t="array" ref="J388">INDEX(DataAll!$Z$2:$Z$555,MATCH(LOWER(Data!A388),LOWER(DataAll!$Y$2:$Y$555),0))</f>
        <v>2.06</v>
      </c>
      <c r="K388" cm="1">
        <f t="array" ref="K388">INDEX(DataAll!$AM$2:$AM$555,MATCH(LOWER(Data!A388),LOWER(DataAll!$AL$2:$AL$555),0))</f>
        <v>4.8099999999999996</v>
      </c>
      <c r="L388" cm="1">
        <f t="array" ref="L388">INDEX(DataAll!$AJ$2:$AJ$555,MATCH(LOWER(Data!A388),LOWER(DataAll!$AI$2:$AI$555),0))</f>
        <v>15.63</v>
      </c>
      <c r="M388" cm="1">
        <f t="array" ref="M388">INDEX(DataAll!$AP$2:$AP$555,MATCH(LOWER(Data!A388),LOWER(DataAll!$AO$2:$AO$555),0))</f>
        <v>72.930000000000007</v>
      </c>
      <c r="N388" cm="1">
        <f t="array" ref="N388">INDEX(DataAll!$AQ$2:$AQ$555,MATCH(LOWER(Data!A388),LOWER(DataAll!$AO$2:$AO$555),0))</f>
        <v>76.599999999999994</v>
      </c>
      <c r="O388" cm="1">
        <f t="array" ref="O388">INDEX(DataAll!$AT$2:$AT$555,MATCH(LOWER(Data!A388),LOWER(DataAll!$AS$2:$AS$555),0))</f>
        <v>11.32</v>
      </c>
      <c r="P388" cm="1">
        <f t="array" ref="P388">INDEX(DataAll!$AU$2:$AU$555,MATCH(LOWER(Data!A388),LOWER(DataAll!$AS$2:$AS$555),0))</f>
        <v>10.6</v>
      </c>
      <c r="Q388" cm="1">
        <f t="array" ref="Q388">INDEX(DataAll!$AX$2:$AX$556,MATCH(LOWER(Data!A388),LOWER(DataAll!$AW$2:$AW$556),0))</f>
        <v>65.98</v>
      </c>
      <c r="R388" cm="1">
        <f t="array" ref="R388">INDEX('Longitude and Latitude'!$B$2:$B$579,MATCH(LOWER(Data!A388),LOWER('Longitude and Latitude'!$A$2:$A$579),0))</f>
        <v>-0.50218300000000005</v>
      </c>
      <c r="S388" cm="1">
        <f t="array" ref="S388">INDEX('Longitude and Latitude'!$C$2:$C$579,MATCH(LOWER(Data!A388),LOWER('Longitude and Latitude'!$A$2:$A$579),0))</f>
        <v>117.153801</v>
      </c>
      <c r="T388" t="b">
        <f>IF(EXACT(A388, UPPER(A388)), TRUE, FALSE)</f>
        <v>0</v>
      </c>
    </row>
    <row r="389" spans="1:20" x14ac:dyDescent="0.35">
      <c r="A389" t="s">
        <v>386</v>
      </c>
      <c r="B389">
        <v>87.89</v>
      </c>
      <c r="C389" cm="1">
        <f t="array" ref="C389">INDEX(DataAll!$E$2:$E$555,MATCH(LOWER(Data!A389),LOWER(DataAll!$D$2:$D$555),0))</f>
        <v>47.2</v>
      </c>
      <c r="D389" cm="1">
        <f t="array" ref="D389">INDEX(DataAll!$H$2:$H$579,MATCH(LOWER(Data!A389),LOWER(DataAll!$G$2:$G$555),0))</f>
        <v>0.314</v>
      </c>
      <c r="E389" cm="1">
        <f t="array" ref="E389">INDEX(DataAll!$K$2:$K$579,MATCH(LOWER(Data!A389),LOWER(DataAll!$J$2:$J$555),0))</f>
        <v>8</v>
      </c>
      <c r="F389" cm="1">
        <f t="array" ref="F389">INDEX(DataAll!$N$2:$N$555,MATCH(LOWER(Data!A389),LOWER(DataAll!$M$2:$M$555),0))</f>
        <v>50.14</v>
      </c>
      <c r="G389" cm="1">
        <f t="array" ref="G389">INDEX(DataAll!$Q$2:$Q$555,MATCH(LOWER(Data!A389),LOWER(DataAll!$P$2:$P$555),0))</f>
        <v>6.95</v>
      </c>
      <c r="H389" cm="1">
        <f t="array" ref="H389">INDEX(DataAll!$T$2:$T$555,MATCH(LOWER(Data!A389),LOWER(DataAll!$S$2:$S$555),0))</f>
        <v>0.19900000000000001</v>
      </c>
      <c r="I389" cm="1">
        <f t="array" ref="I389">INDEX(DataAll!$W$2:$W$555,MATCH(LOWER(Data!A389),LOWER(DataAll!$V$2:$V$555),0))</f>
        <v>17.899999999999999</v>
      </c>
      <c r="J389" cm="1">
        <f t="array" ref="J389">INDEX(DataAll!$Z$2:$Z$555,MATCH(LOWER(Data!A389),LOWER(DataAll!$Y$2:$Y$555),0))</f>
        <v>2.15</v>
      </c>
      <c r="K389" cm="1">
        <f t="array" ref="K389">INDEX(DataAll!$AM$2:$AM$555,MATCH(LOWER(Data!A389),LOWER(DataAll!$AL$2:$AL$555),0))</f>
        <v>4.1100000000000003</v>
      </c>
      <c r="L389" cm="1">
        <f t="array" ref="L389">INDEX(DataAll!$AJ$2:$AJ$555,MATCH(LOWER(Data!A389),LOWER(DataAll!$AI$2:$AI$555),0))</f>
        <v>17.14</v>
      </c>
      <c r="M389" cm="1">
        <f t="array" ref="M389">INDEX(DataAll!$AP$2:$AP$555,MATCH(LOWER(Data!A389),LOWER(DataAll!$AO$2:$AO$555),0))</f>
        <v>72.92</v>
      </c>
      <c r="N389" cm="1">
        <f t="array" ref="N389">INDEX(DataAll!$AQ$2:$AQ$555,MATCH(LOWER(Data!A389),LOWER(DataAll!$AO$2:$AO$555),0))</f>
        <v>76.59</v>
      </c>
      <c r="O389" cm="1">
        <f t="array" ref="O389">INDEX(DataAll!$AT$2:$AT$555,MATCH(LOWER(Data!A389),LOWER(DataAll!$AS$2:$AS$555),0))</f>
        <v>11.14</v>
      </c>
      <c r="P389" cm="1">
        <f t="array" ref="P389">INDEX(DataAll!$AU$2:$AU$555,MATCH(LOWER(Data!A389),LOWER(DataAll!$AS$2:$AS$555),0))</f>
        <v>10.92</v>
      </c>
      <c r="Q389" cm="1">
        <f t="array" ref="Q389">INDEX(DataAll!$AX$2:$AX$556,MATCH(LOWER(Data!A389),LOWER(DataAll!$AW$2:$AW$556),0))</f>
        <v>64.069999999999993</v>
      </c>
      <c r="R389" cm="1">
        <f t="array" ref="R389">INDEX('Longitude and Latitude'!$B$2:$B$579,MATCH(LOWER(Data!A389),LOWER('Longitude and Latitude'!$A$2:$A$579),0))</f>
        <v>0.13333329999999999</v>
      </c>
      <c r="S389" cm="1">
        <f t="array" ref="S389">INDEX('Longitude and Latitude'!$C$2:$C$579,MATCH(LOWER(Data!A389),LOWER('Longitude and Latitude'!$A$2:$A$579),0))</f>
        <v>117.5</v>
      </c>
      <c r="T389" t="b">
        <f>IF(EXACT(A389, UPPER(A389)), TRUE, FALSE)</f>
        <v>0</v>
      </c>
    </row>
    <row r="390" spans="1:20" x14ac:dyDescent="0.35">
      <c r="A390" t="s">
        <v>387</v>
      </c>
      <c r="B390">
        <v>88.46</v>
      </c>
      <c r="C390" cm="1">
        <f t="array" ref="C390">INDEX(DataAll!$E$2:$E$555,MATCH(LOWER(Data!A390),LOWER(DataAll!$D$2:$D$555),0))</f>
        <v>58.86</v>
      </c>
      <c r="D390" cm="1">
        <f t="array" ref="D390">INDEX(DataAll!$H$2:$H$579,MATCH(LOWER(Data!A390),LOWER(DataAll!$G$2:$G$555),0))</f>
        <v>0.45200000000000001</v>
      </c>
      <c r="E390" cm="1">
        <f t="array" ref="E390">INDEX(DataAll!$K$2:$K$579,MATCH(LOWER(Data!A390),LOWER(DataAll!$J$2:$J$555),0))</f>
        <v>8.57</v>
      </c>
      <c r="F390" cm="1">
        <f t="array" ref="F390">INDEX(DataAll!$N$2:$N$555,MATCH(LOWER(Data!A390),LOWER(DataAll!$M$2:$M$555),0))</f>
        <v>46.97</v>
      </c>
      <c r="G390" t="e" cm="1">
        <f t="array" ref="G390">INDEX(DataAll!$Q$2:$Q$555,MATCH(LOWER(Data!A390),LOWER(DataAll!$P$2:$P$555),0))</f>
        <v>#N/A</v>
      </c>
      <c r="H390" cm="1">
        <f t="array" ref="H390">INDEX(DataAll!$T$2:$T$555,MATCH(LOWER(Data!A390),LOWER(DataAll!$S$2:$S$555),0))</f>
        <v>0.28899999999999998</v>
      </c>
      <c r="I390" cm="1">
        <f t="array" ref="I390">INDEX(DataAll!$W$2:$W$555,MATCH(LOWER(Data!A390),LOWER(DataAll!$V$2:$V$555),0))</f>
        <v>26.88</v>
      </c>
      <c r="J390" cm="1">
        <f t="array" ref="J390">INDEX(DataAll!$Z$2:$Z$555,MATCH(LOWER(Data!A390),LOWER(DataAll!$Y$2:$Y$555),0))</f>
        <v>2.35</v>
      </c>
      <c r="K390" cm="1">
        <f t="array" ref="K390">INDEX(DataAll!$AM$2:$AM$555,MATCH(LOWER(Data!A390),LOWER(DataAll!$AL$2:$AL$555),0))</f>
        <v>6.45</v>
      </c>
      <c r="L390" cm="1">
        <f t="array" ref="L390">INDEX(DataAll!$AJ$2:$AJ$555,MATCH(LOWER(Data!A390),LOWER(DataAll!$AI$2:$AI$555),0))</f>
        <v>19.43</v>
      </c>
      <c r="M390" cm="1">
        <f t="array" ref="M390">INDEX(DataAll!$AP$2:$AP$555,MATCH(LOWER(Data!A390),LOWER(DataAll!$AO$2:$AO$555),0))</f>
        <v>70.72</v>
      </c>
      <c r="N390" cm="1">
        <f t="array" ref="N390">INDEX(DataAll!$AQ$2:$AQ$555,MATCH(LOWER(Data!A390),LOWER(DataAll!$AO$2:$AO$555),0))</f>
        <v>74.75</v>
      </c>
      <c r="O390" cm="1">
        <f t="array" ref="O390">INDEX(DataAll!$AT$2:$AT$555,MATCH(LOWER(Data!A390),LOWER(DataAll!$AS$2:$AS$555),0))</f>
        <v>9.7799999999999994</v>
      </c>
      <c r="P390" cm="1">
        <f t="array" ref="P390">INDEX(DataAll!$AU$2:$AU$555,MATCH(LOWER(Data!A390),LOWER(DataAll!$AS$2:$AS$555),0))</f>
        <v>9.17</v>
      </c>
      <c r="Q390" cm="1">
        <f t="array" ref="Q390">INDEX(DataAll!$AX$2:$AX$556,MATCH(LOWER(Data!A390),LOWER(DataAll!$AW$2:$AW$556),0))</f>
        <v>41.95</v>
      </c>
      <c r="R390" cm="1">
        <f t="array" ref="R390">INDEX('Longitude and Latitude'!$B$2:$B$579,MATCH(LOWER(Data!A390),LOWER('Longitude and Latitude'!$A$2:$A$579),0))</f>
        <v>3</v>
      </c>
      <c r="S390" cm="1">
        <f t="array" ref="S390">INDEX('Longitude and Latitude'!$C$2:$C$579,MATCH(LOWER(Data!A390),LOWER('Longitude and Latitude'!$A$2:$A$579),0))</f>
        <v>116.333333</v>
      </c>
      <c r="T390" t="b">
        <f>IF(EXACT(A390, UPPER(A390)), TRUE, FALSE)</f>
        <v>1</v>
      </c>
    </row>
    <row r="391" spans="1:20" x14ac:dyDescent="0.35">
      <c r="A391" t="s">
        <v>388</v>
      </c>
      <c r="B391">
        <v>82.86</v>
      </c>
      <c r="C391" cm="1">
        <f t="array" ref="C391">INDEX(DataAll!$E$2:$E$555,MATCH(LOWER(Data!A391),LOWER(DataAll!$D$2:$D$555),0))</f>
        <v>72.55</v>
      </c>
      <c r="D391" cm="1">
        <f t="array" ref="D391">INDEX(DataAll!$H$2:$H$579,MATCH(LOWER(Data!A391),LOWER(DataAll!$G$2:$G$555),0))</f>
        <v>0.49099999999999999</v>
      </c>
      <c r="E391" cm="1">
        <f t="array" ref="E391">INDEX(DataAll!$K$2:$K$579,MATCH(LOWER(Data!A391),LOWER(DataAll!$J$2:$J$555),0))</f>
        <v>20</v>
      </c>
      <c r="F391" cm="1">
        <f t="array" ref="F391">INDEX(DataAll!$N$2:$N$555,MATCH(LOWER(Data!A391),LOWER(DataAll!$M$2:$M$555),0))</f>
        <v>45.63</v>
      </c>
      <c r="G391" cm="1">
        <f t="array" ref="G391">INDEX(DataAll!$Q$2:$Q$555,MATCH(LOWER(Data!A391),LOWER(DataAll!$P$2:$P$555),0))</f>
        <v>16.440000000000001</v>
      </c>
      <c r="H391" cm="1">
        <f t="array" ref="H391">INDEX(DataAll!$T$2:$T$555,MATCH(LOWER(Data!A391),LOWER(DataAll!$S$2:$S$555),0))</f>
        <v>0.35899999999999999</v>
      </c>
      <c r="I391" cm="1">
        <f t="array" ref="I391">INDEX(DataAll!$W$2:$W$555,MATCH(LOWER(Data!A391),LOWER(DataAll!$V$2:$V$555),0))</f>
        <v>28.98</v>
      </c>
      <c r="J391" cm="1">
        <f t="array" ref="J391">INDEX(DataAll!$Z$2:$Z$555,MATCH(LOWER(Data!A391),LOWER(DataAll!$Y$2:$Y$555),0))</f>
        <v>2.3199999999999998</v>
      </c>
      <c r="K391" cm="1">
        <f t="array" ref="K391">INDEX(DataAll!$AM$2:$AM$555,MATCH(LOWER(Data!A391),LOWER(DataAll!$AL$2:$AL$555),0))</f>
        <v>6.54</v>
      </c>
      <c r="L391" cm="1">
        <f t="array" ref="L391">INDEX(DataAll!$AJ$2:$AJ$555,MATCH(LOWER(Data!A391),LOWER(DataAll!$AI$2:$AI$555),0))</f>
        <v>20.71</v>
      </c>
      <c r="M391" cm="1">
        <f t="array" ref="M391">INDEX(DataAll!$AP$2:$AP$555,MATCH(LOWER(Data!A391),LOWER(DataAll!$AO$2:$AO$555),0))</f>
        <v>71.3</v>
      </c>
      <c r="N391" cm="1">
        <f t="array" ref="N391">INDEX(DataAll!$AQ$2:$AQ$555,MATCH(LOWER(Data!A391),LOWER(DataAll!$AO$2:$AO$555),0))</f>
        <v>71.75</v>
      </c>
      <c r="O391" cm="1">
        <f t="array" ref="O391">INDEX(DataAll!$AT$2:$AT$555,MATCH(LOWER(Data!A391),LOWER(DataAll!$AS$2:$AS$555),0))</f>
        <v>9.6300000000000008</v>
      </c>
      <c r="P391" cm="1">
        <f t="array" ref="P391">INDEX(DataAll!$AU$2:$AU$555,MATCH(LOWER(Data!A391),LOWER(DataAll!$AS$2:$AS$555),0))</f>
        <v>8.9</v>
      </c>
      <c r="Q391" cm="1">
        <f t="array" ref="Q391">INDEX(DataAll!$AX$2:$AX$556,MATCH(LOWER(Data!A391),LOWER(DataAll!$AW$2:$AW$556),0))</f>
        <v>43.08</v>
      </c>
      <c r="R391" cm="1">
        <f t="array" ref="R391">INDEX('Longitude and Latitude'!$B$2:$B$579,MATCH(LOWER(Data!A391),LOWER('Longitude and Latitude'!$A$2:$A$579),0))</f>
        <v>3.5842209999999999</v>
      </c>
      <c r="S391" cm="1">
        <f t="array" ref="S391">INDEX('Longitude and Latitude'!$C$2:$C$579,MATCH(LOWER(Data!A391),LOWER('Longitude and Latitude'!$A$2:$A$579),0))</f>
        <v>116.647797</v>
      </c>
      <c r="T391" t="b">
        <f>IF(EXACT(A391, UPPER(A391)), TRUE, FALSE)</f>
        <v>0</v>
      </c>
    </row>
    <row r="392" spans="1:20" x14ac:dyDescent="0.35">
      <c r="A392" t="s">
        <v>389</v>
      </c>
      <c r="B392">
        <v>85.73</v>
      </c>
      <c r="C392" cm="1">
        <f t="array" ref="C392">INDEX(DataAll!$E$2:$E$555,MATCH(LOWER(Data!A392),LOWER(DataAll!$D$2:$D$555),0))</f>
        <v>65.55</v>
      </c>
      <c r="D392" cm="1">
        <f t="array" ref="D392">INDEX(DataAll!$H$2:$H$579,MATCH(LOWER(Data!A392),LOWER(DataAll!$G$2:$G$555),0))</f>
        <v>0.38800000000000001</v>
      </c>
      <c r="E392" cm="1">
        <f t="array" ref="E392">INDEX(DataAll!$K$2:$K$579,MATCH(LOWER(Data!A392),LOWER(DataAll!$J$2:$J$555),0))</f>
        <v>20</v>
      </c>
      <c r="F392" cm="1">
        <f t="array" ref="F392">INDEX(DataAll!$N$2:$N$555,MATCH(LOWER(Data!A392),LOWER(DataAll!$M$2:$M$555),0))</f>
        <v>46.16</v>
      </c>
      <c r="G392" cm="1">
        <f t="array" ref="G392">INDEX(DataAll!$Q$2:$Q$555,MATCH(LOWER(Data!A392),LOWER(DataAll!$P$2:$P$555),0))</f>
        <v>15.43</v>
      </c>
      <c r="H392" cm="1">
        <f t="array" ref="H392">INDEX(DataAll!$T$2:$T$555,MATCH(LOWER(Data!A392),LOWER(DataAll!$S$2:$S$555),0))</f>
        <v>0.33</v>
      </c>
      <c r="I392" cm="1">
        <f t="array" ref="I392">INDEX(DataAll!$W$2:$W$555,MATCH(LOWER(Data!A392),LOWER(DataAll!$V$2:$V$555),0))</f>
        <v>22.1</v>
      </c>
      <c r="J392" cm="1">
        <f t="array" ref="J392">INDEX(DataAll!$Z$2:$Z$555,MATCH(LOWER(Data!A392),LOWER(DataAll!$Y$2:$Y$555),0))</f>
        <v>2.36</v>
      </c>
      <c r="K392" cm="1">
        <f t="array" ref="K392">INDEX(DataAll!$AM$2:$AM$555,MATCH(LOWER(Data!A392),LOWER(DataAll!$AL$2:$AL$555),0))</f>
        <v>8.99</v>
      </c>
      <c r="L392" cm="1">
        <f t="array" ref="L392">INDEX(DataAll!$AJ$2:$AJ$555,MATCH(LOWER(Data!A392),LOWER(DataAll!$AI$2:$AI$555),0))</f>
        <v>18.13</v>
      </c>
      <c r="M392" cm="1">
        <f t="array" ref="M392">INDEX(DataAll!$AP$2:$AP$555,MATCH(LOWER(Data!A392),LOWER(DataAll!$AO$2:$AO$555),0))</f>
        <v>71.72</v>
      </c>
      <c r="N392" cm="1">
        <f t="array" ref="N392">INDEX(DataAll!$AQ$2:$AQ$555,MATCH(LOWER(Data!A392),LOWER(DataAll!$AO$2:$AO$555),0))</f>
        <v>73.739999999999995</v>
      </c>
      <c r="O392" cm="1">
        <f t="array" ref="O392">INDEX(DataAll!$AT$2:$AT$555,MATCH(LOWER(Data!A392),LOWER(DataAll!$AS$2:$AS$555),0))</f>
        <v>9.7799999999999994</v>
      </c>
      <c r="P392" cm="1">
        <f t="array" ref="P392">INDEX(DataAll!$AU$2:$AU$555,MATCH(LOWER(Data!A392),LOWER(DataAll!$AS$2:$AS$555),0))</f>
        <v>8.83</v>
      </c>
      <c r="Q392" cm="1">
        <f t="array" ref="Q392">INDEX(DataAll!$AX$2:$AX$556,MATCH(LOWER(Data!A392),LOWER(DataAll!$AW$2:$AW$556),0))</f>
        <v>41.29</v>
      </c>
      <c r="R392" cm="1">
        <f t="array" ref="R392">INDEX('Longitude and Latitude'!$B$2:$B$579,MATCH(LOWER(Data!A392),LOWER('Longitude and Latitude'!$A$2:$A$579),0))</f>
        <v>2.9042476000000002</v>
      </c>
      <c r="S392" cm="1">
        <f t="array" ref="S392">INDEX('Longitude and Latitude'!$C$2:$C$579,MATCH(LOWER(Data!A392),LOWER('Longitude and Latitude'!$A$2:$A$579),0))</f>
        <v>116.9852422</v>
      </c>
      <c r="T392" t="b">
        <f>IF(EXACT(A392, UPPER(A392)), TRUE, FALSE)</f>
        <v>0</v>
      </c>
    </row>
    <row r="393" spans="1:20" x14ac:dyDescent="0.35">
      <c r="A393" t="s">
        <v>390</v>
      </c>
      <c r="B393">
        <v>78.989999999999995</v>
      </c>
      <c r="C393" cm="1">
        <f t="array" ref="C393">INDEX(DataAll!$E$2:$E$555,MATCH(LOWER(Data!A393),LOWER(DataAll!$D$2:$D$555),0))</f>
        <v>61.54</v>
      </c>
      <c r="D393" cm="1">
        <f t="array" ref="D393">INDEX(DataAll!$H$2:$H$579,MATCH(LOWER(Data!A393),LOWER(DataAll!$G$2:$G$555),0))</f>
        <v>0.48</v>
      </c>
      <c r="E393" cm="1">
        <f t="array" ref="E393">INDEX(DataAll!$K$2:$K$579,MATCH(LOWER(Data!A393),LOWER(DataAll!$J$2:$J$555),0))</f>
        <v>15</v>
      </c>
      <c r="F393" cm="1">
        <f t="array" ref="F393">INDEX(DataAll!$N$2:$N$555,MATCH(LOWER(Data!A393),LOWER(DataAll!$M$2:$M$555),0))</f>
        <v>50.45</v>
      </c>
      <c r="G393" cm="1">
        <f t="array" ref="G393">INDEX(DataAll!$Q$2:$Q$555,MATCH(LOWER(Data!A393),LOWER(DataAll!$P$2:$P$555),0))</f>
        <v>16.78</v>
      </c>
      <c r="H393" cm="1">
        <f t="array" ref="H393">INDEX(DataAll!$T$2:$T$555,MATCH(LOWER(Data!A393),LOWER(DataAll!$S$2:$S$555),0))</f>
        <v>0.29699999999999999</v>
      </c>
      <c r="I393" cm="1">
        <f t="array" ref="I393">INDEX(DataAll!$W$2:$W$555,MATCH(LOWER(Data!A393),LOWER(DataAll!$V$2:$V$555),0))</f>
        <v>24.22</v>
      </c>
      <c r="J393" cm="1">
        <f t="array" ref="J393">INDEX(DataAll!$Z$2:$Z$555,MATCH(LOWER(Data!A393),LOWER(DataAll!$Y$2:$Y$555),0))</f>
        <v>2.99</v>
      </c>
      <c r="K393" cm="1">
        <f t="array" ref="K393">INDEX(DataAll!$AM$2:$AM$555,MATCH(LOWER(Data!A393),LOWER(DataAll!$AL$2:$AL$555),0))</f>
        <v>4.62</v>
      </c>
      <c r="L393" cm="1">
        <f t="array" ref="L393">INDEX(DataAll!$AJ$2:$AJ$555,MATCH(LOWER(Data!A393),LOWER(DataAll!$AI$2:$AI$555),0))</f>
        <v>19.84</v>
      </c>
      <c r="M393" cm="1">
        <f t="array" ref="M393">INDEX(DataAll!$AP$2:$AP$555,MATCH(LOWER(Data!A393),LOWER(DataAll!$AO$2:$AO$555),0))</f>
        <v>70.77</v>
      </c>
      <c r="N393" cm="1">
        <f t="array" ref="N393">INDEX(DataAll!$AQ$2:$AQ$555,MATCH(LOWER(Data!A393),LOWER(DataAll!$AO$2:$AO$555),0))</f>
        <v>71.7</v>
      </c>
      <c r="O393" cm="1">
        <f t="array" ref="O393">INDEX(DataAll!$AT$2:$AT$555,MATCH(LOWER(Data!A393),LOWER(DataAll!$AS$2:$AS$555),0))</f>
        <v>9.6300000000000008</v>
      </c>
      <c r="P393" cm="1">
        <f t="array" ref="P393">INDEX(DataAll!$AU$2:$AU$555,MATCH(LOWER(Data!A393),LOWER(DataAll!$AS$2:$AS$555),0))</f>
        <v>8.51</v>
      </c>
      <c r="Q393" cm="1">
        <f t="array" ref="Q393">INDEX(DataAll!$AX$2:$AX$556,MATCH(LOWER(Data!A393),LOWER(DataAll!$AW$2:$AW$556),0))</f>
        <v>38.64</v>
      </c>
      <c r="R393" cm="1">
        <f t="array" ref="R393">INDEX('Longitude and Latitude'!$B$2:$B$579,MATCH(LOWER(Data!A393),LOWER('Longitude and Latitude'!$A$2:$A$579),0))</f>
        <v>3.5518689999999999</v>
      </c>
      <c r="S393" cm="1">
        <f t="array" ref="S393">INDEX('Longitude and Latitude'!$C$2:$C$579,MATCH(LOWER(Data!A393),LOWER('Longitude and Latitude'!$A$2:$A$579),0))</f>
        <v>117.0794082</v>
      </c>
      <c r="T393" t="b">
        <f>IF(EXACT(A393, UPPER(A393)), TRUE, FALSE)</f>
        <v>0</v>
      </c>
    </row>
    <row r="394" spans="1:20" x14ac:dyDescent="0.35">
      <c r="A394" t="s">
        <v>391</v>
      </c>
      <c r="B394">
        <v>83.97</v>
      </c>
      <c r="C394" cm="1">
        <f t="array" ref="C394">INDEX(DataAll!$E$2:$E$555,MATCH(LOWER(Data!A394),LOWER(DataAll!$D$2:$D$555),0))</f>
        <v>78.680000000000007</v>
      </c>
      <c r="D394" cm="1">
        <f t="array" ref="D394">INDEX(DataAll!$H$2:$H$579,MATCH(LOWER(Data!A394),LOWER(DataAll!$G$2:$G$555),0))</f>
        <v>0.37</v>
      </c>
      <c r="E394" cm="1">
        <f t="array" ref="E394">INDEX(DataAll!$K$2:$K$579,MATCH(LOWER(Data!A394),LOWER(DataAll!$J$2:$J$555),0))</f>
        <v>32</v>
      </c>
      <c r="F394" cm="1">
        <f t="array" ref="F394">INDEX(DataAll!$N$2:$N$555,MATCH(LOWER(Data!A394),LOWER(DataAll!$M$2:$M$555),0))</f>
        <v>49.12</v>
      </c>
      <c r="G394" cm="1">
        <f t="array" ref="G394">INDEX(DataAll!$Q$2:$Q$555,MATCH(LOWER(Data!A394),LOWER(DataAll!$P$2:$P$555),0))</f>
        <v>19.75</v>
      </c>
      <c r="H394" cm="1">
        <f t="array" ref="H394">INDEX(DataAll!$T$2:$T$555,MATCH(LOWER(Data!A394),LOWER(DataAll!$S$2:$S$555),0))</f>
        <v>0.33500000000000002</v>
      </c>
      <c r="I394" cm="1">
        <f t="array" ref="I394">INDEX(DataAll!$W$2:$W$555,MATCH(LOWER(Data!A394),LOWER(DataAll!$V$2:$V$555),0))</f>
        <v>27.25</v>
      </c>
      <c r="J394" cm="1">
        <f t="array" ref="J394">INDEX(DataAll!$Z$2:$Z$555,MATCH(LOWER(Data!A394),LOWER(DataAll!$Y$2:$Y$555),0))</f>
        <v>2.38</v>
      </c>
      <c r="K394" cm="1">
        <f t="array" ref="K394">INDEX(DataAll!$AM$2:$AM$555,MATCH(LOWER(Data!A394),LOWER(DataAll!$AL$2:$AL$555),0))</f>
        <v>5.53</v>
      </c>
      <c r="L394" cm="1">
        <f t="array" ref="L394">INDEX(DataAll!$AJ$2:$AJ$555,MATCH(LOWER(Data!A394),LOWER(DataAll!$AI$2:$AI$555),0))</f>
        <v>21.43</v>
      </c>
      <c r="M394" cm="1">
        <f t="array" ref="M394">INDEX(DataAll!$AP$2:$AP$555,MATCH(LOWER(Data!A394),LOWER(DataAll!$AO$2:$AO$555),0))</f>
        <v>70.650000000000006</v>
      </c>
      <c r="N394" cm="1">
        <f t="array" ref="N394">INDEX(DataAll!$AQ$2:$AQ$555,MATCH(LOWER(Data!A394),LOWER(DataAll!$AO$2:$AO$555),0))</f>
        <v>72.239999999999995</v>
      </c>
      <c r="O394" cm="1">
        <f t="array" ref="O394">INDEX(DataAll!$AT$2:$AT$555,MATCH(LOWER(Data!A394),LOWER(DataAll!$AS$2:$AS$555),0))</f>
        <v>8.6199999999999992</v>
      </c>
      <c r="P394" cm="1">
        <f t="array" ref="P394">INDEX(DataAll!$AU$2:$AU$555,MATCH(LOWER(Data!A394),LOWER(DataAll!$AS$2:$AS$555),0))</f>
        <v>8.1999999999999993</v>
      </c>
      <c r="Q394" cm="1">
        <f t="array" ref="Q394">INDEX(DataAll!$AX$2:$AX$556,MATCH(LOWER(Data!A394),LOWER(DataAll!$AW$2:$AW$556),0))</f>
        <v>32.869999999999997</v>
      </c>
      <c r="R394" cm="1">
        <f t="array" ref="R394">INDEX('Longitude and Latitude'!$B$2:$B$579,MATCH(LOWER(Data!A394),LOWER('Longitude and Latitude'!$A$2:$A$579),0))</f>
        <v>4.0609226999999999</v>
      </c>
      <c r="S394" cm="1">
        <f t="array" ref="S394">INDEX('Longitude and Latitude'!$C$2:$C$579,MATCH(LOWER(Data!A394),LOWER('Longitude and Latitude'!$A$2:$A$579),0))</f>
        <v>117.66695199999999</v>
      </c>
      <c r="T394" t="b">
        <f>IF(EXACT(A394, UPPER(A394)), TRUE, FALSE)</f>
        <v>0</v>
      </c>
    </row>
    <row r="395" spans="1:20" x14ac:dyDescent="0.35">
      <c r="A395" t="s">
        <v>392</v>
      </c>
      <c r="B395">
        <v>92.73</v>
      </c>
      <c r="C395" cm="1">
        <f t="array" ref="C395">INDEX(DataAll!$E$2:$E$555,MATCH(LOWER(Data!A395),LOWER(DataAll!$D$2:$D$555),0))</f>
        <v>58.61</v>
      </c>
      <c r="D395" cm="1">
        <f t="array" ref="D395">INDEX(DataAll!$H$2:$H$579,MATCH(LOWER(Data!A395),LOWER(DataAll!$G$2:$G$555),0))</f>
        <v>0.36699999999999999</v>
      </c>
      <c r="E395" cm="1">
        <f t="array" ref="E395">INDEX(DataAll!$K$2:$K$579,MATCH(LOWER(Data!A395),LOWER(DataAll!$J$2:$J$555),0))</f>
        <v>10</v>
      </c>
      <c r="F395" cm="1">
        <f t="array" ref="F395">INDEX(DataAll!$N$2:$N$555,MATCH(LOWER(Data!A395),LOWER(DataAll!$M$2:$M$555),0))</f>
        <v>45.92</v>
      </c>
      <c r="G395" cm="1">
        <f t="array" ref="G395">INDEX(DataAll!$Q$2:$Q$555,MATCH(LOWER(Data!A395),LOWER(DataAll!$P$2:$P$555),0))</f>
        <v>12.82</v>
      </c>
      <c r="H395" cm="1">
        <f t="array" ref="H395">INDEX(DataAll!$T$2:$T$555,MATCH(LOWER(Data!A395),LOWER(DataAll!$S$2:$S$555),0))</f>
        <v>0.20899999999999999</v>
      </c>
      <c r="I395" cm="1">
        <f t="array" ref="I395">INDEX(DataAll!$W$2:$W$555,MATCH(LOWER(Data!A395),LOWER(DataAll!$V$2:$V$555),0))</f>
        <v>25.89</v>
      </c>
      <c r="J395" cm="1">
        <f t="array" ref="J395">INDEX(DataAll!$Z$2:$Z$555,MATCH(LOWER(Data!A395),LOWER(DataAll!$Y$2:$Y$555),0))</f>
        <v>2.29</v>
      </c>
      <c r="K395" cm="1">
        <f t="array" ref="K395">INDEX(DataAll!$AM$2:$AM$555,MATCH(LOWER(Data!A395),LOWER(DataAll!$AL$2:$AL$555),0))</f>
        <v>6.1</v>
      </c>
      <c r="L395" cm="1">
        <f t="array" ref="L395">INDEX(DataAll!$AJ$2:$AJ$555,MATCH(LOWER(Data!A395),LOWER(DataAll!$AI$2:$AI$555),0))</f>
        <v>16.16</v>
      </c>
      <c r="M395" cm="1">
        <f t="array" ref="M395">INDEX(DataAll!$AP$2:$AP$555,MATCH(LOWER(Data!A395),LOWER(DataAll!$AO$2:$AO$555),0))</f>
        <v>73.510000000000005</v>
      </c>
      <c r="N395" cm="1">
        <f t="array" ref="N395">INDEX(DataAll!$AQ$2:$AQ$555,MATCH(LOWER(Data!A395),LOWER(DataAll!$AO$2:$AO$555),0))</f>
        <v>74.63</v>
      </c>
      <c r="O395" cm="1">
        <f t="array" ref="O395">INDEX(DataAll!$AT$2:$AT$555,MATCH(LOWER(Data!A395),LOWER(DataAll!$AS$2:$AS$555),0))</f>
        <v>10.65</v>
      </c>
      <c r="P395" cm="1">
        <f t="array" ref="P395">INDEX(DataAll!$AU$2:$AU$555,MATCH(LOWER(Data!A395),LOWER(DataAll!$AS$2:$AS$555),0))</f>
        <v>10.29</v>
      </c>
      <c r="Q395" cm="1">
        <f t="array" ref="Q395">INDEX(DataAll!$AX$2:$AX$556,MATCH(LOWER(Data!A395),LOWER(DataAll!$AW$2:$AW$556),0))</f>
        <v>49.47</v>
      </c>
      <c r="R395" cm="1">
        <f t="array" ref="R395">INDEX('Longitude and Latitude'!$B$2:$B$579,MATCH(LOWER(Data!A395),LOWER('Longitude and Latitude'!$A$2:$A$579),0))</f>
        <v>3.3</v>
      </c>
      <c r="S395" cm="1">
        <f t="array" ref="S395">INDEX('Longitude and Latitude'!$C$2:$C$579,MATCH(LOWER(Data!A395),LOWER('Longitude and Latitude'!$A$2:$A$579),0))</f>
        <v>117.6333333</v>
      </c>
      <c r="T395" t="b">
        <f>IF(EXACT(A395, UPPER(A395)), TRUE, FALSE)</f>
        <v>0</v>
      </c>
    </row>
    <row r="396" spans="1:20" x14ac:dyDescent="0.35">
      <c r="A396" t="s">
        <v>393</v>
      </c>
      <c r="B396">
        <v>95.06</v>
      </c>
      <c r="C396" cm="1">
        <f t="array" ref="C396">INDEX(DataAll!$E$2:$E$555,MATCH(LOWER(Data!A396),LOWER(DataAll!$D$2:$D$555),0))</f>
        <v>80.56</v>
      </c>
      <c r="D396" cm="1">
        <f t="array" ref="D396">INDEX(DataAll!$H$2:$H$579,MATCH(LOWER(Data!A396),LOWER(DataAll!$G$2:$G$555),0))</f>
        <v>0.42199999999999999</v>
      </c>
      <c r="E396" cm="1">
        <f t="array" ref="E396">INDEX(DataAll!$K$2:$K$579,MATCH(LOWER(Data!A396),LOWER(DataAll!$J$2:$J$555),0))</f>
        <v>32.56</v>
      </c>
      <c r="F396" cm="1">
        <f t="array" ref="F396">INDEX(DataAll!$N$2:$N$555,MATCH(LOWER(Data!A396),LOWER(DataAll!$M$2:$M$555),0))</f>
        <v>52.3</v>
      </c>
      <c r="G396" t="e" cm="1">
        <f t="array" ref="G396">INDEX(DataAll!$Q$2:$Q$555,MATCH(LOWER(Data!A396),LOWER(DataAll!$P$2:$P$555),0))</f>
        <v>#N/A</v>
      </c>
      <c r="H396" cm="1">
        <f t="array" ref="H396">INDEX(DataAll!$T$2:$T$555,MATCH(LOWER(Data!A396),LOWER(DataAll!$S$2:$S$555),0))</f>
        <v>0.30399999999999999</v>
      </c>
      <c r="I396" cm="1">
        <f t="array" ref="I396">INDEX(DataAll!$W$2:$W$555,MATCH(LOWER(Data!A396),LOWER(DataAll!$V$2:$V$555),0))</f>
        <v>31.72</v>
      </c>
      <c r="J396" cm="1">
        <f t="array" ref="J396">INDEX(DataAll!$Z$2:$Z$555,MATCH(LOWER(Data!A396),LOWER(DataAll!$Y$2:$Y$555),0))</f>
        <v>2.1</v>
      </c>
      <c r="K396" cm="1">
        <f t="array" ref="K396">INDEX(DataAll!$AM$2:$AM$555,MATCH(LOWER(Data!A396),LOWER(DataAll!$AL$2:$AL$555),0))</f>
        <v>7.38</v>
      </c>
      <c r="L396" cm="1">
        <f t="array" ref="L396">INDEX(DataAll!$AJ$2:$AJ$555,MATCH(LOWER(Data!A396),LOWER(DataAll!$AI$2:$AI$555),0))</f>
        <v>20.399999999999999</v>
      </c>
      <c r="M396" cm="1">
        <f t="array" ref="M396">INDEX(DataAll!$AP$2:$AP$555,MATCH(LOWER(Data!A396),LOWER(DataAll!$AO$2:$AO$555),0))</f>
        <v>70.44</v>
      </c>
      <c r="N396" cm="1">
        <f t="array" ref="N396">INDEX(DataAll!$AQ$2:$AQ$555,MATCH(LOWER(Data!A396),LOWER(DataAll!$AO$2:$AO$555),0))</f>
        <v>74.459999999999994</v>
      </c>
      <c r="O396" cm="1">
        <f t="array" ref="O396">INDEX(DataAll!$AT$2:$AT$555,MATCH(LOWER(Data!A396),LOWER(DataAll!$AS$2:$AS$555),0))</f>
        <v>9.6999999999999993</v>
      </c>
      <c r="P396" cm="1">
        <f t="array" ref="P396">INDEX(DataAll!$AU$2:$AU$555,MATCH(LOWER(Data!A396),LOWER(DataAll!$AS$2:$AS$555),0))</f>
        <v>9.85</v>
      </c>
      <c r="Q396" cm="1">
        <f t="array" ref="Q396">INDEX(DataAll!$AX$2:$AX$556,MATCH(LOWER(Data!A396),LOWER(DataAll!$AW$2:$AW$556),0))</f>
        <v>48.69</v>
      </c>
      <c r="R396" cm="1">
        <f t="array" ref="R396">INDEX('Longitude and Latitude'!$B$2:$B$579,MATCH(LOWER(Data!A396),LOWER('Longitude and Latitude'!$A$2:$A$579),0))</f>
        <v>0.62469319999999995</v>
      </c>
      <c r="S396" cm="1">
        <f t="array" ref="S396">INDEX('Longitude and Latitude'!$C$2:$C$579,MATCH(LOWER(Data!A396),LOWER('Longitude and Latitude'!$A$2:$A$579),0))</f>
        <v>123.9750018</v>
      </c>
      <c r="T396" t="b">
        <f>IF(EXACT(A396, UPPER(A396)), TRUE, FALSE)</f>
        <v>1</v>
      </c>
    </row>
    <row r="397" spans="1:20" x14ac:dyDescent="0.35">
      <c r="A397" t="s">
        <v>394</v>
      </c>
      <c r="B397">
        <v>88.55</v>
      </c>
      <c r="C397" cm="1">
        <f t="array" ref="C397">INDEX(DataAll!$E$2:$E$555,MATCH(LOWER(Data!A397),LOWER(DataAll!$D$2:$D$555),0))</f>
        <v>76.790000000000006</v>
      </c>
      <c r="D397" cm="1">
        <f t="array" ref="D397">INDEX(DataAll!$H$2:$H$579,MATCH(LOWER(Data!A397),LOWER(DataAll!$G$2:$G$555),0))</f>
        <v>0.52800000000000002</v>
      </c>
      <c r="E397" cm="1">
        <f t="array" ref="E397">INDEX(DataAll!$K$2:$K$579,MATCH(LOWER(Data!A397),LOWER(DataAll!$J$2:$J$555),0))</f>
        <v>34.479999999999997</v>
      </c>
      <c r="F397" cm="1">
        <f t="array" ref="F397">INDEX(DataAll!$N$2:$N$555,MATCH(LOWER(Data!A397),LOWER(DataAll!$M$2:$M$555),0))</f>
        <v>60.18</v>
      </c>
      <c r="G397" cm="1">
        <f t="array" ref="G397">INDEX(DataAll!$Q$2:$Q$555,MATCH(LOWER(Data!A397),LOWER(DataAll!$P$2:$P$555),0))</f>
        <v>6.38</v>
      </c>
      <c r="H397" cm="1">
        <f t="array" ref="H397">INDEX(DataAll!$T$2:$T$555,MATCH(LOWER(Data!A397),LOWER(DataAll!$S$2:$S$555),0))</f>
        <v>0.40300000000000002</v>
      </c>
      <c r="I397" cm="1">
        <f t="array" ref="I397">INDEX(DataAll!$W$2:$W$555,MATCH(LOWER(Data!A397),LOWER(DataAll!$V$2:$V$555),0))</f>
        <v>27.92</v>
      </c>
      <c r="J397" cm="1">
        <f t="array" ref="J397">INDEX(DataAll!$Z$2:$Z$555,MATCH(LOWER(Data!A397),LOWER(DataAll!$Y$2:$Y$555),0))</f>
        <v>2.17</v>
      </c>
      <c r="K397" cm="1">
        <f t="array" ref="K397">INDEX(DataAll!$AM$2:$AM$555,MATCH(LOWER(Data!A397),LOWER(DataAll!$AL$2:$AL$555),0))</f>
        <v>7.37</v>
      </c>
      <c r="L397" cm="1">
        <f t="array" ref="L397">INDEX(DataAll!$AJ$2:$AJ$555,MATCH(LOWER(Data!A397),LOWER(DataAll!$AI$2:$AI$555),0))</f>
        <v>28.86</v>
      </c>
      <c r="M397" cm="1">
        <f t="array" ref="M397">INDEX(DataAll!$AP$2:$AP$555,MATCH(LOWER(Data!A397),LOWER(DataAll!$AO$2:$AO$555),0))</f>
        <v>68.150000000000006</v>
      </c>
      <c r="N397" cm="1">
        <f t="array" ref="N397">INDEX(DataAll!$AQ$2:$AQ$555,MATCH(LOWER(Data!A397),LOWER(DataAll!$AO$2:$AO$555),0))</f>
        <v>72.09</v>
      </c>
      <c r="O397" cm="1">
        <f t="array" ref="O397">INDEX(DataAll!$AT$2:$AT$555,MATCH(LOWER(Data!A397),LOWER(DataAll!$AS$2:$AS$555),0))</f>
        <v>8.2899999999999991</v>
      </c>
      <c r="P397" cm="1">
        <f t="array" ref="P397">INDEX(DataAll!$AU$2:$AU$555,MATCH(LOWER(Data!A397),LOWER(DataAll!$AS$2:$AS$555),0))</f>
        <v>8.44</v>
      </c>
      <c r="Q397" cm="1">
        <f t="array" ref="Q397">INDEX(DataAll!$AX$2:$AX$556,MATCH(LOWER(Data!A397),LOWER(DataAll!$AW$2:$AW$556),0))</f>
        <v>30.48</v>
      </c>
      <c r="R397" cm="1">
        <f t="array" ref="R397">INDEX('Longitude and Latitude'!$B$2:$B$579,MATCH(LOWER(Data!A397),LOWER('Longitude and Latitude'!$A$2:$A$579),0))</f>
        <v>0.68709940000000003</v>
      </c>
      <c r="S397" cm="1">
        <f t="array" ref="S397">INDEX('Longitude and Latitude'!$C$2:$C$579,MATCH(LOWER(Data!A397),LOWER('Longitude and Latitude'!$A$2:$A$579),0))</f>
        <v>124.0641419</v>
      </c>
      <c r="T397" t="b">
        <f>IF(EXACT(A397, UPPER(A397)), TRUE, FALSE)</f>
        <v>0</v>
      </c>
    </row>
    <row r="398" spans="1:20" x14ac:dyDescent="0.35">
      <c r="A398" t="s">
        <v>395</v>
      </c>
      <c r="B398">
        <v>96.47</v>
      </c>
      <c r="C398" cm="1">
        <f t="array" ref="C398">INDEX(DataAll!$E$2:$E$555,MATCH(LOWER(Data!A398),LOWER(DataAll!$D$2:$D$555),0))</f>
        <v>87.8</v>
      </c>
      <c r="D398" cm="1">
        <f t="array" ref="D398">INDEX(DataAll!$H$2:$H$579,MATCH(LOWER(Data!A398),LOWER(DataAll!$G$2:$G$555),0))</f>
        <v>0.35899999999999999</v>
      </c>
      <c r="E398" cm="1">
        <f t="array" ref="E398">INDEX(DataAll!$K$2:$K$579,MATCH(LOWER(Data!A398),LOWER(DataAll!$J$2:$J$555),0))</f>
        <v>48.57</v>
      </c>
      <c r="F398" cm="1">
        <f t="array" ref="F398">INDEX(DataAll!$N$2:$N$555,MATCH(LOWER(Data!A398),LOWER(DataAll!$M$2:$M$555),0))</f>
        <v>54.71</v>
      </c>
      <c r="G398" cm="1">
        <f t="array" ref="G398">INDEX(DataAll!$Q$2:$Q$555,MATCH(LOWER(Data!A398),LOWER(DataAll!$P$2:$P$555),0))</f>
        <v>5.42</v>
      </c>
      <c r="H398" cm="1">
        <f t="array" ref="H398">INDEX(DataAll!$T$2:$T$555,MATCH(LOWER(Data!A398),LOWER(DataAll!$S$2:$S$555),0))</f>
        <v>0.27</v>
      </c>
      <c r="I398" cm="1">
        <f t="array" ref="I398">INDEX(DataAll!$W$2:$W$555,MATCH(LOWER(Data!A398),LOWER(DataAll!$V$2:$V$555),0))</f>
        <v>39.92</v>
      </c>
      <c r="J398" cm="1">
        <f t="array" ref="J398">INDEX(DataAll!$Z$2:$Z$555,MATCH(LOWER(Data!A398),LOWER(DataAll!$Y$2:$Y$555),0))</f>
        <v>1.98</v>
      </c>
      <c r="K398" cm="1">
        <f t="array" ref="K398">INDEX(DataAll!$AM$2:$AM$555,MATCH(LOWER(Data!A398),LOWER(DataAll!$AL$2:$AL$555),0))</f>
        <v>6.87</v>
      </c>
      <c r="L398" cm="1">
        <f t="array" ref="L398">INDEX(DataAll!$AJ$2:$AJ$555,MATCH(LOWER(Data!A398),LOWER(DataAll!$AI$2:$AI$555),0))</f>
        <v>15.22</v>
      </c>
      <c r="M398" cm="1">
        <f t="array" ref="M398">INDEX(DataAll!$AP$2:$AP$555,MATCH(LOWER(Data!A398),LOWER(DataAll!$AO$2:$AO$555),0))</f>
        <v>69.87</v>
      </c>
      <c r="N398" cm="1">
        <f t="array" ref="N398">INDEX(DataAll!$AQ$2:$AQ$555,MATCH(LOWER(Data!A398),LOWER(DataAll!$AO$2:$AO$555),0))</f>
        <v>73.86</v>
      </c>
      <c r="O398" cm="1">
        <f t="array" ref="O398">INDEX(DataAll!$AT$2:$AT$555,MATCH(LOWER(Data!A398),LOWER(DataAll!$AS$2:$AS$555),0))</f>
        <v>10.050000000000001</v>
      </c>
      <c r="P398" cm="1">
        <f t="array" ref="P398">INDEX(DataAll!$AU$2:$AU$555,MATCH(LOWER(Data!A398),LOWER(DataAll!$AS$2:$AS$555),0))</f>
        <v>10.15</v>
      </c>
      <c r="Q398" cm="1">
        <f t="array" ref="Q398">INDEX(DataAll!$AX$2:$AX$556,MATCH(LOWER(Data!A398),LOWER(DataAll!$AW$2:$AW$556),0))</f>
        <v>54.97</v>
      </c>
      <c r="R398" cm="1">
        <f t="array" ref="R398">INDEX('Longitude and Latitude'!$B$2:$B$579,MATCH(LOWER(Data!A398),LOWER('Longitude and Latitude'!$A$2:$A$579),0))</f>
        <v>1</v>
      </c>
      <c r="S398" cm="1">
        <f t="array" ref="S398">INDEX('Longitude and Latitude'!$C$2:$C$579,MATCH(LOWER(Data!A398),LOWER('Longitude and Latitude'!$A$2:$A$579),0))</f>
        <v>124.58333330000001</v>
      </c>
      <c r="T398" t="b">
        <f>IF(EXACT(A398, UPPER(A398)), TRUE, FALSE)</f>
        <v>0</v>
      </c>
    </row>
    <row r="399" spans="1:20" x14ac:dyDescent="0.35">
      <c r="A399" t="s">
        <v>396</v>
      </c>
      <c r="B399">
        <v>95.53</v>
      </c>
      <c r="C399" cm="1">
        <f t="array" ref="C399">INDEX(DataAll!$E$2:$E$555,MATCH(LOWER(Data!A399),LOWER(DataAll!$D$2:$D$555),0))</f>
        <v>62.99</v>
      </c>
      <c r="D399" cm="1">
        <f t="array" ref="D399">INDEX(DataAll!$H$2:$H$579,MATCH(LOWER(Data!A399),LOWER(DataAll!$G$2:$G$555),0))</f>
        <v>0.47699999999999998</v>
      </c>
      <c r="E399" cm="1">
        <f t="array" ref="E399">INDEX(DataAll!$K$2:$K$579,MATCH(LOWER(Data!A399),LOWER(DataAll!$J$2:$J$555),0))</f>
        <v>12</v>
      </c>
      <c r="F399" cm="1">
        <f t="array" ref="F399">INDEX(DataAll!$N$2:$N$555,MATCH(LOWER(Data!A399),LOWER(DataAll!$M$2:$M$555),0))</f>
        <v>53.53</v>
      </c>
      <c r="G399" cm="1">
        <f t="array" ref="G399">INDEX(DataAll!$Q$2:$Q$555,MATCH(LOWER(Data!A399),LOWER(DataAll!$P$2:$P$555),0))</f>
        <v>11.12</v>
      </c>
      <c r="H399" cm="1">
        <f t="array" ref="H399">INDEX(DataAll!$T$2:$T$555,MATCH(LOWER(Data!A399),LOWER(DataAll!$S$2:$S$555),0))</f>
        <v>0.218</v>
      </c>
      <c r="I399" cm="1">
        <f t="array" ref="I399">INDEX(DataAll!$W$2:$W$555,MATCH(LOWER(Data!A399),LOWER(DataAll!$V$2:$V$555),0))</f>
        <v>29.48</v>
      </c>
      <c r="J399" cm="1">
        <f t="array" ref="J399">INDEX(DataAll!$Z$2:$Z$555,MATCH(LOWER(Data!A399),LOWER(DataAll!$Y$2:$Y$555),0))</f>
        <v>2.08</v>
      </c>
      <c r="K399" cm="1">
        <f t="array" ref="K399">INDEX(DataAll!$AM$2:$AM$555,MATCH(LOWER(Data!A399),LOWER(DataAll!$AL$2:$AL$555),0))</f>
        <v>11.01</v>
      </c>
      <c r="L399" cm="1">
        <f t="array" ref="L399">INDEX(DataAll!$AJ$2:$AJ$555,MATCH(LOWER(Data!A399),LOWER(DataAll!$AI$2:$AI$555),0))</f>
        <v>17.36</v>
      </c>
      <c r="M399" cm="1">
        <f t="array" ref="M399">INDEX(DataAll!$AP$2:$AP$555,MATCH(LOWER(Data!A399),LOWER(DataAll!$AO$2:$AO$555),0))</f>
        <v>68.849999999999994</v>
      </c>
      <c r="N399" cm="1">
        <f t="array" ref="N399">INDEX(DataAll!$AQ$2:$AQ$555,MATCH(LOWER(Data!A399),LOWER(DataAll!$AO$2:$AO$555),0))</f>
        <v>72.8</v>
      </c>
      <c r="O399" cm="1">
        <f t="array" ref="O399">INDEX(DataAll!$AT$2:$AT$555,MATCH(LOWER(Data!A399),LOWER(DataAll!$AS$2:$AS$555),0))</f>
        <v>8.43</v>
      </c>
      <c r="P399" cm="1">
        <f t="array" ref="P399">INDEX(DataAll!$AU$2:$AU$555,MATCH(LOWER(Data!A399),LOWER(DataAll!$AS$2:$AS$555),0))</f>
        <v>8.81</v>
      </c>
      <c r="Q399" cm="1">
        <f t="array" ref="Q399">INDEX(DataAll!$AX$2:$AX$556,MATCH(LOWER(Data!A399),LOWER(DataAll!$AW$2:$AW$556),0))</f>
        <v>41.2</v>
      </c>
      <c r="R399" cm="1">
        <f t="array" ref="R399">INDEX('Longitude and Latitude'!$B$2:$B$579,MATCH(LOWER(Data!A399),LOWER('Longitude and Latitude'!$A$2:$A$579),0))</f>
        <v>3.5303211999999999</v>
      </c>
      <c r="S399" cm="1">
        <f t="array" ref="S399">INDEX('Longitude and Latitude'!$C$2:$C$579,MATCH(LOWER(Data!A399),LOWER('Longitude and Latitude'!$A$2:$A$579),0))</f>
        <v>125.5438967</v>
      </c>
      <c r="T399" t="b">
        <f>IF(EXACT(A399, UPPER(A399)), TRUE, FALSE)</f>
        <v>0</v>
      </c>
    </row>
    <row r="400" spans="1:20" x14ac:dyDescent="0.35">
      <c r="A400" t="s">
        <v>397</v>
      </c>
      <c r="B400">
        <v>98.05</v>
      </c>
      <c r="C400" cm="1">
        <f t="array" ref="C400">INDEX(DataAll!$E$2:$E$555,MATCH(LOWER(Data!A400),LOWER(DataAll!$D$2:$D$555),0))</f>
        <v>68.209999999999994</v>
      </c>
      <c r="D400" cm="1">
        <f t="array" ref="D400">INDEX(DataAll!$H$2:$H$579,MATCH(LOWER(Data!A400),LOWER(DataAll!$G$2:$G$555),0))</f>
        <v>0.49399999999999999</v>
      </c>
      <c r="E400" cm="1">
        <f t="array" ref="E400">INDEX(DataAll!$K$2:$K$579,MATCH(LOWER(Data!A400),LOWER(DataAll!$J$2:$J$555),0))</f>
        <v>20</v>
      </c>
      <c r="F400" cm="1">
        <f t="array" ref="F400">INDEX(DataAll!$N$2:$N$555,MATCH(LOWER(Data!A400),LOWER(DataAll!$M$2:$M$555),0))</f>
        <v>55.94</v>
      </c>
      <c r="G400" cm="1">
        <f t="array" ref="G400">INDEX(DataAll!$Q$2:$Q$555,MATCH(LOWER(Data!A400),LOWER(DataAll!$P$2:$P$555),0))</f>
        <v>7.34</v>
      </c>
      <c r="H400" cm="1">
        <f t="array" ref="H400">INDEX(DataAll!$T$2:$T$555,MATCH(LOWER(Data!A400),LOWER(DataAll!$S$2:$S$555),0))</f>
        <v>0.27700000000000002</v>
      </c>
      <c r="I400" cm="1">
        <f t="array" ref="I400">INDEX(DataAll!$W$2:$W$555,MATCH(LOWER(Data!A400),LOWER(DataAll!$V$2:$V$555),0))</f>
        <v>27.7</v>
      </c>
      <c r="J400" cm="1">
        <f t="array" ref="J400">INDEX(DataAll!$Z$2:$Z$555,MATCH(LOWER(Data!A400),LOWER(DataAll!$Y$2:$Y$555),0))</f>
        <v>2.1800000000000002</v>
      </c>
      <c r="K400" cm="1">
        <f t="array" ref="K400">INDEX(DataAll!$AM$2:$AM$555,MATCH(LOWER(Data!A400),LOWER(DataAll!$AL$2:$AL$555),0))</f>
        <v>8.4600000000000009</v>
      </c>
      <c r="L400" cm="1">
        <f t="array" ref="L400">INDEX(DataAll!$AJ$2:$AJ$555,MATCH(LOWER(Data!A400),LOWER(DataAll!$AI$2:$AI$555),0))</f>
        <v>23.05</v>
      </c>
      <c r="M400" cm="1">
        <f t="array" ref="M400">INDEX(DataAll!$AP$2:$AP$555,MATCH(LOWER(Data!A400),LOWER(DataAll!$AO$2:$AO$555),0))</f>
        <v>68.98</v>
      </c>
      <c r="N400" cm="1">
        <f t="array" ref="N400">INDEX(DataAll!$AQ$2:$AQ$555,MATCH(LOWER(Data!A400),LOWER(DataAll!$AO$2:$AO$555),0))</f>
        <v>72.930000000000007</v>
      </c>
      <c r="O400" cm="1">
        <f t="array" ref="O400">INDEX(DataAll!$AT$2:$AT$555,MATCH(LOWER(Data!A400),LOWER(DataAll!$AS$2:$AS$555),0))</f>
        <v>10.06</v>
      </c>
      <c r="P400" cm="1">
        <f t="array" ref="P400">INDEX(DataAll!$AU$2:$AU$555,MATCH(LOWER(Data!A400),LOWER(DataAll!$AS$2:$AS$555),0))</f>
        <v>9.85</v>
      </c>
      <c r="Q400" cm="1">
        <f t="array" ref="Q400">INDEX(DataAll!$AX$2:$AX$556,MATCH(LOWER(Data!A400),LOWER(DataAll!$AW$2:$AW$556),0))</f>
        <v>45.9</v>
      </c>
      <c r="R400" cm="1">
        <f t="array" ref="R400">INDEX('Longitude and Latitude'!$B$2:$B$579,MATCH(LOWER(Data!A400),LOWER('Longitude and Latitude'!$A$2:$A$579),0))</f>
        <v>4.0919999999999996</v>
      </c>
      <c r="S400" cm="1">
        <f t="array" ref="S400">INDEX('Longitude and Latitude'!$C$2:$C$579,MATCH(LOWER(Data!A400),LOWER('Longitude and Latitude'!$A$2:$A$579),0))</f>
        <v>126.768</v>
      </c>
      <c r="T400" t="b">
        <f>IF(EXACT(A400, UPPER(A400)), TRUE, FALSE)</f>
        <v>0</v>
      </c>
    </row>
    <row r="401" spans="1:20" x14ac:dyDescent="0.35">
      <c r="A401" t="s">
        <v>398</v>
      </c>
      <c r="B401">
        <v>89.26</v>
      </c>
      <c r="C401" cm="1">
        <f t="array" ref="C401">INDEX(DataAll!$E$2:$E$555,MATCH(LOWER(Data!A401),LOWER(DataAll!$D$2:$D$555),0))</f>
        <v>73.84</v>
      </c>
      <c r="D401" cm="1">
        <f t="array" ref="D401">INDEX(DataAll!$H$2:$H$579,MATCH(LOWER(Data!A401),LOWER(DataAll!$G$2:$G$555),0))</f>
        <v>0.44500000000000001</v>
      </c>
      <c r="E401" cm="1">
        <f t="array" ref="E401">INDEX(DataAll!$K$2:$K$579,MATCH(LOWER(Data!A401),LOWER(DataAll!$J$2:$J$555),0))</f>
        <v>27.59</v>
      </c>
      <c r="F401" cm="1">
        <f t="array" ref="F401">INDEX(DataAll!$N$2:$N$555,MATCH(LOWER(Data!A401),LOWER(DataAll!$M$2:$M$555),0))</f>
        <v>65.89</v>
      </c>
      <c r="G401" cm="1">
        <f t="array" ref="G401">INDEX(DataAll!$Q$2:$Q$555,MATCH(LOWER(Data!A401),LOWER(DataAll!$P$2:$P$555),0))</f>
        <v>9.15</v>
      </c>
      <c r="H401" cm="1">
        <f t="array" ref="H401">INDEX(DataAll!$T$2:$T$555,MATCH(LOWER(Data!A401),LOWER(DataAll!$S$2:$S$555),0))</f>
        <v>0.30099999999999999</v>
      </c>
      <c r="I401" cm="1">
        <f t="array" ref="I401">INDEX(DataAll!$W$2:$W$555,MATCH(LOWER(Data!A401),LOWER(DataAll!$V$2:$V$555),0))</f>
        <v>31.81</v>
      </c>
      <c r="J401" cm="1">
        <f t="array" ref="J401">INDEX(DataAll!$Z$2:$Z$555,MATCH(LOWER(Data!A401),LOWER(DataAll!$Y$2:$Y$555),0))</f>
        <v>2.08</v>
      </c>
      <c r="K401" cm="1">
        <f t="array" ref="K401">INDEX(DataAll!$AM$2:$AM$555,MATCH(LOWER(Data!A401),LOWER(DataAll!$AL$2:$AL$555),0))</f>
        <v>8.89</v>
      </c>
      <c r="L401" cm="1">
        <f t="array" ref="L401">INDEX(DataAll!$AJ$2:$AJ$555,MATCH(LOWER(Data!A401),LOWER(DataAll!$AI$2:$AI$555),0))</f>
        <v>20.41</v>
      </c>
      <c r="M401" cm="1">
        <f t="array" ref="M401">INDEX(DataAll!$AP$2:$AP$555,MATCH(LOWER(Data!A401),LOWER(DataAll!$AO$2:$AO$555),0))</f>
        <v>68.790000000000006</v>
      </c>
      <c r="N401" cm="1">
        <f t="array" ref="N401">INDEX(DataAll!$AQ$2:$AQ$555,MATCH(LOWER(Data!A401),LOWER(DataAll!$AO$2:$AO$555),0))</f>
        <v>72.73</v>
      </c>
      <c r="O401" cm="1">
        <f t="array" ref="O401">INDEX(DataAll!$AT$2:$AT$555,MATCH(LOWER(Data!A401),LOWER(DataAll!$AS$2:$AS$555),0))</f>
        <v>9.4</v>
      </c>
      <c r="P401" cm="1">
        <f t="array" ref="P401">INDEX(DataAll!$AU$2:$AU$555,MATCH(LOWER(Data!A401),LOWER(DataAll!$AS$2:$AS$555),0))</f>
        <v>9.4700000000000006</v>
      </c>
      <c r="Q401" cm="1">
        <f t="array" ref="Q401">INDEX(DataAll!$AX$2:$AX$556,MATCH(LOWER(Data!A401),LOWER(DataAll!$AW$2:$AW$556),0))</f>
        <v>44.72</v>
      </c>
      <c r="R401" cm="1">
        <f t="array" ref="R401">INDEX('Longitude and Latitude'!$B$2:$B$579,MATCH(LOWER(Data!A401),LOWER('Longitude and Latitude'!$A$2:$A$579),0))</f>
        <v>1.0946773000000001</v>
      </c>
      <c r="S401" cm="1">
        <f t="array" ref="S401">INDEX('Longitude and Latitude'!$C$2:$C$579,MATCH(LOWER(Data!A401),LOWER('Longitude and Latitude'!$A$2:$A$579),0))</f>
        <v>124.4641848</v>
      </c>
      <c r="T401" t="b">
        <f>IF(EXACT(A401, UPPER(A401)), TRUE, FALSE)</f>
        <v>0</v>
      </c>
    </row>
    <row r="402" spans="1:20" x14ac:dyDescent="0.35">
      <c r="A402" t="s">
        <v>399</v>
      </c>
      <c r="B402">
        <v>96.53</v>
      </c>
      <c r="C402" cm="1">
        <f t="array" ref="C402">INDEX(DataAll!$E$2:$E$555,MATCH(LOWER(Data!A402),LOWER(DataAll!$D$2:$D$555),0))</f>
        <v>67.069999999999993</v>
      </c>
      <c r="D402" cm="1">
        <f t="array" ref="D402">INDEX(DataAll!$H$2:$H$579,MATCH(LOWER(Data!A402),LOWER(DataAll!$G$2:$G$555),0))</f>
        <v>0.48499999999999999</v>
      </c>
      <c r="E402" cm="1">
        <f t="array" ref="E402">INDEX(DataAll!$K$2:$K$579,MATCH(LOWER(Data!A402),LOWER(DataAll!$J$2:$J$555),0))</f>
        <v>13.33</v>
      </c>
      <c r="F402" cm="1">
        <f t="array" ref="F402">INDEX(DataAll!$N$2:$N$555,MATCH(LOWER(Data!A402),LOWER(DataAll!$M$2:$M$555),0))</f>
        <v>49.46</v>
      </c>
      <c r="G402" cm="1">
        <f t="array" ref="G402">INDEX(DataAll!$Q$2:$Q$555,MATCH(LOWER(Data!A402),LOWER(DataAll!$P$2:$P$555),0))</f>
        <v>7.11</v>
      </c>
      <c r="H402" cm="1">
        <f t="array" ref="H402">INDEX(DataAll!$T$2:$T$555,MATCH(LOWER(Data!A402),LOWER(DataAll!$S$2:$S$555),0))</f>
        <v>0.29099999999999998</v>
      </c>
      <c r="I402" cm="1">
        <f t="array" ref="I402">INDEX(DataAll!$W$2:$W$555,MATCH(LOWER(Data!A402),LOWER(DataAll!$V$2:$V$555),0))</f>
        <v>33.020000000000003</v>
      </c>
      <c r="J402" cm="1">
        <f t="array" ref="J402">INDEX(DataAll!$Z$2:$Z$555,MATCH(LOWER(Data!A402),LOWER(DataAll!$Y$2:$Y$555),0))</f>
        <v>2.0299999999999998</v>
      </c>
      <c r="K402" cm="1">
        <f t="array" ref="K402">INDEX(DataAll!$AM$2:$AM$555,MATCH(LOWER(Data!A402),LOWER(DataAll!$AL$2:$AL$555),0))</f>
        <v>6.65</v>
      </c>
      <c r="L402" cm="1">
        <f t="array" ref="L402">INDEX(DataAll!$AJ$2:$AJ$555,MATCH(LOWER(Data!A402),LOWER(DataAll!$AI$2:$AI$555),0))</f>
        <v>16.77</v>
      </c>
      <c r="M402" cm="1">
        <f t="array" ref="M402">INDEX(DataAll!$AP$2:$AP$555,MATCH(LOWER(Data!A402),LOWER(DataAll!$AO$2:$AO$555),0))</f>
        <v>70.040000000000006</v>
      </c>
      <c r="N402" cm="1">
        <f t="array" ref="N402">INDEX(DataAll!$AQ$2:$AQ$555,MATCH(LOWER(Data!A402),LOWER(DataAll!$AO$2:$AO$555),0))</f>
        <v>74.040000000000006</v>
      </c>
      <c r="O402" cm="1">
        <f t="array" ref="O402">INDEX(DataAll!$AT$2:$AT$555,MATCH(LOWER(Data!A402),LOWER(DataAll!$AS$2:$AS$555),0))</f>
        <v>10.37</v>
      </c>
      <c r="P402" cm="1">
        <f t="array" ref="P402">INDEX(DataAll!$AU$2:$AU$555,MATCH(LOWER(Data!A402),LOWER(DataAll!$AS$2:$AS$555),0))</f>
        <v>10.23</v>
      </c>
      <c r="Q402" cm="1">
        <f t="array" ref="Q402">INDEX(DataAll!$AX$2:$AX$556,MATCH(LOWER(Data!A402),LOWER(DataAll!$AW$2:$AW$556),0))</f>
        <v>56.18</v>
      </c>
      <c r="R402" cm="1">
        <f t="array" ref="R402">INDEX('Longitude and Latitude'!$B$2:$B$579,MATCH(LOWER(Data!A402),LOWER('Longitude and Latitude'!$A$2:$A$579),0))</f>
        <v>1.5327972999999999</v>
      </c>
      <c r="S402" cm="1">
        <f t="array" ref="S402">INDEX('Longitude and Latitude'!$C$2:$C$579,MATCH(LOWER(Data!A402),LOWER('Longitude and Latitude'!$A$2:$A$579),0))</f>
        <v>124.99475099999999</v>
      </c>
      <c r="T402" t="b">
        <f>IF(EXACT(A402, UPPER(A402)), TRUE, FALSE)</f>
        <v>0</v>
      </c>
    </row>
    <row r="403" spans="1:20" x14ac:dyDescent="0.35">
      <c r="A403" t="s">
        <v>400</v>
      </c>
      <c r="B403">
        <v>87.53</v>
      </c>
      <c r="C403" cm="1">
        <f t="array" ref="C403">INDEX(DataAll!$E$2:$E$555,MATCH(LOWER(Data!A403),LOWER(DataAll!$D$2:$D$555),0))</f>
        <v>58.6</v>
      </c>
      <c r="D403" cm="1">
        <f t="array" ref="D403">INDEX(DataAll!$H$2:$H$579,MATCH(LOWER(Data!A403),LOWER(DataAll!$G$2:$G$555),0))</f>
        <v>0.39500000000000002</v>
      </c>
      <c r="E403" cm="1">
        <f t="array" ref="E403">INDEX(DataAll!$K$2:$K$579,MATCH(LOWER(Data!A403),LOWER(DataAll!$J$2:$J$555),0))</f>
        <v>10</v>
      </c>
      <c r="F403" cm="1">
        <f t="array" ref="F403">INDEX(DataAll!$N$2:$N$555,MATCH(LOWER(Data!A403),LOWER(DataAll!$M$2:$M$555),0))</f>
        <v>62.1</v>
      </c>
      <c r="G403" cm="1">
        <f t="array" ref="G403">INDEX(DataAll!$Q$2:$Q$555,MATCH(LOWER(Data!A403),LOWER(DataAll!$P$2:$P$555),0))</f>
        <v>8.5399999999999991</v>
      </c>
      <c r="H403" cm="1">
        <f t="array" ref="H403">INDEX(DataAll!$T$2:$T$555,MATCH(LOWER(Data!A403),LOWER(DataAll!$S$2:$S$555),0))</f>
        <v>0.37</v>
      </c>
      <c r="I403" cm="1">
        <f t="array" ref="I403">INDEX(DataAll!$W$2:$W$555,MATCH(LOWER(Data!A403),LOWER(DataAll!$V$2:$V$555),0))</f>
        <v>28.42</v>
      </c>
      <c r="J403" cm="1">
        <f t="array" ref="J403">INDEX(DataAll!$Z$2:$Z$555,MATCH(LOWER(Data!A403),LOWER(DataAll!$Y$2:$Y$555),0))</f>
        <v>2.2000000000000002</v>
      </c>
      <c r="K403" cm="1">
        <f t="array" ref="K403">INDEX(DataAll!$AM$2:$AM$555,MATCH(LOWER(Data!A403),LOWER(DataAll!$AL$2:$AL$555),0))</f>
        <v>7.9</v>
      </c>
      <c r="L403" cm="1">
        <f t="array" ref="L403">INDEX(DataAll!$AJ$2:$AJ$555,MATCH(LOWER(Data!A403),LOWER(DataAll!$AI$2:$AI$555),0))</f>
        <v>22.49</v>
      </c>
      <c r="M403" cm="1">
        <f t="array" ref="M403">INDEX(DataAll!$AP$2:$AP$555,MATCH(LOWER(Data!A403),LOWER(DataAll!$AO$2:$AO$555),0))</f>
        <v>66.39</v>
      </c>
      <c r="N403" cm="1">
        <f t="array" ref="N403">INDEX(DataAll!$AQ$2:$AQ$555,MATCH(LOWER(Data!A403),LOWER(DataAll!$AO$2:$AO$555),0))</f>
        <v>70.37</v>
      </c>
      <c r="O403" cm="1">
        <f t="array" ref="O403">INDEX(DataAll!$AT$2:$AT$555,MATCH(LOWER(Data!A403),LOWER(DataAll!$AS$2:$AS$555),0))</f>
        <v>8.2899999999999991</v>
      </c>
      <c r="P403" cm="1">
        <f t="array" ref="P403">INDEX(DataAll!$AU$2:$AU$555,MATCH(LOWER(Data!A403),LOWER(DataAll!$AS$2:$AS$555),0))</f>
        <v>8.68</v>
      </c>
      <c r="Q403" cm="1">
        <f t="array" ref="Q403">INDEX(DataAll!$AX$2:$AX$556,MATCH(LOWER(Data!A403),LOWER(DataAll!$AW$2:$AW$556),0))</f>
        <v>32.28</v>
      </c>
      <c r="R403" cm="1">
        <f t="array" ref="R403">INDEX('Longitude and Latitude'!$B$2:$B$579,MATCH(LOWER(Data!A403),LOWER('Longitude and Latitude'!$A$2:$A$579),0))</f>
        <v>0.81869099999999995</v>
      </c>
      <c r="S403" cm="1">
        <f t="array" ref="S403">INDEX('Longitude and Latitude'!$C$2:$C$579,MATCH(LOWER(Data!A403),LOWER('Longitude and Latitude'!$A$2:$A$579),0))</f>
        <v>123.5280072</v>
      </c>
      <c r="T403" t="b">
        <f>IF(EXACT(A403, UPPER(A403)), TRUE, FALSE)</f>
        <v>0</v>
      </c>
    </row>
    <row r="404" spans="1:20" x14ac:dyDescent="0.35">
      <c r="A404" t="s">
        <v>401</v>
      </c>
      <c r="B404">
        <v>89.04</v>
      </c>
      <c r="C404" cm="1">
        <f t="array" ref="C404">INDEX(DataAll!$E$2:$E$555,MATCH(LOWER(Data!A404),LOWER(DataAll!$D$2:$D$555),0))</f>
        <v>78.239999999999995</v>
      </c>
      <c r="D404" cm="1">
        <f t="array" ref="D404">INDEX(DataAll!$H$2:$H$579,MATCH(LOWER(Data!A404),LOWER(DataAll!$G$2:$G$555),0))</f>
        <v>0.40300000000000002</v>
      </c>
      <c r="E404" cm="1">
        <f t="array" ref="E404">INDEX(DataAll!$K$2:$K$579,MATCH(LOWER(Data!A404),LOWER(DataAll!$J$2:$J$555),0))</f>
        <v>30</v>
      </c>
      <c r="F404" cm="1">
        <f t="array" ref="F404">INDEX(DataAll!$N$2:$N$555,MATCH(LOWER(Data!A404),LOWER(DataAll!$M$2:$M$555),0))</f>
        <v>45.09</v>
      </c>
      <c r="G404" cm="1">
        <f t="array" ref="G404">INDEX(DataAll!$Q$2:$Q$555,MATCH(LOWER(Data!A404),LOWER(DataAll!$P$2:$P$555),0))</f>
        <v>8.85</v>
      </c>
      <c r="H404" cm="1">
        <f t="array" ref="H404">INDEX(DataAll!$T$2:$T$555,MATCH(LOWER(Data!A404),LOWER(DataAll!$S$2:$S$555),0))</f>
        <v>0.17799999999999999</v>
      </c>
      <c r="I404" cm="1">
        <f t="array" ref="I404">INDEX(DataAll!$W$2:$W$555,MATCH(LOWER(Data!A404),LOWER(DataAll!$V$2:$V$555),0))</f>
        <v>34.89</v>
      </c>
      <c r="J404" cm="1">
        <f t="array" ref="J404">INDEX(DataAll!$Z$2:$Z$555,MATCH(LOWER(Data!A404),LOWER(DataAll!$Y$2:$Y$555),0))</f>
        <v>2.1</v>
      </c>
      <c r="K404" cm="1">
        <f t="array" ref="K404">INDEX(DataAll!$AM$2:$AM$555,MATCH(LOWER(Data!A404),LOWER(DataAll!$AL$2:$AL$555),0))</f>
        <v>8.76</v>
      </c>
      <c r="L404" cm="1">
        <f t="array" ref="L404">INDEX(DataAll!$AJ$2:$AJ$555,MATCH(LOWER(Data!A404),LOWER(DataAll!$AI$2:$AI$555),0))</f>
        <v>19.309999999999999</v>
      </c>
      <c r="M404" cm="1">
        <f t="array" ref="M404">INDEX(DataAll!$AP$2:$AP$555,MATCH(LOWER(Data!A404),LOWER(DataAll!$AO$2:$AO$555),0))</f>
        <v>69.650000000000006</v>
      </c>
      <c r="N404" cm="1">
        <f t="array" ref="N404">INDEX(DataAll!$AQ$2:$AQ$555,MATCH(LOWER(Data!A404),LOWER(DataAll!$AO$2:$AO$555),0))</f>
        <v>73.63</v>
      </c>
      <c r="O404" cm="1">
        <f t="array" ref="O404">INDEX(DataAll!$AT$2:$AT$555,MATCH(LOWER(Data!A404),LOWER(DataAll!$AS$2:$AS$555),0))</f>
        <v>9.2200000000000006</v>
      </c>
      <c r="P404" cm="1">
        <f t="array" ref="P404">INDEX(DataAll!$AU$2:$AU$555,MATCH(LOWER(Data!A404),LOWER(DataAll!$AS$2:$AS$555),0))</f>
        <v>9.4</v>
      </c>
      <c r="Q404" cm="1">
        <f t="array" ref="Q404">INDEX(DataAll!$AX$2:$AX$556,MATCH(LOWER(Data!A404),LOWER(DataAll!$AW$2:$AW$556),0))</f>
        <v>42.4</v>
      </c>
      <c r="R404" cm="1">
        <f t="array" ref="R404">INDEX('Longitude and Latitude'!$B$2:$B$579,MATCH(LOWER(Data!A404),LOWER('Longitude and Latitude'!$A$2:$A$579),0))</f>
        <v>2.3459639999999999</v>
      </c>
      <c r="S404" cm="1">
        <f t="array" ref="S404">INDEX('Longitude and Latitude'!$C$2:$C$579,MATCH(LOWER(Data!A404),LOWER('Longitude and Latitude'!$A$2:$A$579),0))</f>
        <v>125.4124355</v>
      </c>
      <c r="T404" t="b">
        <f>IF(EXACT(A404, UPPER(A404)), TRUE, FALSE)</f>
        <v>0</v>
      </c>
    </row>
    <row r="405" spans="1:20" x14ac:dyDescent="0.35">
      <c r="A405" t="s">
        <v>402</v>
      </c>
      <c r="B405">
        <v>92.43</v>
      </c>
      <c r="C405" cm="1">
        <f t="array" ref="C405">INDEX(DataAll!$E$2:$E$555,MATCH(LOWER(Data!A405),LOWER(DataAll!$D$2:$D$555),0))</f>
        <v>80.63</v>
      </c>
      <c r="D405" cm="1">
        <f t="array" ref="D405">INDEX(DataAll!$H$2:$H$579,MATCH(LOWER(Data!A405),LOWER(DataAll!$G$2:$G$555),0))</f>
        <v>0.20699999999999999</v>
      </c>
      <c r="E405" cm="1">
        <f t="array" ref="E405">INDEX(DataAll!$K$2:$K$579,MATCH(LOWER(Data!A405),LOWER(DataAll!$J$2:$J$555),0))</f>
        <v>28</v>
      </c>
      <c r="F405" cm="1">
        <f t="array" ref="F405">INDEX(DataAll!$N$2:$N$555,MATCH(LOWER(Data!A405),LOWER(DataAll!$M$2:$M$555),0))</f>
        <v>53.75</v>
      </c>
      <c r="G405" cm="1">
        <f t="array" ref="G405">INDEX(DataAll!$Q$2:$Q$555,MATCH(LOWER(Data!A405),LOWER(DataAll!$P$2:$P$555),0))</f>
        <v>7.35</v>
      </c>
      <c r="H405" cm="1">
        <f t="array" ref="H405">INDEX(DataAll!$T$2:$T$555,MATCH(LOWER(Data!A405),LOWER(DataAll!$S$2:$S$555),0))</f>
        <v>0.36299999999999999</v>
      </c>
      <c r="I405" cm="1">
        <f t="array" ref="I405">INDEX(DataAll!$W$2:$W$555,MATCH(LOWER(Data!A405),LOWER(DataAll!$V$2:$V$555),0))</f>
        <v>34.92</v>
      </c>
      <c r="J405" cm="1">
        <f t="array" ref="J405">INDEX(DataAll!$Z$2:$Z$555,MATCH(LOWER(Data!A405),LOWER(DataAll!$Y$2:$Y$555),0))</f>
        <v>2.27</v>
      </c>
      <c r="K405" cm="1">
        <f t="array" ref="K405">INDEX(DataAll!$AM$2:$AM$555,MATCH(LOWER(Data!A405),LOWER(DataAll!$AL$2:$AL$555),0))</f>
        <v>11.84</v>
      </c>
      <c r="L405" cm="1">
        <f t="array" ref="L405">INDEX(DataAll!$AJ$2:$AJ$555,MATCH(LOWER(Data!A405),LOWER(DataAll!$AI$2:$AI$555),0))</f>
        <v>23.94</v>
      </c>
      <c r="M405" cm="1">
        <f t="array" ref="M405">INDEX(DataAll!$AP$2:$AP$555,MATCH(LOWER(Data!A405),LOWER(DataAll!$AO$2:$AO$555),0))</f>
        <v>68.94</v>
      </c>
      <c r="N405" cm="1">
        <f t="array" ref="N405">INDEX(DataAll!$AQ$2:$AQ$555,MATCH(LOWER(Data!A405),LOWER(DataAll!$AO$2:$AO$555),0))</f>
        <v>72.88</v>
      </c>
      <c r="O405" cm="1">
        <f t="array" ref="O405">INDEX(DataAll!$AT$2:$AT$555,MATCH(LOWER(Data!A405),LOWER(DataAll!$AS$2:$AS$555),0))</f>
        <v>8.9</v>
      </c>
      <c r="P405" cm="1">
        <f t="array" ref="P405">INDEX(DataAll!$AU$2:$AU$555,MATCH(LOWER(Data!A405),LOWER(DataAll!$AS$2:$AS$555),0))</f>
        <v>9.2799999999999994</v>
      </c>
      <c r="Q405" cm="1">
        <f t="array" ref="Q405">INDEX(DataAll!$AX$2:$AX$556,MATCH(LOWER(Data!A405),LOWER(DataAll!$AW$2:$AW$556),0))</f>
        <v>35.96</v>
      </c>
      <c r="R405" cm="1">
        <f t="array" ref="R405">INDEX('Longitude and Latitude'!$B$2:$B$579,MATCH(LOWER(Data!A405),LOWER('Longitude and Latitude'!$A$2:$A$579),0))</f>
        <v>1.0278551</v>
      </c>
      <c r="S405" cm="1">
        <f t="array" ref="S405">INDEX('Longitude and Latitude'!$C$2:$C$579,MATCH(LOWER(Data!A405),LOWER('Longitude and Latitude'!$A$2:$A$579),0))</f>
        <v>124.7298765</v>
      </c>
      <c r="T405" t="b">
        <f>IF(EXACT(A405, UPPER(A405)), TRUE, FALSE)</f>
        <v>0</v>
      </c>
    </row>
    <row r="406" spans="1:20" x14ac:dyDescent="0.35">
      <c r="A406" t="s">
        <v>403</v>
      </c>
      <c r="B406">
        <v>80.97</v>
      </c>
      <c r="C406" cm="1">
        <f t="array" ref="C406">INDEX(DataAll!$E$2:$E$555,MATCH(LOWER(Data!A406),LOWER(DataAll!$D$2:$D$555),0))</f>
        <v>65.11</v>
      </c>
      <c r="D406" cm="1">
        <f t="array" ref="D406">INDEX(DataAll!$H$2:$H$579,MATCH(LOWER(Data!A406),LOWER(DataAll!$G$2:$G$555),0))</f>
        <v>0.51200000000000001</v>
      </c>
      <c r="E406" cm="1">
        <f t="array" ref="E406">INDEX(DataAll!$K$2:$K$579,MATCH(LOWER(Data!A406),LOWER(DataAll!$J$2:$J$555),0))</f>
        <v>20</v>
      </c>
      <c r="F406" cm="1">
        <f t="array" ref="F406">INDEX(DataAll!$N$2:$N$555,MATCH(LOWER(Data!A406),LOWER(DataAll!$M$2:$M$555),0))</f>
        <v>66.260000000000005</v>
      </c>
      <c r="G406" cm="1">
        <f t="array" ref="G406">INDEX(DataAll!$Q$2:$Q$555,MATCH(LOWER(Data!A406),LOWER(DataAll!$P$2:$P$555),0))</f>
        <v>6.57</v>
      </c>
      <c r="H406" cm="1">
        <f t="array" ref="H406">INDEX(DataAll!$T$2:$T$555,MATCH(LOWER(Data!A406),LOWER(DataAll!$S$2:$S$555),0))</f>
        <v>0.38800000000000001</v>
      </c>
      <c r="I406" cm="1">
        <f t="array" ref="I406">INDEX(DataAll!$W$2:$W$555,MATCH(LOWER(Data!A406),LOWER(DataAll!$V$2:$V$555),0))</f>
        <v>28.39</v>
      </c>
      <c r="J406" cm="1">
        <f t="array" ref="J406">INDEX(DataAll!$Z$2:$Z$555,MATCH(LOWER(Data!A406),LOWER(DataAll!$Y$2:$Y$555),0))</f>
        <v>2.3199999999999998</v>
      </c>
      <c r="K406" cm="1">
        <f t="array" ref="K406">INDEX(DataAll!$AM$2:$AM$555,MATCH(LOWER(Data!A406),LOWER(DataAll!$AL$2:$AL$555),0))</f>
        <v>12.04</v>
      </c>
      <c r="L406" cm="1">
        <f t="array" ref="L406">INDEX(DataAll!$AJ$2:$AJ$555,MATCH(LOWER(Data!A406),LOWER(DataAll!$AI$2:$AI$555),0))</f>
        <v>33.03</v>
      </c>
      <c r="M406" cm="1">
        <f t="array" ref="M406">INDEX(DataAll!$AP$2:$AP$555,MATCH(LOWER(Data!A406),LOWER(DataAll!$AO$2:$AO$555),0))</f>
        <v>63.07</v>
      </c>
      <c r="N406" cm="1">
        <f t="array" ref="N406">INDEX(DataAll!$AQ$2:$AQ$555,MATCH(LOWER(Data!A406),LOWER(DataAll!$AO$2:$AO$555),0))</f>
        <v>66.92</v>
      </c>
      <c r="O406" cm="1">
        <f t="array" ref="O406">INDEX(DataAll!$AT$2:$AT$555,MATCH(LOWER(Data!A406),LOWER(DataAll!$AS$2:$AS$555),0))</f>
        <v>8.2799999999999994</v>
      </c>
      <c r="P406" cm="1">
        <f t="array" ref="P406">INDEX(DataAll!$AU$2:$AU$555,MATCH(LOWER(Data!A406),LOWER(DataAll!$AS$2:$AS$555),0))</f>
        <v>8.17</v>
      </c>
      <c r="Q406" cm="1">
        <f t="array" ref="Q406">INDEX(DataAll!$AX$2:$AX$556,MATCH(LOWER(Data!A406),LOWER(DataAll!$AW$2:$AW$556),0))</f>
        <v>30.62</v>
      </c>
      <c r="R406" cm="1">
        <f t="array" ref="R406">INDEX('Longitude and Latitude'!$B$2:$B$579,MATCH(LOWER(Data!A406),LOWER('Longitude and Latitude'!$A$2:$A$579),0))</f>
        <v>0.3528</v>
      </c>
      <c r="S406" cm="1">
        <f t="array" ref="S406">INDEX('Longitude and Latitude'!$C$2:$C$579,MATCH(LOWER(Data!A406),LOWER('Longitude and Latitude'!$A$2:$A$579),0))</f>
        <v>123.7992</v>
      </c>
      <c r="T406" t="b">
        <f>IF(EXACT(A406, UPPER(A406)), TRUE, FALSE)</f>
        <v>0</v>
      </c>
    </row>
    <row r="407" spans="1:20" x14ac:dyDescent="0.35">
      <c r="A407" t="s">
        <v>404</v>
      </c>
      <c r="B407">
        <v>91.37</v>
      </c>
      <c r="C407" cm="1">
        <f t="array" ref="C407">INDEX(DataAll!$E$2:$E$555,MATCH(LOWER(Data!A407),LOWER(DataAll!$D$2:$D$555),0))</f>
        <v>66.099999999999994</v>
      </c>
      <c r="D407" cm="1">
        <f t="array" ref="D407">INDEX(DataAll!$H$2:$H$579,MATCH(LOWER(Data!A407),LOWER(DataAll!$G$2:$G$555),0))</f>
        <v>0.499</v>
      </c>
      <c r="E407" cm="1">
        <f t="array" ref="E407">INDEX(DataAll!$K$2:$K$579,MATCH(LOWER(Data!A407),LOWER(DataAll!$J$2:$J$555),0))</f>
        <v>20</v>
      </c>
      <c r="F407" cm="1">
        <f t="array" ref="F407">INDEX(DataAll!$N$2:$N$555,MATCH(LOWER(Data!A407),LOWER(DataAll!$M$2:$M$555),0))</f>
        <v>54.58</v>
      </c>
      <c r="G407" cm="1">
        <f t="array" ref="G407">INDEX(DataAll!$Q$2:$Q$555,MATCH(LOWER(Data!A407),LOWER(DataAll!$P$2:$P$555),0))</f>
        <v>6.55</v>
      </c>
      <c r="H407" cm="1">
        <f t="array" ref="H407">INDEX(DataAll!$T$2:$T$555,MATCH(LOWER(Data!A407),LOWER(DataAll!$S$2:$S$555),0))</f>
        <v>0.40699999999999997</v>
      </c>
      <c r="I407" cm="1">
        <f t="array" ref="I407">INDEX(DataAll!$W$2:$W$555,MATCH(LOWER(Data!A407),LOWER(DataAll!$V$2:$V$555),0))</f>
        <v>23.89</v>
      </c>
      <c r="J407" cm="1">
        <f t="array" ref="J407">INDEX(DataAll!$Z$2:$Z$555,MATCH(LOWER(Data!A407),LOWER(DataAll!$Y$2:$Y$555),0))</f>
        <v>2.1800000000000002</v>
      </c>
      <c r="K407" cm="1">
        <f t="array" ref="K407">INDEX(DataAll!$AM$2:$AM$555,MATCH(LOWER(Data!A407),LOWER(DataAll!$AL$2:$AL$555),0))</f>
        <v>5.8</v>
      </c>
      <c r="L407" cm="1">
        <f t="array" ref="L407">INDEX(DataAll!$AJ$2:$AJ$555,MATCH(LOWER(Data!A407),LOWER(DataAll!$AI$2:$AI$555),0))</f>
        <v>23.08</v>
      </c>
      <c r="M407" cm="1">
        <f t="array" ref="M407">INDEX(DataAll!$AP$2:$AP$555,MATCH(LOWER(Data!A407),LOWER(DataAll!$AO$2:$AO$555),0))</f>
        <v>66.569999999999993</v>
      </c>
      <c r="N407" cm="1">
        <f t="array" ref="N407">INDEX(DataAll!$AQ$2:$AQ$555,MATCH(LOWER(Data!A407),LOWER(DataAll!$AO$2:$AO$555),0))</f>
        <v>70.55</v>
      </c>
      <c r="O407" cm="1">
        <f t="array" ref="O407">INDEX(DataAll!$AT$2:$AT$555,MATCH(LOWER(Data!A407),LOWER(DataAll!$AS$2:$AS$555),0))</f>
        <v>8.25</v>
      </c>
      <c r="P407" cm="1">
        <f t="array" ref="P407">INDEX(DataAll!$AU$2:$AU$555,MATCH(LOWER(Data!A407),LOWER(DataAll!$AS$2:$AS$555),0))</f>
        <v>8.2799999999999994</v>
      </c>
      <c r="Q407" cm="1">
        <f t="array" ref="Q407">INDEX(DataAll!$AX$2:$AX$556,MATCH(LOWER(Data!A407),LOWER(DataAll!$AW$2:$AW$556),0))</f>
        <v>28.6</v>
      </c>
      <c r="R407" cm="1">
        <f t="array" ref="R407">INDEX('Longitude and Latitude'!$B$2:$B$579,MATCH(LOWER(Data!A407),LOWER('Longitude and Latitude'!$A$2:$A$579),0))</f>
        <v>0.77</v>
      </c>
      <c r="S407" cm="1">
        <f t="array" ref="S407">INDEX('Longitude and Latitude'!$C$2:$C$579,MATCH(LOWER(Data!A407),LOWER('Longitude and Latitude'!$A$2:$A$579),0))</f>
        <v>124.6139</v>
      </c>
      <c r="T407" t="b">
        <f>IF(EXACT(A407, UPPER(A407)), TRUE, FALSE)</f>
        <v>0</v>
      </c>
    </row>
    <row r="408" spans="1:20" x14ac:dyDescent="0.35">
      <c r="A408" t="s">
        <v>405</v>
      </c>
      <c r="B408">
        <v>96.51</v>
      </c>
      <c r="C408" cm="1">
        <f t="array" ref="C408">INDEX(DataAll!$E$2:$E$555,MATCH(LOWER(Data!A408),LOWER(DataAll!$D$2:$D$555),0))</f>
        <v>83.49</v>
      </c>
      <c r="D408" cm="1">
        <f t="array" ref="D408">INDEX(DataAll!$H$2:$H$579,MATCH(LOWER(Data!A408),LOWER(DataAll!$G$2:$G$555),0))</f>
        <v>0.16700000000000001</v>
      </c>
      <c r="E408" cm="1">
        <f t="array" ref="E408">INDEX(DataAll!$K$2:$K$579,MATCH(LOWER(Data!A408),LOWER(DataAll!$J$2:$J$555),0))</f>
        <v>40</v>
      </c>
      <c r="F408" cm="1">
        <f t="array" ref="F408">INDEX(DataAll!$N$2:$N$555,MATCH(LOWER(Data!A408),LOWER(DataAll!$M$2:$M$555),0))</f>
        <v>41.17</v>
      </c>
      <c r="G408" cm="1">
        <f t="array" ref="G408">INDEX(DataAll!$Q$2:$Q$555,MATCH(LOWER(Data!A408),LOWER(DataAll!$P$2:$P$555),0))</f>
        <v>4.63</v>
      </c>
      <c r="H408" cm="1">
        <f t="array" ref="H408">INDEX(DataAll!$T$2:$T$555,MATCH(LOWER(Data!A408),LOWER(DataAll!$S$2:$S$555),0))</f>
        <v>0.26600000000000001</v>
      </c>
      <c r="I408" cm="1">
        <f t="array" ref="I408">INDEX(DataAll!$W$2:$W$555,MATCH(LOWER(Data!A408),LOWER(DataAll!$V$2:$V$555),0))</f>
        <v>34.840000000000003</v>
      </c>
      <c r="J408" cm="1">
        <f t="array" ref="J408">INDEX(DataAll!$Z$2:$Z$555,MATCH(LOWER(Data!A408),LOWER(DataAll!$Y$2:$Y$555),0))</f>
        <v>2.0099999999999998</v>
      </c>
      <c r="K408" cm="1">
        <f t="array" ref="K408">INDEX(DataAll!$AM$2:$AM$555,MATCH(LOWER(Data!A408),LOWER(DataAll!$AL$2:$AL$555),0))</f>
        <v>5.79</v>
      </c>
      <c r="L408" cm="1">
        <f t="array" ref="L408">INDEX(DataAll!$AJ$2:$AJ$555,MATCH(LOWER(Data!A408),LOWER(DataAll!$AI$2:$AI$555),0))</f>
        <v>14.09</v>
      </c>
      <c r="M408" cm="1">
        <f t="array" ref="M408">INDEX(DataAll!$AP$2:$AP$555,MATCH(LOWER(Data!A408),LOWER(DataAll!$AO$2:$AO$555),0))</f>
        <v>70.540000000000006</v>
      </c>
      <c r="N408" cm="1">
        <f t="array" ref="N408">INDEX(DataAll!$AQ$2:$AQ$555,MATCH(LOWER(Data!A408),LOWER(DataAll!$AO$2:$AO$555),0))</f>
        <v>74.56</v>
      </c>
      <c r="O408" cm="1">
        <f t="array" ref="O408">INDEX(DataAll!$AT$2:$AT$555,MATCH(LOWER(Data!A408),LOWER(DataAll!$AS$2:$AS$555),0))</f>
        <v>11.65</v>
      </c>
      <c r="P408" cm="1">
        <f t="array" ref="P408">INDEX(DataAll!$AU$2:$AU$555,MATCH(LOWER(Data!A408),LOWER(DataAll!$AS$2:$AS$555),0))</f>
        <v>11.37</v>
      </c>
      <c r="Q408" cm="1">
        <f t="array" ref="Q408">INDEX(DataAll!$AX$2:$AX$556,MATCH(LOWER(Data!A408),LOWER(DataAll!$AW$2:$AW$556),0))</f>
        <v>64.349999999999994</v>
      </c>
      <c r="R408" cm="1">
        <f t="array" ref="R408">INDEX('Longitude and Latitude'!$B$2:$B$579,MATCH(LOWER(Data!A408),LOWER('Longitude and Latitude'!$A$2:$A$579),0))</f>
        <v>1.4917014</v>
      </c>
      <c r="S408" cm="1">
        <f t="array" ref="S408">INDEX('Longitude and Latitude'!$C$2:$C$579,MATCH(LOWER(Data!A408),LOWER('Longitude and Latitude'!$A$2:$A$579),0))</f>
        <v>124.842843</v>
      </c>
      <c r="T408" t="b">
        <f>IF(EXACT(A408, UPPER(A408)), TRUE, FALSE)</f>
        <v>0</v>
      </c>
    </row>
    <row r="409" spans="1:20" x14ac:dyDescent="0.35">
      <c r="A409" t="s">
        <v>406</v>
      </c>
      <c r="B409">
        <v>94.71</v>
      </c>
      <c r="C409" cm="1">
        <f t="array" ref="C409">INDEX(DataAll!$E$2:$E$555,MATCH(LOWER(Data!A409),LOWER(DataAll!$D$2:$D$555),0))</f>
        <v>65.3</v>
      </c>
      <c r="D409" cm="1">
        <f t="array" ref="D409">INDEX(DataAll!$H$2:$H$579,MATCH(LOWER(Data!A409),LOWER(DataAll!$G$2:$G$555),0))</f>
        <v>0.45100000000000001</v>
      </c>
      <c r="E409" cm="1">
        <f t="array" ref="E409">INDEX(DataAll!$K$2:$K$579,MATCH(LOWER(Data!A409),LOWER(DataAll!$J$2:$J$555),0))</f>
        <v>16.670000000000002</v>
      </c>
      <c r="F409" cm="1">
        <f t="array" ref="F409">INDEX(DataAll!$N$2:$N$555,MATCH(LOWER(Data!A409),LOWER(DataAll!$M$2:$M$555),0))</f>
        <v>46.27</v>
      </c>
      <c r="G409" cm="1">
        <f t="array" ref="G409">INDEX(DataAll!$Q$2:$Q$555,MATCH(LOWER(Data!A409),LOWER(DataAll!$P$2:$P$555),0))</f>
        <v>3.91</v>
      </c>
      <c r="H409" cm="1">
        <f t="array" ref="H409">INDEX(DataAll!$T$2:$T$555,MATCH(LOWER(Data!A409),LOWER(DataAll!$S$2:$S$555),0))</f>
        <v>0.29199999999999998</v>
      </c>
      <c r="I409" cm="1">
        <f t="array" ref="I409">INDEX(DataAll!$W$2:$W$555,MATCH(LOWER(Data!A409),LOWER(DataAll!$V$2:$V$555),0))</f>
        <v>26.88</v>
      </c>
      <c r="J409" cm="1">
        <f t="array" ref="J409">INDEX(DataAll!$Z$2:$Z$555,MATCH(LOWER(Data!A409),LOWER(DataAll!$Y$2:$Y$555),0))</f>
        <v>2.14</v>
      </c>
      <c r="K409" cm="1">
        <f t="array" ref="K409">INDEX(DataAll!$AM$2:$AM$555,MATCH(LOWER(Data!A409),LOWER(DataAll!$AL$2:$AL$555),0))</f>
        <v>6.56</v>
      </c>
      <c r="L409" cm="1">
        <f t="array" ref="L409">INDEX(DataAll!$AJ$2:$AJ$555,MATCH(LOWER(Data!A409),LOWER(DataAll!$AI$2:$AI$555),0))</f>
        <v>17.91</v>
      </c>
      <c r="M409" cm="1">
        <f t="array" ref="M409">INDEX(DataAll!$AP$2:$AP$555,MATCH(LOWER(Data!A409),LOWER(DataAll!$AO$2:$AO$555),0))</f>
        <v>69.73</v>
      </c>
      <c r="N409" cm="1">
        <f t="array" ref="N409">INDEX(DataAll!$AQ$2:$AQ$555,MATCH(LOWER(Data!A409),LOWER(DataAll!$AO$2:$AO$555),0))</f>
        <v>73.72</v>
      </c>
      <c r="O409" cm="1">
        <f t="array" ref="O409">INDEX(DataAll!$AT$2:$AT$555,MATCH(LOWER(Data!A409),LOWER(DataAll!$AS$2:$AS$555),0))</f>
        <v>9.98</v>
      </c>
      <c r="P409" cm="1">
        <f t="array" ref="P409">INDEX(DataAll!$AU$2:$AU$555,MATCH(LOWER(Data!A409),LOWER(DataAll!$AS$2:$AS$555),0))</f>
        <v>9.91</v>
      </c>
      <c r="Q409" cm="1">
        <f t="array" ref="Q409">INDEX(DataAll!$AX$2:$AX$556,MATCH(LOWER(Data!A409),LOWER(DataAll!$AW$2:$AW$556),0))</f>
        <v>48.55</v>
      </c>
      <c r="R409" cm="1">
        <f t="array" ref="R409">INDEX('Longitude and Latitude'!$B$2:$B$579,MATCH(LOWER(Data!A409),LOWER('Longitude and Latitude'!$A$2:$A$579),0))</f>
        <v>1.4553529000000001</v>
      </c>
      <c r="S409" cm="1">
        <f t="array" ref="S409">INDEX('Longitude and Latitude'!$C$2:$C$579,MATCH(LOWER(Data!A409),LOWER('Longitude and Latitude'!$A$2:$A$579),0))</f>
        <v>125.204697</v>
      </c>
      <c r="T409" t="b">
        <f>IF(EXACT(A409, UPPER(A409)), TRUE, FALSE)</f>
        <v>0</v>
      </c>
    </row>
    <row r="410" spans="1:20" x14ac:dyDescent="0.35">
      <c r="A410" t="s">
        <v>407</v>
      </c>
      <c r="B410">
        <v>99.32</v>
      </c>
      <c r="C410" cm="1">
        <f t="array" ref="C410">INDEX(DataAll!$E$2:$E$555,MATCH(LOWER(Data!A410),LOWER(DataAll!$D$2:$D$555),0))</f>
        <v>83.48</v>
      </c>
      <c r="D410" cm="1">
        <f t="array" ref="D410">INDEX(DataAll!$H$2:$H$579,MATCH(LOWER(Data!A410),LOWER(DataAll!$G$2:$G$555),0))</f>
        <v>0.155</v>
      </c>
      <c r="E410" cm="1">
        <f t="array" ref="E410">INDEX(DataAll!$K$2:$K$579,MATCH(LOWER(Data!A410),LOWER(DataAll!$J$2:$J$555),0))</f>
        <v>40</v>
      </c>
      <c r="F410" cm="1">
        <f t="array" ref="F410">INDEX(DataAll!$N$2:$N$555,MATCH(LOWER(Data!A410),LOWER(DataAll!$M$2:$M$555),0))</f>
        <v>56.56</v>
      </c>
      <c r="G410" cm="1">
        <f t="array" ref="G410">INDEX(DataAll!$Q$2:$Q$555,MATCH(LOWER(Data!A410),LOWER(DataAll!$P$2:$P$555),0))</f>
        <v>3.75</v>
      </c>
      <c r="H410" cm="1">
        <f t="array" ref="H410">INDEX(DataAll!$T$2:$T$555,MATCH(LOWER(Data!A410),LOWER(DataAll!$S$2:$S$555),0))</f>
        <v>0.223</v>
      </c>
      <c r="I410" cm="1">
        <f t="array" ref="I410">INDEX(DataAll!$W$2:$W$555,MATCH(LOWER(Data!A410),LOWER(DataAll!$V$2:$V$555),0))</f>
        <v>34.29</v>
      </c>
      <c r="J410" cm="1">
        <f t="array" ref="J410">INDEX(DataAll!$Z$2:$Z$555,MATCH(LOWER(Data!A410),LOWER(DataAll!$Y$2:$Y$555),0))</f>
        <v>2.0499999999999998</v>
      </c>
      <c r="K410" cm="1">
        <f t="array" ref="K410">INDEX(DataAll!$AM$2:$AM$555,MATCH(LOWER(Data!A410),LOWER(DataAll!$AL$2:$AL$555),0))</f>
        <v>5.6</v>
      </c>
      <c r="L410" cm="1">
        <f t="array" ref="L410">INDEX(DataAll!$AJ$2:$AJ$555,MATCH(LOWER(Data!A410),LOWER(DataAll!$AI$2:$AI$555),0))</f>
        <v>14.42</v>
      </c>
      <c r="M410" cm="1">
        <f t="array" ref="M410">INDEX(DataAll!$AP$2:$AP$555,MATCH(LOWER(Data!A410),LOWER(DataAll!$AO$2:$AO$555),0))</f>
        <v>70.87</v>
      </c>
      <c r="N410" cm="1">
        <f t="array" ref="N410">INDEX(DataAll!$AQ$2:$AQ$555,MATCH(LOWER(Data!A410),LOWER(DataAll!$AO$2:$AO$555),0))</f>
        <v>74.900000000000006</v>
      </c>
      <c r="O410" cm="1">
        <f t="array" ref="O410">INDEX(DataAll!$AT$2:$AT$555,MATCH(LOWER(Data!A410),LOWER(DataAll!$AS$2:$AS$555),0))</f>
        <v>10.73</v>
      </c>
      <c r="P410" cm="1">
        <f t="array" ref="P410">INDEX(DataAll!$AU$2:$AU$555,MATCH(LOWER(Data!A410),LOWER(DataAll!$AS$2:$AS$555),0))</f>
        <v>11.2</v>
      </c>
      <c r="Q410" cm="1">
        <f t="array" ref="Q410">INDEX(DataAll!$AX$2:$AX$556,MATCH(LOWER(Data!A410),LOWER(DataAll!$AW$2:$AW$556),0))</f>
        <v>65.349999999999994</v>
      </c>
      <c r="R410" cm="1">
        <f t="array" ref="R410">INDEX('Longitude and Latitude'!$B$2:$B$579,MATCH(LOWER(Data!A410),LOWER('Longitude and Latitude'!$A$2:$A$579),0))</f>
        <v>1.3234131</v>
      </c>
      <c r="S410" cm="1">
        <f t="array" ref="S410">INDEX('Longitude and Latitude'!$C$2:$C$579,MATCH(LOWER(Data!A410),LOWER('Longitude and Latitude'!$A$2:$A$579),0))</f>
        <v>124.8384504</v>
      </c>
      <c r="T410" t="b">
        <f>IF(EXACT(A410, UPPER(A410)), TRUE, FALSE)</f>
        <v>0</v>
      </c>
    </row>
    <row r="411" spans="1:20" x14ac:dyDescent="0.35">
      <c r="A411" t="s">
        <v>408</v>
      </c>
      <c r="B411">
        <v>95.49</v>
      </c>
      <c r="C411" cm="1">
        <f t="array" ref="C411">INDEX(DataAll!$E$2:$E$555,MATCH(LOWER(Data!A411),LOWER(DataAll!$D$2:$D$555),0))</f>
        <v>62.98</v>
      </c>
      <c r="D411" cm="1">
        <f t="array" ref="D411">INDEX(DataAll!$H$2:$H$579,MATCH(LOWER(Data!A411),LOWER(DataAll!$G$2:$G$555),0))</f>
        <v>0.32900000000000001</v>
      </c>
      <c r="E411" cm="1">
        <f t="array" ref="E411">INDEX(DataAll!$K$2:$K$579,MATCH(LOWER(Data!A411),LOWER(DataAll!$J$2:$J$555),0))</f>
        <v>16</v>
      </c>
      <c r="F411" cm="1">
        <f t="array" ref="F411">INDEX(DataAll!$N$2:$N$555,MATCH(LOWER(Data!A411),LOWER(DataAll!$M$2:$M$555),0))</f>
        <v>54.13</v>
      </c>
      <c r="G411" cm="1">
        <f t="array" ref="G411">INDEX(DataAll!$Q$2:$Q$555,MATCH(LOWER(Data!A411),LOWER(DataAll!$P$2:$P$555),0))</f>
        <v>4.6100000000000003</v>
      </c>
      <c r="H411" cm="1">
        <f t="array" ref="H411">INDEX(DataAll!$T$2:$T$555,MATCH(LOWER(Data!A411),LOWER(DataAll!$S$2:$S$555),0))</f>
        <v>0.35299999999999998</v>
      </c>
      <c r="I411" cm="1">
        <f t="array" ref="I411">INDEX(DataAll!$W$2:$W$555,MATCH(LOWER(Data!A411),LOWER(DataAll!$V$2:$V$555),0))</f>
        <v>25.66</v>
      </c>
      <c r="J411" cm="1">
        <f t="array" ref="J411">INDEX(DataAll!$Z$2:$Z$555,MATCH(LOWER(Data!A411),LOWER(DataAll!$Y$2:$Y$555),0))</f>
        <v>2.12</v>
      </c>
      <c r="K411" cm="1">
        <f t="array" ref="K411">INDEX(DataAll!$AM$2:$AM$555,MATCH(LOWER(Data!A411),LOWER(DataAll!$AL$2:$AL$555),0))</f>
        <v>5.03</v>
      </c>
      <c r="L411" cm="1">
        <f t="array" ref="L411">INDEX(DataAll!$AJ$2:$AJ$555,MATCH(LOWER(Data!A411),LOWER(DataAll!$AI$2:$AI$555),0))</f>
        <v>17.46</v>
      </c>
      <c r="M411" cm="1">
        <f t="array" ref="M411">INDEX(DataAll!$AP$2:$AP$555,MATCH(LOWER(Data!A411),LOWER(DataAll!$AO$2:$AO$555),0))</f>
        <v>69.41</v>
      </c>
      <c r="N411" cm="1">
        <f t="array" ref="N411">INDEX(DataAll!$AQ$2:$AQ$555,MATCH(LOWER(Data!A411),LOWER(DataAll!$AO$2:$AO$555),0))</f>
        <v>73.37</v>
      </c>
      <c r="O411" cm="1">
        <f t="array" ref="O411">INDEX(DataAll!$AT$2:$AT$555,MATCH(LOWER(Data!A411),LOWER(DataAll!$AS$2:$AS$555),0))</f>
        <v>10.35</v>
      </c>
      <c r="P411" cm="1">
        <f t="array" ref="P411">INDEX(DataAll!$AU$2:$AU$555,MATCH(LOWER(Data!A411),LOWER(DataAll!$AS$2:$AS$555),0))</f>
        <v>10.220000000000001</v>
      </c>
      <c r="Q411" cm="1">
        <f t="array" ref="Q411">INDEX(DataAll!$AX$2:$AX$556,MATCH(LOWER(Data!A411),LOWER(DataAll!$AW$2:$AW$556),0))</f>
        <v>46.41</v>
      </c>
      <c r="R411" cm="1">
        <f t="array" ref="R411">INDEX('Longitude and Latitude'!$B$2:$B$579,MATCH(LOWER(Data!A411),LOWER('Longitude and Latitude'!$A$2:$A$579),0))</f>
        <v>0.73333329999999997</v>
      </c>
      <c r="S411" cm="1">
        <f t="array" ref="S411">INDEX('Longitude and Latitude'!$C$2:$C$579,MATCH(LOWER(Data!A411),LOWER('Longitude and Latitude'!$A$2:$A$579),0))</f>
        <v>124.3166667</v>
      </c>
      <c r="T411" t="b">
        <f>IF(EXACT(A411, UPPER(A411)), TRUE, FALSE)</f>
        <v>0</v>
      </c>
    </row>
    <row r="412" spans="1:20" x14ac:dyDescent="0.35">
      <c r="A412" t="s">
        <v>409</v>
      </c>
      <c r="B412">
        <v>92.63</v>
      </c>
      <c r="C412" cm="1">
        <f t="array" ref="C412">INDEX(DataAll!$E$2:$E$555,MATCH(LOWER(Data!A412),LOWER(DataAll!$D$2:$D$555),0))</f>
        <v>77.290000000000006</v>
      </c>
      <c r="D412" cm="1">
        <f t="array" ref="D412">INDEX(DataAll!$H$2:$H$579,MATCH(LOWER(Data!A412),LOWER(DataAll!$G$2:$G$555),0))</f>
        <v>0.46899999999999997</v>
      </c>
      <c r="E412" cm="1">
        <f t="array" ref="E412">INDEX(DataAll!$K$2:$K$579,MATCH(LOWER(Data!A412),LOWER(DataAll!$J$2:$J$555),0))</f>
        <v>28.89</v>
      </c>
      <c r="F412" cm="1">
        <f t="array" ref="F412">INDEX(DataAll!$N$2:$N$555,MATCH(LOWER(Data!A412),LOWER(DataAll!$M$2:$M$555),0))</f>
        <v>53.03</v>
      </c>
      <c r="G412" t="e" cm="1">
        <f t="array" ref="G412">INDEX(DataAll!$Q$2:$Q$555,MATCH(LOWER(Data!A412),LOWER(DataAll!$P$2:$P$555),0))</f>
        <v>#N/A</v>
      </c>
      <c r="H412" cm="1">
        <f t="array" ref="H412">INDEX(DataAll!$T$2:$T$555,MATCH(LOWER(Data!A412),LOWER(DataAll!$S$2:$S$555),0))</f>
        <v>0.34699999999999998</v>
      </c>
      <c r="I412" cm="1">
        <f t="array" ref="I412">INDEX(DataAll!$W$2:$W$555,MATCH(LOWER(Data!A412),LOWER(DataAll!$V$2:$V$555),0))</f>
        <v>31</v>
      </c>
      <c r="J412" cm="1">
        <f t="array" ref="J412">INDEX(DataAll!$Z$2:$Z$555,MATCH(LOWER(Data!A412),LOWER(DataAll!$Y$2:$Y$555),0))</f>
        <v>2.3199999999999998</v>
      </c>
      <c r="K412" cm="1">
        <f t="array" ref="K412">INDEX(DataAll!$AM$2:$AM$555,MATCH(LOWER(Data!A412),LOWER(DataAll!$AL$2:$AL$555),0))</f>
        <v>12.41</v>
      </c>
      <c r="L412" cm="1">
        <f t="array" ref="L412">INDEX(DataAll!$AJ$2:$AJ$555,MATCH(LOWER(Data!A412),LOWER(DataAll!$AI$2:$AI$555),0))</f>
        <v>33.44</v>
      </c>
      <c r="M412" cm="1">
        <f t="array" ref="M412">INDEX(DataAll!$AP$2:$AP$555,MATCH(LOWER(Data!A412),LOWER(DataAll!$AO$2:$AO$555),0))</f>
        <v>67.239999999999995</v>
      </c>
      <c r="N412" cm="1">
        <f t="array" ref="N412">INDEX(DataAll!$AQ$2:$AQ$555,MATCH(LOWER(Data!A412),LOWER(DataAll!$AO$2:$AO$555),0))</f>
        <v>71.2</v>
      </c>
      <c r="O412" cm="1">
        <f t="array" ref="O412">INDEX(DataAll!$AT$2:$AT$555,MATCH(LOWER(Data!A412),LOWER(DataAll!$AS$2:$AS$555),0))</f>
        <v>9.15</v>
      </c>
      <c r="P412" cm="1">
        <f t="array" ref="P412">INDEX(DataAll!$AU$2:$AU$555,MATCH(LOWER(Data!A412),LOWER(DataAll!$AS$2:$AS$555),0))</f>
        <v>8.84</v>
      </c>
      <c r="Q412" cm="1">
        <f t="array" ref="Q412">INDEX(DataAll!$AX$2:$AX$556,MATCH(LOWER(Data!A412),LOWER(DataAll!$AW$2:$AW$556),0))</f>
        <v>34.94</v>
      </c>
      <c r="R412" cm="1">
        <f t="array" ref="R412">INDEX('Longitude and Latitude'!$B$2:$B$579,MATCH(LOWER(Data!A412),LOWER('Longitude and Latitude'!$A$2:$A$579),0))</f>
        <v>-1.4300253999999999</v>
      </c>
      <c r="S412" cm="1">
        <f t="array" ref="S412">INDEX('Longitude and Latitude'!$C$2:$C$579,MATCH(LOWER(Data!A412),LOWER('Longitude and Latitude'!$A$2:$A$579),0))</f>
        <v>121.4456179</v>
      </c>
      <c r="T412" t="b">
        <f>IF(EXACT(A412, UPPER(A412)), TRUE, FALSE)</f>
        <v>1</v>
      </c>
    </row>
    <row r="413" spans="1:20" x14ac:dyDescent="0.35">
      <c r="A413" t="s">
        <v>410</v>
      </c>
      <c r="B413">
        <v>92.32</v>
      </c>
      <c r="C413" cm="1">
        <f t="array" ref="C413">INDEX(DataAll!$E$2:$E$555,MATCH(LOWER(Data!A413),LOWER(DataAll!$D$2:$D$555),0))</f>
        <v>75.89</v>
      </c>
      <c r="D413" cm="1">
        <f t="array" ref="D413">INDEX(DataAll!$H$2:$H$579,MATCH(LOWER(Data!A413),LOWER(DataAll!$G$2:$G$555),0))</f>
        <v>0.53900000000000003</v>
      </c>
      <c r="E413" cm="1">
        <f t="array" ref="E413">INDEX(DataAll!$K$2:$K$579,MATCH(LOWER(Data!A413),LOWER(DataAll!$J$2:$J$555),0))</f>
        <v>20</v>
      </c>
      <c r="F413" cm="1">
        <f t="array" ref="F413">INDEX(DataAll!$N$2:$N$555,MATCH(LOWER(Data!A413),LOWER(DataAll!$M$2:$M$555),0))</f>
        <v>50.3</v>
      </c>
      <c r="G413" cm="1">
        <f t="array" ref="G413">INDEX(DataAll!$Q$2:$Q$555,MATCH(LOWER(Data!A413),LOWER(DataAll!$P$2:$P$555),0))</f>
        <v>16.559999999999999</v>
      </c>
      <c r="H413" cm="1">
        <f t="array" ref="H413">INDEX(DataAll!$T$2:$T$555,MATCH(LOWER(Data!A413),LOWER(DataAll!$S$2:$S$555),0))</f>
        <v>0.35399999999999998</v>
      </c>
      <c r="I413" cm="1">
        <f t="array" ref="I413">INDEX(DataAll!$W$2:$W$555,MATCH(LOWER(Data!A413),LOWER(DataAll!$V$2:$V$555),0))</f>
        <v>42.34</v>
      </c>
      <c r="J413" cm="1">
        <f t="array" ref="J413">INDEX(DataAll!$Z$2:$Z$555,MATCH(LOWER(Data!A413),LOWER(DataAll!$Y$2:$Y$555),0))</f>
        <v>2.41</v>
      </c>
      <c r="K413" cm="1">
        <f t="array" ref="K413">INDEX(DataAll!$AM$2:$AM$555,MATCH(LOWER(Data!A413),LOWER(DataAll!$AL$2:$AL$555),0))</f>
        <v>12.9</v>
      </c>
      <c r="L413" cm="1">
        <f t="array" ref="L413">INDEX(DataAll!$AJ$2:$AJ$555,MATCH(LOWER(Data!A413),LOWER(DataAll!$AI$2:$AI$555),0))</f>
        <v>52.85</v>
      </c>
      <c r="M413" cm="1">
        <f t="array" ref="M413">INDEX(DataAll!$AP$2:$AP$555,MATCH(LOWER(Data!A413),LOWER(DataAll!$AO$2:$AO$555),0))</f>
        <v>64.95</v>
      </c>
      <c r="N413" cm="1">
        <f t="array" ref="N413">INDEX(DataAll!$AQ$2:$AQ$555,MATCH(LOWER(Data!A413),LOWER(DataAll!$AO$2:$AO$555),0))</f>
        <v>68.88</v>
      </c>
      <c r="O413" cm="1">
        <f t="array" ref="O413">INDEX(DataAll!$AT$2:$AT$555,MATCH(LOWER(Data!A413),LOWER(DataAll!$AS$2:$AS$555),0))</f>
        <v>9.01</v>
      </c>
      <c r="P413" cm="1">
        <f t="array" ref="P413">INDEX(DataAll!$AU$2:$AU$555,MATCH(LOWER(Data!A413),LOWER(DataAll!$AS$2:$AS$555),0))</f>
        <v>8.42</v>
      </c>
      <c r="Q413" cm="1">
        <f t="array" ref="Q413">INDEX(DataAll!$AX$2:$AX$556,MATCH(LOWER(Data!A413),LOWER(DataAll!$AW$2:$AW$556),0))</f>
        <v>27.73</v>
      </c>
      <c r="R413" cm="1">
        <f t="array" ref="R413">INDEX('Longitude and Latitude'!$B$2:$B$579,MATCH(LOWER(Data!A413),LOWER('Longitude and Latitude'!$A$2:$A$579),0))</f>
        <v>-1.6408137</v>
      </c>
      <c r="S413" cm="1">
        <f t="array" ref="S413">INDEX('Longitude and Latitude'!$C$2:$C$579,MATCH(LOWER(Data!A413),LOWER('Longitude and Latitude'!$A$2:$A$579),0))</f>
        <v>123.5504076</v>
      </c>
      <c r="T413" t="b">
        <f>IF(EXACT(A413, UPPER(A413)), TRUE, FALSE)</f>
        <v>0</v>
      </c>
    </row>
    <row r="414" spans="1:20" x14ac:dyDescent="0.35">
      <c r="A414" t="s">
        <v>411</v>
      </c>
      <c r="B414">
        <v>91.44</v>
      </c>
      <c r="C414" cm="1">
        <f t="array" ref="C414">INDEX(DataAll!$E$2:$E$555,MATCH(LOWER(Data!A414),LOWER(DataAll!$D$2:$D$555),0))</f>
        <v>76.069999999999993</v>
      </c>
      <c r="D414" cm="1">
        <f t="array" ref="D414">INDEX(DataAll!$H$2:$H$579,MATCH(LOWER(Data!A414),LOWER(DataAll!$G$2:$G$555),0))</f>
        <v>0.47899999999999998</v>
      </c>
      <c r="E414" cm="1">
        <f t="array" ref="E414">INDEX(DataAll!$K$2:$K$579,MATCH(LOWER(Data!A414),LOWER(DataAll!$J$2:$J$555),0))</f>
        <v>31.43</v>
      </c>
      <c r="F414" cm="1">
        <f t="array" ref="F414">INDEX(DataAll!$N$2:$N$555,MATCH(LOWER(Data!A414),LOWER(DataAll!$M$2:$M$555),0))</f>
        <v>57.43</v>
      </c>
      <c r="G414" cm="1">
        <f t="array" ref="G414">INDEX(DataAll!$Q$2:$Q$555,MATCH(LOWER(Data!A414),LOWER(DataAll!$P$2:$P$555),0))</f>
        <v>9.9499999999999993</v>
      </c>
      <c r="H414" cm="1">
        <f t="array" ref="H414">INDEX(DataAll!$T$2:$T$555,MATCH(LOWER(Data!A414),LOWER(DataAll!$S$2:$S$555),0))</f>
        <v>0.33500000000000002</v>
      </c>
      <c r="I414" cm="1">
        <f t="array" ref="I414">INDEX(DataAll!$W$2:$W$555,MATCH(LOWER(Data!A414),LOWER(DataAll!$V$2:$V$555),0))</f>
        <v>28.51</v>
      </c>
      <c r="J414" cm="1">
        <f t="array" ref="J414">INDEX(DataAll!$Z$2:$Z$555,MATCH(LOWER(Data!A414),LOWER(DataAll!$Y$2:$Y$555),0))</f>
        <v>2.29</v>
      </c>
      <c r="K414" cm="1">
        <f t="array" ref="K414">INDEX(DataAll!$AM$2:$AM$555,MATCH(LOWER(Data!A414),LOWER(DataAll!$AL$2:$AL$555),0))</f>
        <v>6.94</v>
      </c>
      <c r="L414" cm="1">
        <f t="array" ref="L414">INDEX(DataAll!$AJ$2:$AJ$555,MATCH(LOWER(Data!A414),LOWER(DataAll!$AI$2:$AI$555),0))</f>
        <v>25.92</v>
      </c>
      <c r="M414" cm="1">
        <f t="array" ref="M414">INDEX(DataAll!$AP$2:$AP$555,MATCH(LOWER(Data!A414),LOWER(DataAll!$AO$2:$AO$555),0))</f>
        <v>69.09</v>
      </c>
      <c r="N414" cm="1">
        <f t="array" ref="N414">INDEX(DataAll!$AQ$2:$AQ$555,MATCH(LOWER(Data!A414),LOWER(DataAll!$AO$2:$AO$555),0))</f>
        <v>73.040000000000006</v>
      </c>
      <c r="O414" cm="1">
        <f t="array" ref="O414">INDEX(DataAll!$AT$2:$AT$555,MATCH(LOWER(Data!A414),LOWER(DataAll!$AS$2:$AS$555),0))</f>
        <v>8.89</v>
      </c>
      <c r="P414" cm="1">
        <f t="array" ref="P414">INDEX(DataAll!$AU$2:$AU$555,MATCH(LOWER(Data!A414),LOWER(DataAll!$AS$2:$AS$555),0))</f>
        <v>8.5</v>
      </c>
      <c r="Q414" cm="1">
        <f t="array" ref="Q414">INDEX(DataAll!$AX$2:$AX$556,MATCH(LOWER(Data!A414),LOWER(DataAll!$AW$2:$AW$556),0))</f>
        <v>32.119999999999997</v>
      </c>
      <c r="R414" cm="1">
        <f t="array" ref="R414">INDEX('Longitude and Latitude'!$B$2:$B$579,MATCH(LOWER(Data!A414),LOWER('Longitude and Latitude'!$A$2:$A$579),0))</f>
        <v>-1.6408137</v>
      </c>
      <c r="S414" cm="1">
        <f t="array" ref="S414">INDEX('Longitude and Latitude'!$C$2:$C$579,MATCH(LOWER(Data!A414),LOWER('Longitude and Latitude'!$A$2:$A$579),0))</f>
        <v>123.5504076</v>
      </c>
      <c r="T414" t="b">
        <f>IF(EXACT(A414, UPPER(A414)), TRUE, FALSE)</f>
        <v>0</v>
      </c>
    </row>
    <row r="415" spans="1:20" x14ac:dyDescent="0.35">
      <c r="A415" t="s">
        <v>412</v>
      </c>
      <c r="B415">
        <v>85.17</v>
      </c>
      <c r="C415" cm="1">
        <f t="array" ref="C415">INDEX(DataAll!$E$2:$E$555,MATCH(LOWER(Data!A415),LOWER(DataAll!$D$2:$D$555),0))</f>
        <v>56.01</v>
      </c>
      <c r="D415" cm="1">
        <f t="array" ref="D415">INDEX(DataAll!$H$2:$H$579,MATCH(LOWER(Data!A415),LOWER(DataAll!$G$2:$G$555),0))</f>
        <v>0.56999999999999995</v>
      </c>
      <c r="E415" cm="1">
        <f t="array" ref="E415">INDEX(DataAll!$K$2:$K$579,MATCH(LOWER(Data!A415),LOWER(DataAll!$J$2:$J$555),0))</f>
        <v>4</v>
      </c>
      <c r="F415" cm="1">
        <f t="array" ref="F415">INDEX(DataAll!$N$2:$N$555,MATCH(LOWER(Data!A415),LOWER(DataAll!$M$2:$M$555),0))</f>
        <v>46.44</v>
      </c>
      <c r="G415" cm="1">
        <f t="array" ref="G415">INDEX(DataAll!$Q$2:$Q$555,MATCH(LOWER(Data!A415),LOWER(DataAll!$P$2:$P$555),0))</f>
        <v>7.9</v>
      </c>
      <c r="H415" cm="1">
        <f t="array" ref="H415">INDEX(DataAll!$T$2:$T$555,MATCH(LOWER(Data!A415),LOWER(DataAll!$S$2:$S$555),0))</f>
        <v>0.40200000000000002</v>
      </c>
      <c r="I415" cm="1">
        <f t="array" ref="I415">INDEX(DataAll!$W$2:$W$555,MATCH(LOWER(Data!A415),LOWER(DataAll!$V$2:$V$555),0))</f>
        <v>31.94</v>
      </c>
      <c r="J415" cm="1">
        <f t="array" ref="J415">INDEX(DataAll!$Z$2:$Z$555,MATCH(LOWER(Data!A415),LOWER(DataAll!$Y$2:$Y$555),0))</f>
        <v>2.3199999999999998</v>
      </c>
      <c r="K415" cm="1">
        <f t="array" ref="K415">INDEX(DataAll!$AM$2:$AM$555,MATCH(LOWER(Data!A415),LOWER(DataAll!$AL$2:$AL$555),0))</f>
        <v>12.31</v>
      </c>
      <c r="L415" cm="1">
        <f t="array" ref="L415">INDEX(DataAll!$AJ$2:$AJ$555,MATCH(LOWER(Data!A415),LOWER(DataAll!$AI$2:$AI$555),0))</f>
        <v>30.54</v>
      </c>
      <c r="M415" cm="1">
        <f t="array" ref="M415">INDEX(DataAll!$AP$2:$AP$555,MATCH(LOWER(Data!A415),LOWER(DataAll!$AO$2:$AO$555),0))</f>
        <v>67.44</v>
      </c>
      <c r="N415" cm="1">
        <f t="array" ref="N415">INDEX(DataAll!$AQ$2:$AQ$555,MATCH(LOWER(Data!A415),LOWER(DataAll!$AO$2:$AO$555),0))</f>
        <v>71.400000000000006</v>
      </c>
      <c r="O415" cm="1">
        <f t="array" ref="O415">INDEX(DataAll!$AT$2:$AT$555,MATCH(LOWER(Data!A415),LOWER(DataAll!$AS$2:$AS$555),0))</f>
        <v>9.74</v>
      </c>
      <c r="P415" cm="1">
        <f t="array" ref="P415">INDEX(DataAll!$AU$2:$AU$555,MATCH(LOWER(Data!A415),LOWER(DataAll!$AS$2:$AS$555),0))</f>
        <v>9.25</v>
      </c>
      <c r="Q415" cm="1">
        <f t="array" ref="Q415">INDEX(DataAll!$AX$2:$AX$556,MATCH(LOWER(Data!A415),LOWER(DataAll!$AW$2:$AW$556),0))</f>
        <v>33.6</v>
      </c>
      <c r="R415" cm="1">
        <f t="array" ref="R415">INDEX('Longitude and Latitude'!$B$2:$B$579,MATCH(LOWER(Data!A415),LOWER('Longitude and Latitude'!$A$2:$A$579),0))</f>
        <v>-2.3003072000000002</v>
      </c>
      <c r="S415" cm="1">
        <f t="array" ref="S415">INDEX('Longitude and Latitude'!$C$2:$C$579,MATCH(LOWER(Data!A415),LOWER('Longitude and Latitude'!$A$2:$A$579),0))</f>
        <v>121.5370003</v>
      </c>
      <c r="T415" t="b">
        <f>IF(EXACT(A415, UPPER(A415)), TRUE, FALSE)</f>
        <v>0</v>
      </c>
    </row>
    <row r="416" spans="1:20" x14ac:dyDescent="0.35">
      <c r="A416" t="s">
        <v>413</v>
      </c>
      <c r="B416">
        <v>97.2</v>
      </c>
      <c r="C416" cm="1">
        <f t="array" ref="C416">INDEX(DataAll!$E$2:$E$555,MATCH(LOWER(Data!A416),LOWER(DataAll!$D$2:$D$555),0))</f>
        <v>75.34</v>
      </c>
      <c r="D416" cm="1">
        <f t="array" ref="D416">INDEX(DataAll!$H$2:$H$579,MATCH(LOWER(Data!A416),LOWER(DataAll!$G$2:$G$555),0))</f>
        <v>0.38600000000000001</v>
      </c>
      <c r="E416" cm="1">
        <f t="array" ref="E416">INDEX(DataAll!$K$2:$K$579,MATCH(LOWER(Data!A416),LOWER(DataAll!$J$2:$J$555),0))</f>
        <v>23.33</v>
      </c>
      <c r="F416" cm="1">
        <f t="array" ref="F416">INDEX(DataAll!$N$2:$N$555,MATCH(LOWER(Data!A416),LOWER(DataAll!$M$2:$M$555),0))</f>
        <v>55.68</v>
      </c>
      <c r="G416" cm="1">
        <f t="array" ref="G416">INDEX(DataAll!$Q$2:$Q$555,MATCH(LOWER(Data!A416),LOWER(DataAll!$P$2:$P$555),0))</f>
        <v>7.36</v>
      </c>
      <c r="H416" cm="1">
        <f t="array" ref="H416">INDEX(DataAll!$T$2:$T$555,MATCH(LOWER(Data!A416),LOWER(DataAll!$S$2:$S$555),0))</f>
        <v>0.33600000000000002</v>
      </c>
      <c r="I416" cm="1">
        <f t="array" ref="I416">INDEX(DataAll!$W$2:$W$555,MATCH(LOWER(Data!A416),LOWER(DataAll!$V$2:$V$555),0))</f>
        <v>33.049999999999997</v>
      </c>
      <c r="J416" cm="1">
        <f t="array" ref="J416">INDEX(DataAll!$Z$2:$Z$555,MATCH(LOWER(Data!A416),LOWER(DataAll!$Y$2:$Y$555),0))</f>
        <v>2.2000000000000002</v>
      </c>
      <c r="K416" cm="1">
        <f t="array" ref="K416">INDEX(DataAll!$AM$2:$AM$555,MATCH(LOWER(Data!A416),LOWER(DataAll!$AL$2:$AL$555),0))</f>
        <v>15.16</v>
      </c>
      <c r="L416" cm="1">
        <f t="array" ref="L416">INDEX(DataAll!$AJ$2:$AJ$555,MATCH(LOWER(Data!A416),LOWER(DataAll!$AI$2:$AI$555),0))</f>
        <v>21.61</v>
      </c>
      <c r="M416" cm="1">
        <f t="array" ref="M416">INDEX(DataAll!$AP$2:$AP$555,MATCH(LOWER(Data!A416),LOWER(DataAll!$AO$2:$AO$555),0))</f>
        <v>69.39</v>
      </c>
      <c r="N416" cm="1">
        <f t="array" ref="N416">INDEX(DataAll!$AQ$2:$AQ$555,MATCH(LOWER(Data!A416),LOWER(DataAll!$AO$2:$AO$555),0))</f>
        <v>73.36</v>
      </c>
      <c r="O416" cm="1">
        <f t="array" ref="O416">INDEX(DataAll!$AT$2:$AT$555,MATCH(LOWER(Data!A416),LOWER(DataAll!$AS$2:$AS$555),0))</f>
        <v>9.6</v>
      </c>
      <c r="P416" cm="1">
        <f t="array" ref="P416">INDEX(DataAll!$AU$2:$AU$555,MATCH(LOWER(Data!A416),LOWER(DataAll!$AS$2:$AS$555),0))</f>
        <v>9.5299999999999994</v>
      </c>
      <c r="Q416" cm="1">
        <f t="array" ref="Q416">INDEX(DataAll!$AX$2:$AX$556,MATCH(LOWER(Data!A416),LOWER(DataAll!$AW$2:$AW$556),0))</f>
        <v>37.93</v>
      </c>
      <c r="R416" cm="1">
        <f t="array" ref="R416">INDEX('Longitude and Latitude'!$B$2:$B$579,MATCH(LOWER(Data!A416),LOWER('Longitude and Latitude'!$A$2:$A$579),0))</f>
        <v>-1.3919220000000001</v>
      </c>
      <c r="S416" cm="1">
        <f t="array" ref="S416">INDEX('Longitude and Latitude'!$C$2:$C$579,MATCH(LOWER(Data!A416),LOWER('Longitude and Latitude'!$A$2:$A$579),0))</f>
        <v>120.766998</v>
      </c>
      <c r="T416" t="b">
        <f>IF(EXACT(A416, UPPER(A416)), TRUE, FALSE)</f>
        <v>0</v>
      </c>
    </row>
    <row r="417" spans="1:20" x14ac:dyDescent="0.35">
      <c r="A417" t="s">
        <v>414</v>
      </c>
      <c r="B417">
        <v>89.17</v>
      </c>
      <c r="C417" cm="1">
        <f t="array" ref="C417">INDEX(DataAll!$E$2:$E$555,MATCH(LOWER(Data!A417),LOWER(DataAll!$D$2:$D$555),0))</f>
        <v>58.23</v>
      </c>
      <c r="D417" cm="1">
        <f t="array" ref="D417">INDEX(DataAll!$H$2:$H$579,MATCH(LOWER(Data!A417),LOWER(DataAll!$G$2:$G$555),0))</f>
        <v>0.6</v>
      </c>
      <c r="E417" cm="1">
        <f t="array" ref="E417">INDEX(DataAll!$K$2:$K$579,MATCH(LOWER(Data!A417),LOWER(DataAll!$J$2:$J$555),0))</f>
        <v>6.9</v>
      </c>
      <c r="F417" cm="1">
        <f t="array" ref="F417">INDEX(DataAll!$N$2:$N$555,MATCH(LOWER(Data!A417),LOWER(DataAll!$M$2:$M$555),0))</f>
        <v>47.15</v>
      </c>
      <c r="G417" cm="1">
        <f t="array" ref="G417">INDEX(DataAll!$Q$2:$Q$555,MATCH(LOWER(Data!A417),LOWER(DataAll!$P$2:$P$555),0))</f>
        <v>11.36</v>
      </c>
      <c r="H417" cm="1">
        <f t="array" ref="H417">INDEX(DataAll!$T$2:$T$555,MATCH(LOWER(Data!A417),LOWER(DataAll!$S$2:$S$555),0))</f>
        <v>0.38200000000000001</v>
      </c>
      <c r="I417" cm="1">
        <f t="array" ref="I417">INDEX(DataAll!$W$2:$W$555,MATCH(LOWER(Data!A417),LOWER(DataAll!$V$2:$V$555),0))</f>
        <v>30.89</v>
      </c>
      <c r="J417" cm="1">
        <f t="array" ref="J417">INDEX(DataAll!$Z$2:$Z$555,MATCH(LOWER(Data!A417),LOWER(DataAll!$Y$2:$Y$555),0))</f>
        <v>2.34</v>
      </c>
      <c r="K417" cm="1">
        <f t="array" ref="K417">INDEX(DataAll!$AM$2:$AM$555,MATCH(LOWER(Data!A417),LOWER(DataAll!$AL$2:$AL$555),0))</f>
        <v>16.25</v>
      </c>
      <c r="L417" cm="1">
        <f t="array" ref="L417">INDEX(DataAll!$AJ$2:$AJ$555,MATCH(LOWER(Data!A417),LOWER(DataAll!$AI$2:$AI$555),0))</f>
        <v>34.72</v>
      </c>
      <c r="M417" cm="1">
        <f t="array" ref="M417">INDEX(DataAll!$AP$2:$AP$555,MATCH(LOWER(Data!A417),LOWER(DataAll!$AO$2:$AO$555),0))</f>
        <v>65.91</v>
      </c>
      <c r="N417" cm="1">
        <f t="array" ref="N417">INDEX(DataAll!$AQ$2:$AQ$555,MATCH(LOWER(Data!A417),LOWER(DataAll!$AO$2:$AO$555),0))</f>
        <v>69.900000000000006</v>
      </c>
      <c r="O417" cm="1">
        <f t="array" ref="O417">INDEX(DataAll!$AT$2:$AT$555,MATCH(LOWER(Data!A417),LOWER(DataAll!$AS$2:$AS$555),0))</f>
        <v>8.51</v>
      </c>
      <c r="P417" cm="1">
        <f t="array" ref="P417">INDEX(DataAll!$AU$2:$AU$555,MATCH(LOWER(Data!A417),LOWER(DataAll!$AS$2:$AS$555),0))</f>
        <v>7.74</v>
      </c>
      <c r="Q417" cm="1">
        <f t="array" ref="Q417">INDEX(DataAll!$AX$2:$AX$556,MATCH(LOWER(Data!A417),LOWER(DataAll!$AW$2:$AW$556),0))</f>
        <v>24.86</v>
      </c>
      <c r="R417" cm="1">
        <f t="array" ref="R417">INDEX('Longitude and Latitude'!$B$2:$B$579,MATCH(LOWER(Data!A417),LOWER('Longitude and Latitude'!$A$2:$A$579),0))</f>
        <v>-0.42331550000000001</v>
      </c>
      <c r="S417" cm="1">
        <f t="array" ref="S417">INDEX('Longitude and Latitude'!$C$2:$C$579,MATCH(LOWER(Data!A417),LOWER('Longitude and Latitude'!$A$2:$A$579),0))</f>
        <v>119.83523030000001</v>
      </c>
      <c r="T417" t="b">
        <f>IF(EXACT(A417, UPPER(A417)), TRUE, FALSE)</f>
        <v>0</v>
      </c>
    </row>
    <row r="418" spans="1:20" x14ac:dyDescent="0.35">
      <c r="A418" t="s">
        <v>415</v>
      </c>
      <c r="B418">
        <v>90.53</v>
      </c>
      <c r="C418" cm="1">
        <f t="array" ref="C418">INDEX(DataAll!$E$2:$E$555,MATCH(LOWER(Data!A418),LOWER(DataAll!$D$2:$D$555),0))</f>
        <v>65.48</v>
      </c>
      <c r="D418" cm="1">
        <f t="array" ref="D418">INDEX(DataAll!$H$2:$H$579,MATCH(LOWER(Data!A418),LOWER(DataAll!$G$2:$G$555),0))</f>
        <v>0.371</v>
      </c>
      <c r="E418" cm="1">
        <f t="array" ref="E418">INDEX(DataAll!$K$2:$K$579,MATCH(LOWER(Data!A418),LOWER(DataAll!$J$2:$J$555),0))</f>
        <v>20</v>
      </c>
      <c r="F418" cm="1">
        <f t="array" ref="F418">INDEX(DataAll!$N$2:$N$555,MATCH(LOWER(Data!A418),LOWER(DataAll!$M$2:$M$555),0))</f>
        <v>57.06</v>
      </c>
      <c r="G418" cm="1">
        <f t="array" ref="G418">INDEX(DataAll!$Q$2:$Q$555,MATCH(LOWER(Data!A418),LOWER(DataAll!$P$2:$P$555),0))</f>
        <v>13.66</v>
      </c>
      <c r="H418" cm="1">
        <f t="array" ref="H418">INDEX(DataAll!$T$2:$T$555,MATCH(LOWER(Data!A418),LOWER(DataAll!$S$2:$S$555),0))</f>
        <v>0.35099999999999998</v>
      </c>
      <c r="I418" cm="1">
        <f t="array" ref="I418">INDEX(DataAll!$W$2:$W$555,MATCH(LOWER(Data!A418),LOWER(DataAll!$V$2:$V$555),0))</f>
        <v>25.74</v>
      </c>
      <c r="J418" cm="1">
        <f t="array" ref="J418">INDEX(DataAll!$Z$2:$Z$555,MATCH(LOWER(Data!A418),LOWER(DataAll!$Y$2:$Y$555),0))</f>
        <v>2.4</v>
      </c>
      <c r="K418" cm="1">
        <f t="array" ref="K418">INDEX(DataAll!$AM$2:$AM$555,MATCH(LOWER(Data!A418),LOWER(DataAll!$AL$2:$AL$555),0))</f>
        <v>12.85</v>
      </c>
      <c r="L418" cm="1">
        <f t="array" ref="L418">INDEX(DataAll!$AJ$2:$AJ$555,MATCH(LOWER(Data!A418),LOWER(DataAll!$AI$2:$AI$555),0))</f>
        <v>34.64</v>
      </c>
      <c r="M418" cm="1">
        <f t="array" ref="M418">INDEX(DataAll!$AP$2:$AP$555,MATCH(LOWER(Data!A418),LOWER(DataAll!$AO$2:$AO$555),0))</f>
        <v>64.86</v>
      </c>
      <c r="N418" cm="1">
        <f t="array" ref="N418">INDEX(DataAll!$AQ$2:$AQ$555,MATCH(LOWER(Data!A418),LOWER(DataAll!$AO$2:$AO$555),0))</f>
        <v>68.790000000000006</v>
      </c>
      <c r="O418" cm="1">
        <f t="array" ref="O418">INDEX(DataAll!$AT$2:$AT$555,MATCH(LOWER(Data!A418),LOWER(DataAll!$AS$2:$AS$555),0))</f>
        <v>8.92</v>
      </c>
      <c r="P418" cm="1">
        <f t="array" ref="P418">INDEX(DataAll!$AU$2:$AU$555,MATCH(LOWER(Data!A418),LOWER(DataAll!$AS$2:$AS$555),0))</f>
        <v>8.52</v>
      </c>
      <c r="Q418" cm="1">
        <f t="array" ref="Q418">INDEX(DataAll!$AX$2:$AX$556,MATCH(LOWER(Data!A418),LOWER(DataAll!$AW$2:$AW$556),0))</f>
        <v>31.81</v>
      </c>
      <c r="R418" cm="1">
        <f t="array" ref="R418">INDEX('Longitude and Latitude'!$B$2:$B$579,MATCH(LOWER(Data!A418),LOWER('Longitude and Latitude'!$A$2:$A$579),0))</f>
        <v>0.87682309999999997</v>
      </c>
      <c r="S418" cm="1">
        <f t="array" ref="S418">INDEX('Longitude and Latitude'!$C$2:$C$579,MATCH(LOWER(Data!A418),LOWER('Longitude and Latitude'!$A$2:$A$579),0))</f>
        <v>120.7579834</v>
      </c>
      <c r="T418" t="b">
        <f>IF(EXACT(A418, UPPER(A418)), TRUE, FALSE)</f>
        <v>0</v>
      </c>
    </row>
    <row r="419" spans="1:20" x14ac:dyDescent="0.35">
      <c r="A419" t="s">
        <v>416</v>
      </c>
      <c r="B419">
        <v>89.86</v>
      </c>
      <c r="C419" cm="1">
        <f t="array" ref="C419">INDEX(DataAll!$E$2:$E$555,MATCH(LOWER(Data!A419),LOWER(DataAll!$D$2:$D$555),0))</f>
        <v>61.53</v>
      </c>
      <c r="D419" cm="1">
        <f t="array" ref="D419">INDEX(DataAll!$H$2:$H$579,MATCH(LOWER(Data!A419),LOWER(DataAll!$G$2:$G$555),0))</f>
        <v>0.438</v>
      </c>
      <c r="E419" cm="1">
        <f t="array" ref="E419">INDEX(DataAll!$K$2:$K$579,MATCH(LOWER(Data!A419),LOWER(DataAll!$J$2:$J$555),0))</f>
        <v>16</v>
      </c>
      <c r="F419" cm="1">
        <f t="array" ref="F419">INDEX(DataAll!$N$2:$N$555,MATCH(LOWER(Data!A419),LOWER(DataAll!$M$2:$M$555),0))</f>
        <v>59.83</v>
      </c>
      <c r="G419" cm="1">
        <f t="array" ref="G419">INDEX(DataAll!$Q$2:$Q$555,MATCH(LOWER(Data!A419),LOWER(DataAll!$P$2:$P$555),0))</f>
        <v>8.48</v>
      </c>
      <c r="H419" cm="1">
        <f t="array" ref="H419">INDEX(DataAll!$T$2:$T$555,MATCH(LOWER(Data!A419),LOWER(DataAll!$S$2:$S$555),0))</f>
        <v>0.43</v>
      </c>
      <c r="I419" cm="1">
        <f t="array" ref="I419">INDEX(DataAll!$W$2:$W$555,MATCH(LOWER(Data!A419),LOWER(DataAll!$V$2:$V$555),0))</f>
        <v>26.53</v>
      </c>
      <c r="J419" cm="1">
        <f t="array" ref="J419">INDEX(DataAll!$Z$2:$Z$555,MATCH(LOWER(Data!A419),LOWER(DataAll!$Y$2:$Y$555),0))</f>
        <v>2.58</v>
      </c>
      <c r="K419" cm="1">
        <f t="array" ref="K419">INDEX(DataAll!$AM$2:$AM$555,MATCH(LOWER(Data!A419),LOWER(DataAll!$AL$2:$AL$555),0))</f>
        <v>13.36</v>
      </c>
      <c r="L419" cm="1">
        <f t="array" ref="L419">INDEX(DataAll!$AJ$2:$AJ$555,MATCH(LOWER(Data!A419),LOWER(DataAll!$AI$2:$AI$555),0))</f>
        <v>33.72</v>
      </c>
      <c r="M419" cm="1">
        <f t="array" ref="M419">INDEX(DataAll!$AP$2:$AP$555,MATCH(LOWER(Data!A419),LOWER(DataAll!$AO$2:$AO$555),0))</f>
        <v>67.8</v>
      </c>
      <c r="N419" cm="1">
        <f t="array" ref="N419">INDEX(DataAll!$AQ$2:$AQ$555,MATCH(LOWER(Data!A419),LOWER(DataAll!$AO$2:$AO$555),0))</f>
        <v>71.75</v>
      </c>
      <c r="O419" cm="1">
        <f t="array" ref="O419">INDEX(DataAll!$AT$2:$AT$555,MATCH(LOWER(Data!A419),LOWER(DataAll!$AS$2:$AS$555),0))</f>
        <v>9.23</v>
      </c>
      <c r="P419" cm="1">
        <f t="array" ref="P419">INDEX(DataAll!$AU$2:$AU$555,MATCH(LOWER(Data!A419),LOWER(DataAll!$AS$2:$AS$555),0))</f>
        <v>9.08</v>
      </c>
      <c r="Q419" cm="1">
        <f t="array" ref="Q419">INDEX(DataAll!$AX$2:$AX$556,MATCH(LOWER(Data!A419),LOWER(DataAll!$AW$2:$AW$556),0))</f>
        <v>33.79</v>
      </c>
      <c r="R419" cm="1">
        <f t="array" ref="R419">INDEX('Longitude and Latitude'!$B$2:$B$579,MATCH(LOWER(Data!A419),LOWER('Longitude and Latitude'!$A$2:$A$579),0))</f>
        <v>0.9695452</v>
      </c>
      <c r="S419" cm="1">
        <f t="array" ref="S419">INDEX('Longitude and Latitude'!$C$2:$C$579,MATCH(LOWER(Data!A419),LOWER('Longitude and Latitude'!$A$2:$A$579),0))</f>
        <v>121.35416309999999</v>
      </c>
      <c r="T419" t="b">
        <f>IF(EXACT(A419, UPPER(A419)), TRUE, FALSE)</f>
        <v>0</v>
      </c>
    </row>
    <row r="420" spans="1:20" x14ac:dyDescent="0.35">
      <c r="A420" t="s">
        <v>417</v>
      </c>
      <c r="B420">
        <v>92.58</v>
      </c>
      <c r="C420" cm="1">
        <f t="array" ref="C420">INDEX(DataAll!$E$2:$E$555,MATCH(LOWER(Data!A420),LOWER(DataAll!$D$2:$D$555),0))</f>
        <v>59.77</v>
      </c>
      <c r="D420" cm="1">
        <f t="array" ref="D420">INDEX(DataAll!$H$2:$H$579,MATCH(LOWER(Data!A420),LOWER(DataAll!$G$2:$G$555),0))</f>
        <v>0.52800000000000002</v>
      </c>
      <c r="E420" cm="1">
        <f t="array" ref="E420">INDEX(DataAll!$K$2:$K$579,MATCH(LOWER(Data!A420),LOWER(DataAll!$J$2:$J$555),0))</f>
        <v>15</v>
      </c>
      <c r="F420" cm="1">
        <f t="array" ref="F420">INDEX(DataAll!$N$2:$N$555,MATCH(LOWER(Data!A420),LOWER(DataAll!$M$2:$M$555),0))</f>
        <v>55.03</v>
      </c>
      <c r="G420" cm="1">
        <f t="array" ref="G420">INDEX(DataAll!$Q$2:$Q$555,MATCH(LOWER(Data!A420),LOWER(DataAll!$P$2:$P$555),0))</f>
        <v>9.92</v>
      </c>
      <c r="H420" cm="1">
        <f t="array" ref="H420">INDEX(DataAll!$T$2:$T$555,MATCH(LOWER(Data!A420),LOWER(DataAll!$S$2:$S$555),0))</f>
        <v>0.39100000000000001</v>
      </c>
      <c r="I420" cm="1">
        <f t="array" ref="I420">INDEX(DataAll!$W$2:$W$555,MATCH(LOWER(Data!A420),LOWER(DataAll!$V$2:$V$555),0))</f>
        <v>24.33</v>
      </c>
      <c r="J420" cm="1">
        <f t="array" ref="J420">INDEX(DataAll!$Z$2:$Z$555,MATCH(LOWER(Data!A420),LOWER(DataAll!$Y$2:$Y$555),0))</f>
        <v>2.4</v>
      </c>
      <c r="K420" cm="1">
        <f t="array" ref="K420">INDEX(DataAll!$AM$2:$AM$555,MATCH(LOWER(Data!A420),LOWER(DataAll!$AL$2:$AL$555),0))</f>
        <v>14.91</v>
      </c>
      <c r="L420" cm="1">
        <f t="array" ref="L420">INDEX(DataAll!$AJ$2:$AJ$555,MATCH(LOWER(Data!A420),LOWER(DataAll!$AI$2:$AI$555),0))</f>
        <v>42.52</v>
      </c>
      <c r="M420" cm="1">
        <f t="array" ref="M420">INDEX(DataAll!$AP$2:$AP$555,MATCH(LOWER(Data!A420),LOWER(DataAll!$AO$2:$AO$555),0))</f>
        <v>62.75</v>
      </c>
      <c r="N420" cm="1">
        <f t="array" ref="N420">INDEX(DataAll!$AQ$2:$AQ$555,MATCH(LOWER(Data!A420),LOWER(DataAll!$AO$2:$AO$555),0))</f>
        <v>66.58</v>
      </c>
      <c r="O420" cm="1">
        <f t="array" ref="O420">INDEX(DataAll!$AT$2:$AT$555,MATCH(LOWER(Data!A420),LOWER(DataAll!$AS$2:$AS$555),0))</f>
        <v>8.2899999999999991</v>
      </c>
      <c r="P420" cm="1">
        <f t="array" ref="P420">INDEX(DataAll!$AU$2:$AU$555,MATCH(LOWER(Data!A420),LOWER(DataAll!$AS$2:$AS$555),0))</f>
        <v>7.95</v>
      </c>
      <c r="Q420" cm="1">
        <f t="array" ref="Q420">INDEX(DataAll!$AX$2:$AX$556,MATCH(LOWER(Data!A420),LOWER(DataAll!$AW$2:$AW$556),0))</f>
        <v>28.95</v>
      </c>
      <c r="R420" cm="1">
        <f t="array" ref="R420">INDEX('Longitude and Latitude'!$B$2:$B$579,MATCH(LOWER(Data!A420),LOWER('Longitude and Latitude'!$A$2:$A$579),0))</f>
        <v>0.58176070000000002</v>
      </c>
      <c r="S420" cm="1">
        <f t="array" ref="S420">INDEX('Longitude and Latitude'!$C$2:$C$579,MATCH(LOWER(Data!A420),LOWER('Longitude and Latitude'!$A$2:$A$579),0))</f>
        <v>120.8039474</v>
      </c>
      <c r="T420" t="b">
        <f>IF(EXACT(A420, UPPER(A420)), TRUE, FALSE)</f>
        <v>0</v>
      </c>
    </row>
    <row r="421" spans="1:20" x14ac:dyDescent="0.35">
      <c r="A421" t="s">
        <v>418</v>
      </c>
      <c r="B421">
        <v>91.56</v>
      </c>
      <c r="C421" cm="1">
        <f t="array" ref="C421">INDEX(DataAll!$E$2:$E$555,MATCH(LOWER(Data!A421),LOWER(DataAll!$D$2:$D$555),0))</f>
        <v>54.39</v>
      </c>
      <c r="D421" cm="1">
        <f t="array" ref="D421">INDEX(DataAll!$H$2:$H$579,MATCH(LOWER(Data!A421),LOWER(DataAll!$G$2:$G$555),0))</f>
        <v>0.56499999999999995</v>
      </c>
      <c r="E421" cm="1">
        <f t="array" ref="E421">INDEX(DataAll!$K$2:$K$579,MATCH(LOWER(Data!A421),LOWER(DataAll!$J$2:$J$555),0))</f>
        <v>4</v>
      </c>
      <c r="F421" cm="1">
        <f t="array" ref="F421">INDEX(DataAll!$N$2:$N$555,MATCH(LOWER(Data!A421),LOWER(DataAll!$M$2:$M$555),0))</f>
        <v>58.16</v>
      </c>
      <c r="G421" cm="1">
        <f t="array" ref="G421">INDEX(DataAll!$Q$2:$Q$555,MATCH(LOWER(Data!A421),LOWER(DataAll!$P$2:$P$555),0))</f>
        <v>10.78</v>
      </c>
      <c r="H421" cm="1">
        <f t="array" ref="H421">INDEX(DataAll!$T$2:$T$555,MATCH(LOWER(Data!A421),LOWER(DataAll!$S$2:$S$555),0))</f>
        <v>0.41299999999999998</v>
      </c>
      <c r="I421" cm="1">
        <f t="array" ref="I421">INDEX(DataAll!$W$2:$W$555,MATCH(LOWER(Data!A421),LOWER(DataAll!$V$2:$V$555),0))</f>
        <v>31.45</v>
      </c>
      <c r="J421" cm="1">
        <f t="array" ref="J421">INDEX(DataAll!$Z$2:$Z$555,MATCH(LOWER(Data!A421),LOWER(DataAll!$Y$2:$Y$555),0))</f>
        <v>2.37</v>
      </c>
      <c r="K421" cm="1">
        <f t="array" ref="K421">INDEX(DataAll!$AM$2:$AM$555,MATCH(LOWER(Data!A421),LOWER(DataAll!$AL$2:$AL$555),0))</f>
        <v>16.739999999999998</v>
      </c>
      <c r="L421" cm="1">
        <f t="array" ref="L421">INDEX(DataAll!$AJ$2:$AJ$555,MATCH(LOWER(Data!A421),LOWER(DataAll!$AI$2:$AI$555),0))</f>
        <v>34.08</v>
      </c>
      <c r="M421" cm="1">
        <f t="array" ref="M421">INDEX(DataAll!$AP$2:$AP$555,MATCH(LOWER(Data!A421),LOWER(DataAll!$AO$2:$AO$555),0))</f>
        <v>64.5</v>
      </c>
      <c r="N421" cm="1">
        <f t="array" ref="N421">INDEX(DataAll!$AQ$2:$AQ$555,MATCH(LOWER(Data!A421),LOWER(DataAll!$AO$2:$AO$555),0))</f>
        <v>68.41</v>
      </c>
      <c r="O421" cm="1">
        <f t="array" ref="O421">INDEX(DataAll!$AT$2:$AT$555,MATCH(LOWER(Data!A421),LOWER(DataAll!$AS$2:$AS$555),0))</f>
        <v>8.52</v>
      </c>
      <c r="P421" cm="1">
        <f t="array" ref="P421">INDEX(DataAll!$AU$2:$AU$555,MATCH(LOWER(Data!A421),LOWER(DataAll!$AS$2:$AS$555),0))</f>
        <v>8.5</v>
      </c>
      <c r="Q421" cm="1">
        <f t="array" ref="Q421">INDEX(DataAll!$AX$2:$AX$556,MATCH(LOWER(Data!A421),LOWER(DataAll!$AW$2:$AW$556),0))</f>
        <v>31.13</v>
      </c>
      <c r="R421" cm="1">
        <f t="array" ref="R421">INDEX('Longitude and Latitude'!$B$2:$B$579,MATCH(LOWER(Data!A421),LOWER('Longitude and Latitude'!$A$2:$A$579),0))</f>
        <v>-1.098757</v>
      </c>
      <c r="S421" cm="1">
        <f t="array" ref="S421">INDEX('Longitude and Latitude'!$C$2:$C$579,MATCH(LOWER(Data!A421),LOWER('Longitude and Latitude'!$A$2:$A$579),0))</f>
        <v>121.5370003</v>
      </c>
      <c r="T421" t="b">
        <f>IF(EXACT(A421, UPPER(A421)), TRUE, FALSE)</f>
        <v>0</v>
      </c>
    </row>
    <row r="422" spans="1:20" x14ac:dyDescent="0.35">
      <c r="A422" t="s">
        <v>419</v>
      </c>
      <c r="B422">
        <v>94.26</v>
      </c>
      <c r="C422" cm="1">
        <f t="array" ref="C422">INDEX(DataAll!$E$2:$E$555,MATCH(LOWER(Data!A422),LOWER(DataAll!$D$2:$D$555),0))</f>
        <v>72.290000000000006</v>
      </c>
      <c r="D422" cm="1">
        <f t="array" ref="D422">INDEX(DataAll!$H$2:$H$579,MATCH(LOWER(Data!A422),LOWER(DataAll!$G$2:$G$555),0))</f>
        <v>0.51700000000000002</v>
      </c>
      <c r="E422" cm="1">
        <f t="array" ref="E422">INDEX(DataAll!$K$2:$K$579,MATCH(LOWER(Data!A422),LOWER(DataAll!$J$2:$J$555),0))</f>
        <v>23.33</v>
      </c>
      <c r="F422" cm="1">
        <f t="array" ref="F422">INDEX(DataAll!$N$2:$N$555,MATCH(LOWER(Data!A422),LOWER(DataAll!$M$2:$M$555),0))</f>
        <v>59.2</v>
      </c>
      <c r="G422" cm="1">
        <f t="array" ref="G422">INDEX(DataAll!$Q$2:$Q$555,MATCH(LOWER(Data!A422),LOWER(DataAll!$P$2:$P$555),0))</f>
        <v>14.11</v>
      </c>
      <c r="H422" cm="1">
        <f t="array" ref="H422">INDEX(DataAll!$T$2:$T$555,MATCH(LOWER(Data!A422),LOWER(DataAll!$S$2:$S$555),0))</f>
        <v>0.36599999999999999</v>
      </c>
      <c r="I422" cm="1">
        <f t="array" ref="I422">INDEX(DataAll!$W$2:$W$555,MATCH(LOWER(Data!A422),LOWER(DataAll!$V$2:$V$555),0))</f>
        <v>33.76</v>
      </c>
      <c r="J422" cm="1">
        <f t="array" ref="J422">INDEX(DataAll!$Z$2:$Z$555,MATCH(LOWER(Data!A422),LOWER(DataAll!$Y$2:$Y$555),0))</f>
        <v>2.36</v>
      </c>
      <c r="K422" cm="1">
        <f t="array" ref="K422">INDEX(DataAll!$AM$2:$AM$555,MATCH(LOWER(Data!A422),LOWER(DataAll!$AL$2:$AL$555),0))</f>
        <v>12.83</v>
      </c>
      <c r="L422" cm="1">
        <f t="array" ref="L422">INDEX(DataAll!$AJ$2:$AJ$555,MATCH(LOWER(Data!A422),LOWER(DataAll!$AI$2:$AI$555),0))</f>
        <v>31.09</v>
      </c>
      <c r="M422" cm="1">
        <f t="array" ref="M422">INDEX(DataAll!$AP$2:$AP$555,MATCH(LOWER(Data!A422),LOWER(DataAll!$AO$2:$AO$555),0))</f>
        <v>68.430000000000007</v>
      </c>
      <c r="N422" cm="1">
        <f t="array" ref="N422">INDEX(DataAll!$AQ$2:$AQ$555,MATCH(LOWER(Data!A422),LOWER(DataAll!$AO$2:$AO$555),0))</f>
        <v>72.36</v>
      </c>
      <c r="O422" cm="1">
        <f t="array" ref="O422">INDEX(DataAll!$AT$2:$AT$555,MATCH(LOWER(Data!A422),LOWER(DataAll!$AS$2:$AS$555),0))</f>
        <v>8.98</v>
      </c>
      <c r="P422" cm="1">
        <f t="array" ref="P422">INDEX(DataAll!$AU$2:$AU$555,MATCH(LOWER(Data!A422),LOWER(DataAll!$AS$2:$AS$555),0))</f>
        <v>9.08</v>
      </c>
      <c r="Q422" cm="1">
        <f t="array" ref="Q422">INDEX(DataAll!$AX$2:$AX$556,MATCH(LOWER(Data!A422),LOWER(DataAll!$AW$2:$AW$556),0))</f>
        <v>35.58</v>
      </c>
      <c r="R422" cm="1">
        <f t="array" ref="R422">INDEX('Longitude and Latitude'!$B$2:$B$579,MATCH(LOWER(Data!A422),LOWER('Longitude and Latitude'!$A$2:$A$579),0))</f>
        <v>-1.3834127000000001</v>
      </c>
      <c r="S422" cm="1">
        <f t="array" ref="S422">INDEX('Longitude and Latitude'!$C$2:$C$579,MATCH(LOWER(Data!A422),LOWER('Longitude and Latitude'!$A$2:$A$579),0))</f>
        <v>120.0665236</v>
      </c>
      <c r="T422" t="b">
        <f>IF(EXACT(A422, UPPER(A422)), TRUE, FALSE)</f>
        <v>0</v>
      </c>
    </row>
    <row r="423" spans="1:20" x14ac:dyDescent="0.35">
      <c r="A423" t="s">
        <v>420</v>
      </c>
      <c r="B423">
        <v>92.4</v>
      </c>
      <c r="C423" cm="1">
        <f t="array" ref="C423">INDEX(DataAll!$E$2:$E$555,MATCH(LOWER(Data!A423),LOWER(DataAll!$D$2:$D$555),0))</f>
        <v>71.7</v>
      </c>
      <c r="D423" cm="1">
        <f t="array" ref="D423">INDEX(DataAll!$H$2:$H$579,MATCH(LOWER(Data!A423),LOWER(DataAll!$G$2:$G$555),0))</f>
        <v>0.57499999999999996</v>
      </c>
      <c r="E423" cm="1">
        <f t="array" ref="E423">INDEX(DataAll!$K$2:$K$579,MATCH(LOWER(Data!A423),LOWER(DataAll!$J$2:$J$555),0))</f>
        <v>21.05</v>
      </c>
      <c r="F423" cm="1">
        <f t="array" ref="F423">INDEX(DataAll!$N$2:$N$555,MATCH(LOWER(Data!A423),LOWER(DataAll!$M$2:$M$555),0))</f>
        <v>46.3</v>
      </c>
      <c r="G423" cm="1">
        <f t="array" ref="G423">INDEX(DataAll!$Q$2:$Q$555,MATCH(LOWER(Data!A423),LOWER(DataAll!$P$2:$P$555),0))</f>
        <v>13.42</v>
      </c>
      <c r="H423" cm="1">
        <f t="array" ref="H423">INDEX(DataAll!$T$2:$T$555,MATCH(LOWER(Data!A423),LOWER(DataAll!$S$2:$S$555),0))</f>
        <v>0.33400000000000002</v>
      </c>
      <c r="I423" cm="1">
        <f t="array" ref="I423">INDEX(DataAll!$W$2:$W$555,MATCH(LOWER(Data!A423),LOWER(DataAll!$V$2:$V$555),0))</f>
        <v>33.08</v>
      </c>
      <c r="J423" cm="1">
        <f t="array" ref="J423">INDEX(DataAll!$Z$2:$Z$555,MATCH(LOWER(Data!A423),LOWER(DataAll!$Y$2:$Y$555),0))</f>
        <v>2.4700000000000002</v>
      </c>
      <c r="K423" cm="1">
        <f t="array" ref="K423">INDEX(DataAll!$AM$2:$AM$555,MATCH(LOWER(Data!A423),LOWER(DataAll!$AL$2:$AL$555),0))</f>
        <v>14.15</v>
      </c>
      <c r="L423" cm="1">
        <f t="array" ref="L423">INDEX(DataAll!$AJ$2:$AJ$555,MATCH(LOWER(Data!A423),LOWER(DataAll!$AI$2:$AI$555),0))</f>
        <v>34.75</v>
      </c>
      <c r="M423" cm="1">
        <f t="array" ref="M423">INDEX(DataAll!$AP$2:$AP$555,MATCH(LOWER(Data!A423),LOWER(DataAll!$AO$2:$AO$555),0))</f>
        <v>64.180000000000007</v>
      </c>
      <c r="N423" cm="1">
        <f t="array" ref="N423">INDEX(DataAll!$AQ$2:$AQ$555,MATCH(LOWER(Data!A423),LOWER(DataAll!$AO$2:$AO$555),0))</f>
        <v>68.08</v>
      </c>
      <c r="O423" cm="1">
        <f t="array" ref="O423">INDEX(DataAll!$AT$2:$AT$555,MATCH(LOWER(Data!A423),LOWER(DataAll!$AS$2:$AS$555),0))</f>
        <v>9.16</v>
      </c>
      <c r="P423" cm="1">
        <f t="array" ref="P423">INDEX(DataAll!$AU$2:$AU$555,MATCH(LOWER(Data!A423),LOWER(DataAll!$AS$2:$AS$555),0))</f>
        <v>8.18</v>
      </c>
      <c r="Q423" cm="1">
        <f t="array" ref="Q423">INDEX(DataAll!$AX$2:$AX$556,MATCH(LOWER(Data!A423),LOWER(DataAll!$AW$2:$AW$556),0))</f>
        <v>26.85</v>
      </c>
      <c r="R423" cm="1">
        <f t="array" ref="R423">INDEX('Longitude and Latitude'!$B$2:$B$579,MATCH(LOWER(Data!A423),LOWER('Longitude and Latitude'!$A$2:$A$579),0))</f>
        <v>-1.5888</v>
      </c>
      <c r="S423" cm="1">
        <f t="array" ref="S423">INDEX('Longitude and Latitude'!$C$2:$C$579,MATCH(LOWER(Data!A423),LOWER('Longitude and Latitude'!$A$2:$A$579),0))</f>
        <v>123.5008</v>
      </c>
      <c r="T423" t="b">
        <f>IF(EXACT(A423, UPPER(A423)), TRUE, FALSE)</f>
        <v>0</v>
      </c>
    </row>
    <row r="424" spans="1:20" x14ac:dyDescent="0.35">
      <c r="A424" t="s">
        <v>421</v>
      </c>
      <c r="B424">
        <v>96.61</v>
      </c>
      <c r="C424" cm="1">
        <f t="array" ref="C424">INDEX(DataAll!$E$2:$E$555,MATCH(LOWER(Data!A424),LOWER(DataAll!$D$2:$D$555),0))</f>
        <v>65.319999999999993</v>
      </c>
      <c r="D424" cm="1">
        <f t="array" ref="D424">INDEX(DataAll!$H$2:$H$579,MATCH(LOWER(Data!A424),LOWER(DataAll!$G$2:$G$555),0))</f>
        <v>0.47199999999999998</v>
      </c>
      <c r="E424" cm="1">
        <f t="array" ref="E424">INDEX(DataAll!$K$2:$K$579,MATCH(LOWER(Data!A424),LOWER(DataAll!$J$2:$J$555),0))</f>
        <v>28</v>
      </c>
      <c r="F424" cm="1">
        <f t="array" ref="F424">INDEX(DataAll!$N$2:$N$555,MATCH(LOWER(Data!A424),LOWER(DataAll!$M$2:$M$555),0))</f>
        <v>44.5</v>
      </c>
      <c r="G424" cm="1">
        <f t="array" ref="G424">INDEX(DataAll!$Q$2:$Q$555,MATCH(LOWER(Data!A424),LOWER(DataAll!$P$2:$P$555),0))</f>
        <v>7.1</v>
      </c>
      <c r="H424" cm="1">
        <f t="array" ref="H424">INDEX(DataAll!$T$2:$T$555,MATCH(LOWER(Data!A424),LOWER(DataAll!$S$2:$S$555),0))</f>
        <v>0.29899999999999999</v>
      </c>
      <c r="I424" cm="1">
        <f t="array" ref="I424">INDEX(DataAll!$W$2:$W$555,MATCH(LOWER(Data!A424),LOWER(DataAll!$V$2:$V$555),0))</f>
        <v>19.63</v>
      </c>
      <c r="J424" cm="1">
        <f t="array" ref="J424">INDEX(DataAll!$Z$2:$Z$555,MATCH(LOWER(Data!A424),LOWER(DataAll!$Y$2:$Y$555),0))</f>
        <v>2.33</v>
      </c>
      <c r="K424" cm="1">
        <f t="array" ref="K424">INDEX(DataAll!$AM$2:$AM$555,MATCH(LOWER(Data!A424),LOWER(DataAll!$AL$2:$AL$555),0))</f>
        <v>12.85</v>
      </c>
      <c r="L424" cm="1">
        <f t="array" ref="L424">INDEX(DataAll!$AJ$2:$AJ$555,MATCH(LOWER(Data!A424),LOWER(DataAll!$AI$2:$AI$555),0))</f>
        <v>25.92</v>
      </c>
      <c r="M424" cm="1">
        <f t="array" ref="M424">INDEX(DataAll!$AP$2:$AP$555,MATCH(LOWER(Data!A424),LOWER(DataAll!$AO$2:$AO$555),0))</f>
        <v>68.040000000000006</v>
      </c>
      <c r="N424" cm="1">
        <f t="array" ref="N424">INDEX(DataAll!$AQ$2:$AQ$555,MATCH(LOWER(Data!A424),LOWER(DataAll!$AO$2:$AO$555),0))</f>
        <v>71.989999999999995</v>
      </c>
      <c r="O424" cm="1">
        <f t="array" ref="O424">INDEX(DataAll!$AT$2:$AT$555,MATCH(LOWER(Data!A424),LOWER(DataAll!$AS$2:$AS$555),0))</f>
        <v>9.26</v>
      </c>
      <c r="P424" cm="1">
        <f t="array" ref="P424">INDEX(DataAll!$AU$2:$AU$555,MATCH(LOWER(Data!A424),LOWER(DataAll!$AS$2:$AS$555),0))</f>
        <v>8.8000000000000007</v>
      </c>
      <c r="Q424" cm="1">
        <f t="array" ref="Q424">INDEX(DataAll!$AX$2:$AX$556,MATCH(LOWER(Data!A424),LOWER(DataAll!$AW$2:$AW$556),0))</f>
        <v>32.29</v>
      </c>
      <c r="R424" cm="1">
        <f t="array" ref="R424">INDEX('Longitude and Latitude'!$B$2:$B$579,MATCH(LOWER(Data!A424),LOWER('Longitude and Latitude'!$A$2:$A$579),0))</f>
        <v>-1.7206999999999999</v>
      </c>
      <c r="S424" cm="1">
        <f t="array" ref="S424">INDEX('Longitude and Latitude'!$C$2:$C$579,MATCH(LOWER(Data!A424),LOWER('Longitude and Latitude'!$A$2:$A$579),0))</f>
        <v>121.24648999999999</v>
      </c>
      <c r="T424" t="b">
        <f>IF(EXACT(A424, UPPER(A424)), TRUE, FALSE)</f>
        <v>0</v>
      </c>
    </row>
    <row r="425" spans="1:20" x14ac:dyDescent="0.35">
      <c r="A425" t="s">
        <v>422</v>
      </c>
      <c r="B425">
        <v>98.37</v>
      </c>
      <c r="C425" cm="1">
        <f t="array" ref="C425">INDEX(DataAll!$E$2:$E$555,MATCH(LOWER(Data!A425),LOWER(DataAll!$D$2:$D$555),0))</f>
        <v>67.84</v>
      </c>
      <c r="D425" cm="1">
        <f t="array" ref="D425">INDEX(DataAll!$H$2:$H$579,MATCH(LOWER(Data!A425),LOWER(DataAll!$G$2:$G$555),0))</f>
        <v>0.20899999999999999</v>
      </c>
      <c r="E425" cm="1">
        <f t="array" ref="E425">INDEX(DataAll!$K$2:$K$579,MATCH(LOWER(Data!A425),LOWER(DataAll!$J$2:$J$555),0))</f>
        <v>14.29</v>
      </c>
      <c r="F425" cm="1">
        <f t="array" ref="F425">INDEX(DataAll!$N$2:$N$555,MATCH(LOWER(Data!A425),LOWER(DataAll!$M$2:$M$555),0))</f>
        <v>48.42</v>
      </c>
      <c r="G425" cm="1">
        <f t="array" ref="G425">INDEX(DataAll!$Q$2:$Q$555,MATCH(LOWER(Data!A425),LOWER(DataAll!$P$2:$P$555),0))</f>
        <v>6</v>
      </c>
      <c r="H425" cm="1">
        <f t="array" ref="H425">INDEX(DataAll!$T$2:$T$555,MATCH(LOWER(Data!A425),LOWER(DataAll!$S$2:$S$555),0))</f>
        <v>0.20200000000000001</v>
      </c>
      <c r="I425" cm="1">
        <f t="array" ref="I425">INDEX(DataAll!$W$2:$W$555,MATCH(LOWER(Data!A425),LOWER(DataAll!$V$2:$V$555),0))</f>
        <v>35.19</v>
      </c>
      <c r="J425" cm="1">
        <f t="array" ref="J425">INDEX(DataAll!$Z$2:$Z$555,MATCH(LOWER(Data!A425),LOWER(DataAll!$Y$2:$Y$555),0))</f>
        <v>2.11</v>
      </c>
      <c r="K425" cm="1">
        <f t="array" ref="K425">INDEX(DataAll!$AM$2:$AM$555,MATCH(LOWER(Data!A425),LOWER(DataAll!$AL$2:$AL$555),0))</f>
        <v>6.56</v>
      </c>
      <c r="L425" cm="1">
        <f t="array" ref="L425">INDEX(DataAll!$AJ$2:$AJ$555,MATCH(LOWER(Data!A425),LOWER(DataAll!$AI$2:$AI$555),0))</f>
        <v>19.16</v>
      </c>
      <c r="M425" cm="1">
        <f t="array" ref="M425">INDEX(DataAll!$AP$2:$AP$555,MATCH(LOWER(Data!A425),LOWER(DataAll!$AO$2:$AO$555),0))</f>
        <v>69.510000000000005</v>
      </c>
      <c r="N425" cm="1">
        <f t="array" ref="N425">INDEX(DataAll!$AQ$2:$AQ$555,MATCH(LOWER(Data!A425),LOWER(DataAll!$AO$2:$AO$555),0))</f>
        <v>73.489999999999995</v>
      </c>
      <c r="O425" cm="1">
        <f t="array" ref="O425">INDEX(DataAll!$AT$2:$AT$555,MATCH(LOWER(Data!A425),LOWER(DataAll!$AS$2:$AS$555),0))</f>
        <v>12.1</v>
      </c>
      <c r="P425" cm="1">
        <f t="array" ref="P425">INDEX(DataAll!$AU$2:$AU$555,MATCH(LOWER(Data!A425),LOWER(DataAll!$AS$2:$AS$555),0))</f>
        <v>11.38</v>
      </c>
      <c r="Q425" cm="1">
        <f t="array" ref="Q425">INDEX(DataAll!$AX$2:$AX$556,MATCH(LOWER(Data!A425),LOWER(DataAll!$AW$2:$AW$556),0))</f>
        <v>59.34</v>
      </c>
      <c r="R425" cm="1">
        <f t="array" ref="R425">INDEX('Longitude and Latitude'!$B$2:$B$579,MATCH(LOWER(Data!A425),LOWER('Longitude and Latitude'!$A$2:$A$579),0))</f>
        <v>-0.89858300000000002</v>
      </c>
      <c r="S425" cm="1">
        <f t="array" ref="S425">INDEX('Longitude and Latitude'!$C$2:$C$579,MATCH(LOWER(Data!A425),LOWER('Longitude and Latitude'!$A$2:$A$579),0))</f>
        <v>119.850601</v>
      </c>
      <c r="T425" t="b">
        <f>IF(EXACT(A425, UPPER(A425)), TRUE, FALSE)</f>
        <v>0</v>
      </c>
    </row>
    <row r="426" spans="1:20" x14ac:dyDescent="0.35">
      <c r="A426" t="s">
        <v>423</v>
      </c>
      <c r="B426">
        <v>93.19</v>
      </c>
      <c r="C426" cm="1">
        <f t="array" ref="C426">INDEX(DataAll!$E$2:$E$555,MATCH(LOWER(Data!A426),LOWER(DataAll!$D$2:$D$555),0))</f>
        <v>75.239999999999995</v>
      </c>
      <c r="D426" cm="1">
        <f t="array" ref="D426">INDEX(DataAll!$H$2:$H$579,MATCH(LOWER(Data!A426),LOWER(DataAll!$G$2:$G$555),0))</f>
        <v>0.36599999999999999</v>
      </c>
      <c r="E426" cm="1">
        <f t="array" ref="E426">INDEX(DataAll!$K$2:$K$579,MATCH(LOWER(Data!A426),LOWER(DataAll!$J$2:$J$555),0))</f>
        <v>25.88</v>
      </c>
      <c r="F426" cm="1">
        <f t="array" ref="F426">INDEX(DataAll!$N$2:$N$555,MATCH(LOWER(Data!A426),LOWER(DataAll!$M$2:$M$555),0))</f>
        <v>55.03</v>
      </c>
      <c r="G426" t="e" cm="1">
        <f t="array" ref="G426">INDEX(DataAll!$Q$2:$Q$555,MATCH(LOWER(Data!A426),LOWER(DataAll!$P$2:$P$555),0))</f>
        <v>#N/A</v>
      </c>
      <c r="H426" cm="1">
        <f t="array" ref="H426">INDEX(DataAll!$T$2:$T$555,MATCH(LOWER(Data!A426),LOWER(DataAll!$S$2:$S$555),0))</f>
        <v>0.27900000000000003</v>
      </c>
      <c r="I426" cm="1">
        <f t="array" ref="I426">INDEX(DataAll!$W$2:$W$555,MATCH(LOWER(Data!A426),LOWER(DataAll!$V$2:$V$555),0))</f>
        <v>32.409999999999997</v>
      </c>
      <c r="J426" cm="1">
        <f t="array" ref="J426">INDEX(DataAll!$Z$2:$Z$555,MATCH(LOWER(Data!A426),LOWER(DataAll!$Y$2:$Y$555),0))</f>
        <v>2.2200000000000002</v>
      </c>
      <c r="K426" cm="1">
        <f t="array" ref="K426">INDEX(DataAll!$AM$2:$AM$555,MATCH(LOWER(Data!A426),LOWER(DataAll!$AL$2:$AL$555),0))</f>
        <v>8.6999999999999993</v>
      </c>
      <c r="L426" cm="1">
        <f t="array" ref="L426">INDEX(DataAll!$AJ$2:$AJ$555,MATCH(LOWER(Data!A426),LOWER(DataAll!$AI$2:$AI$555),0))</f>
        <v>21.49</v>
      </c>
      <c r="M426" cm="1">
        <f t="array" ref="M426">INDEX(DataAll!$AP$2:$AP$555,MATCH(LOWER(Data!A426),LOWER(DataAll!$AO$2:$AO$555),0))</f>
        <v>69.28</v>
      </c>
      <c r="N426" cm="1">
        <f t="array" ref="N426">INDEX(DataAll!$AQ$2:$AQ$555,MATCH(LOWER(Data!A426),LOWER(DataAll!$AO$2:$AO$555),0))</f>
        <v>73.239999999999995</v>
      </c>
      <c r="O426" cm="1">
        <f t="array" ref="O426">INDEX(DataAll!$AT$2:$AT$555,MATCH(LOWER(Data!A426),LOWER(DataAll!$AS$2:$AS$555),0))</f>
        <v>8.9600000000000009</v>
      </c>
      <c r="P426" cm="1">
        <f t="array" ref="P426">INDEX(DataAll!$AU$2:$AU$555,MATCH(LOWER(Data!A426),LOWER(DataAll!$AS$2:$AS$555),0))</f>
        <v>8.59</v>
      </c>
      <c r="Q426" cm="1">
        <f t="array" ref="Q426">INDEX(DataAll!$AX$2:$AX$556,MATCH(LOWER(Data!A426),LOWER(DataAll!$AW$2:$AW$556),0))</f>
        <v>40.590000000000003</v>
      </c>
      <c r="R426" cm="1">
        <f t="array" ref="R426">INDEX('Longitude and Latitude'!$B$2:$B$579,MATCH(LOWER(Data!A426),LOWER('Longitude and Latitude'!$A$2:$A$579),0))</f>
        <v>-3.6687994000000002</v>
      </c>
      <c r="S426" cm="1">
        <f t="array" ref="S426">INDEX('Longitude and Latitude'!$C$2:$C$579,MATCH(LOWER(Data!A426),LOWER('Longitude and Latitude'!$A$2:$A$579),0))</f>
        <v>119.9740534</v>
      </c>
      <c r="T426" t="b">
        <f>IF(EXACT(A426, UPPER(A426)), TRUE, FALSE)</f>
        <v>1</v>
      </c>
    </row>
    <row r="427" spans="1:20" x14ac:dyDescent="0.35">
      <c r="A427" t="s">
        <v>424</v>
      </c>
      <c r="B427">
        <v>91.94</v>
      </c>
      <c r="C427" cm="1">
        <f t="array" ref="C427">INDEX(DataAll!$E$2:$E$555,MATCH(LOWER(Data!A427),LOWER(DataAll!$D$2:$D$555),0))</f>
        <v>70.290000000000006</v>
      </c>
      <c r="D427" cm="1">
        <f t="array" ref="D427">INDEX(DataAll!$H$2:$H$579,MATCH(LOWER(Data!A427),LOWER(DataAll!$G$2:$G$555),0))</f>
        <v>0.377</v>
      </c>
      <c r="E427" cm="1">
        <f t="array" ref="E427">INDEX(DataAll!$K$2:$K$579,MATCH(LOWER(Data!A427),LOWER(DataAll!$J$2:$J$555),0))</f>
        <v>20</v>
      </c>
      <c r="F427" cm="1">
        <f t="array" ref="F427">INDEX(DataAll!$N$2:$N$555,MATCH(LOWER(Data!A427),LOWER(DataAll!$M$2:$M$555),0))</f>
        <v>58.99</v>
      </c>
      <c r="G427" cm="1">
        <f t="array" ref="G427">INDEX(DataAll!$Q$2:$Q$555,MATCH(LOWER(Data!A427),LOWER(DataAll!$P$2:$P$555),0))</f>
        <v>8.14</v>
      </c>
      <c r="H427" cm="1">
        <f t="array" ref="H427">INDEX(DataAll!$T$2:$T$555,MATCH(LOWER(Data!A427),LOWER(DataAll!$S$2:$S$555),0))</f>
        <v>0.218</v>
      </c>
      <c r="I427" cm="1">
        <f t="array" ref="I427">INDEX(DataAll!$W$2:$W$555,MATCH(LOWER(Data!A427),LOWER(DataAll!$V$2:$V$555),0))</f>
        <v>33.479999999999997</v>
      </c>
      <c r="J427" cm="1">
        <f t="array" ref="J427">INDEX(DataAll!$Z$2:$Z$555,MATCH(LOWER(Data!A427),LOWER(DataAll!$Y$2:$Y$555),0))</f>
        <v>2.17</v>
      </c>
      <c r="K427" cm="1">
        <f t="array" ref="K427">INDEX(DataAll!$AM$2:$AM$555,MATCH(LOWER(Data!A427),LOWER(DataAll!$AL$2:$AL$555),0))</f>
        <v>12.27</v>
      </c>
      <c r="L427" cm="1">
        <f t="array" ref="L427">INDEX(DataAll!$AJ$2:$AJ$555,MATCH(LOWER(Data!A427),LOWER(DataAll!$AI$2:$AI$555),0))</f>
        <v>22.72</v>
      </c>
      <c r="M427" cm="1">
        <f t="array" ref="M427">INDEX(DataAll!$AP$2:$AP$555,MATCH(LOWER(Data!A427),LOWER(DataAll!$AO$2:$AO$555),0))</f>
        <v>67.11</v>
      </c>
      <c r="N427" cm="1">
        <f t="array" ref="N427">INDEX(DataAll!$AQ$2:$AQ$555,MATCH(LOWER(Data!A427),LOWER(DataAll!$AO$2:$AO$555),0))</f>
        <v>71.069999999999993</v>
      </c>
      <c r="O427" cm="1">
        <f t="array" ref="O427">INDEX(DataAll!$AT$2:$AT$555,MATCH(LOWER(Data!A427),LOWER(DataAll!$AS$2:$AS$555),0))</f>
        <v>8.7100000000000009</v>
      </c>
      <c r="P427" cm="1">
        <f t="array" ref="P427">INDEX(DataAll!$AU$2:$AU$555,MATCH(LOWER(Data!A427),LOWER(DataAll!$AS$2:$AS$555),0))</f>
        <v>8.1300000000000008</v>
      </c>
      <c r="Q427" cm="1">
        <f t="array" ref="Q427">INDEX(DataAll!$AX$2:$AX$556,MATCH(LOWER(Data!A427),LOWER(DataAll!$AW$2:$AW$556),0))</f>
        <v>40.1</v>
      </c>
      <c r="R427" cm="1">
        <f t="array" ref="R427">INDEX('Longitude and Latitude'!$B$2:$B$579,MATCH(LOWER(Data!A427),LOWER('Longitude and Latitude'!$A$2:$A$579),0))</f>
        <v>-6.5750000000000002</v>
      </c>
      <c r="S427" cm="1">
        <f t="array" ref="S427">INDEX('Longitude and Latitude'!$C$2:$C$579,MATCH(LOWER(Data!A427),LOWER('Longitude and Latitude'!$A$2:$A$579),0))</f>
        <v>121.02500000000001</v>
      </c>
      <c r="T427" t="b">
        <f>IF(EXACT(A427, UPPER(A427)), TRUE, FALSE)</f>
        <v>0</v>
      </c>
    </row>
    <row r="428" spans="1:20" x14ac:dyDescent="0.35">
      <c r="A428" t="s">
        <v>425</v>
      </c>
      <c r="B428">
        <v>95.83</v>
      </c>
      <c r="C428" cm="1">
        <f t="array" ref="C428">INDEX(DataAll!$E$2:$E$555,MATCH(LOWER(Data!A428),LOWER(DataAll!$D$2:$D$555),0))</f>
        <v>69.739999999999995</v>
      </c>
      <c r="D428" cm="1">
        <f t="array" ref="D428">INDEX(DataAll!$H$2:$H$579,MATCH(LOWER(Data!A428),LOWER(DataAll!$G$2:$G$555),0))</f>
        <v>0.25800000000000001</v>
      </c>
      <c r="E428" cm="1">
        <f t="array" ref="E428">INDEX(DataAll!$K$2:$K$579,MATCH(LOWER(Data!A428),LOWER(DataAll!$J$2:$J$555),0))</f>
        <v>17.5</v>
      </c>
      <c r="F428" cm="1">
        <f t="array" ref="F428">INDEX(DataAll!$N$2:$N$555,MATCH(LOWER(Data!A428),LOWER(DataAll!$M$2:$M$555),0))</f>
        <v>55.38</v>
      </c>
      <c r="G428" cm="1">
        <f t="array" ref="G428">INDEX(DataAll!$Q$2:$Q$555,MATCH(LOWER(Data!A428),LOWER(DataAll!$P$2:$P$555),0))</f>
        <v>10.71</v>
      </c>
      <c r="H428" cm="1">
        <f t="array" ref="H428">INDEX(DataAll!$T$2:$T$555,MATCH(LOWER(Data!A428),LOWER(DataAll!$S$2:$S$555),0))</f>
        <v>0.308</v>
      </c>
      <c r="I428" cm="1">
        <f t="array" ref="I428">INDEX(DataAll!$W$2:$W$555,MATCH(LOWER(Data!A428),LOWER(DataAll!$V$2:$V$555),0))</f>
        <v>35.08</v>
      </c>
      <c r="J428" cm="1">
        <f t="array" ref="J428">INDEX(DataAll!$Z$2:$Z$555,MATCH(LOWER(Data!A428),LOWER(DataAll!$Y$2:$Y$555),0))</f>
        <v>2.19</v>
      </c>
      <c r="K428" cm="1">
        <f t="array" ref="K428">INDEX(DataAll!$AM$2:$AM$555,MATCH(LOWER(Data!A428),LOWER(DataAll!$AL$2:$AL$555),0))</f>
        <v>7.22</v>
      </c>
      <c r="L428" cm="1">
        <f t="array" ref="L428">INDEX(DataAll!$AJ$2:$AJ$555,MATCH(LOWER(Data!A428),LOWER(DataAll!$AI$2:$AI$555),0))</f>
        <v>21.17</v>
      </c>
      <c r="M428" cm="1">
        <f t="array" ref="M428">INDEX(DataAll!$AP$2:$AP$555,MATCH(LOWER(Data!A428),LOWER(DataAll!$AO$2:$AO$555),0))</f>
        <v>66.91</v>
      </c>
      <c r="N428" cm="1">
        <f t="array" ref="N428">INDEX(DataAll!$AQ$2:$AQ$555,MATCH(LOWER(Data!A428),LOWER(DataAll!$AO$2:$AO$555),0))</f>
        <v>70.87</v>
      </c>
      <c r="O428" cm="1">
        <f t="array" ref="O428">INDEX(DataAll!$AT$2:$AT$555,MATCH(LOWER(Data!A428),LOWER(DataAll!$AS$2:$AS$555),0))</f>
        <v>8.49</v>
      </c>
      <c r="P428" cm="1">
        <f t="array" ref="P428">INDEX(DataAll!$AU$2:$AU$555,MATCH(LOWER(Data!A428),LOWER(DataAll!$AS$2:$AS$555),0))</f>
        <v>8.1300000000000008</v>
      </c>
      <c r="Q428" cm="1">
        <f t="array" ref="Q428">INDEX(DataAll!$AX$2:$AX$556,MATCH(LOWER(Data!A428),LOWER(DataAll!$AW$2:$AW$556),0))</f>
        <v>34.130000000000003</v>
      </c>
      <c r="R428" cm="1">
        <f t="array" ref="R428">INDEX('Longitude and Latitude'!$B$2:$B$579,MATCH(LOWER(Data!A428),LOWER('Longitude and Latitude'!$A$2:$A$579),0))</f>
        <v>-5.4329368000000002</v>
      </c>
      <c r="S428" cm="1">
        <f t="array" ref="S428">INDEX('Longitude and Latitude'!$C$2:$C$579,MATCH(LOWER(Data!A428),LOWER('Longitude and Latitude'!$A$2:$A$579),0))</f>
        <v>120.2051096</v>
      </c>
      <c r="T428" t="b">
        <f>IF(EXACT(A428, UPPER(A428)), TRUE, FALSE)</f>
        <v>0</v>
      </c>
    </row>
    <row r="429" spans="1:20" x14ac:dyDescent="0.35">
      <c r="A429" t="s">
        <v>426</v>
      </c>
      <c r="B429">
        <v>95.31</v>
      </c>
      <c r="C429" cm="1">
        <f t="array" ref="C429">INDEX(DataAll!$E$2:$E$555,MATCH(LOWER(Data!A429),LOWER(DataAll!$D$2:$D$555),0))</f>
        <v>79.28</v>
      </c>
      <c r="D429" cm="1">
        <f t="array" ref="D429">INDEX(DataAll!$H$2:$H$579,MATCH(LOWER(Data!A429),LOWER(DataAll!$G$2:$G$555),0))</f>
        <v>0.34799999999999998</v>
      </c>
      <c r="E429" cm="1">
        <f t="array" ref="E429">INDEX(DataAll!$K$2:$K$579,MATCH(LOWER(Data!A429),LOWER(DataAll!$J$2:$J$555),0))</f>
        <v>32</v>
      </c>
      <c r="F429" cm="1">
        <f t="array" ref="F429">INDEX(DataAll!$N$2:$N$555,MATCH(LOWER(Data!A429),LOWER(DataAll!$M$2:$M$555),0))</f>
        <v>63.09</v>
      </c>
      <c r="G429" cm="1">
        <f t="array" ref="G429">INDEX(DataAll!$Q$2:$Q$555,MATCH(LOWER(Data!A429),LOWER(DataAll!$P$2:$P$555),0))</f>
        <v>8.9700000000000006</v>
      </c>
      <c r="H429" cm="1">
        <f t="array" ref="H429">INDEX(DataAll!$T$2:$T$555,MATCH(LOWER(Data!A429),LOWER(DataAll!$S$2:$S$555),0))</f>
        <v>0.251</v>
      </c>
      <c r="I429" cm="1">
        <f t="array" ref="I429">INDEX(DataAll!$W$2:$W$555,MATCH(LOWER(Data!A429),LOWER(DataAll!$V$2:$V$555),0))</f>
        <v>37</v>
      </c>
      <c r="J429" cm="1">
        <f t="array" ref="J429">INDEX(DataAll!$Z$2:$Z$555,MATCH(LOWER(Data!A429),LOWER(DataAll!$Y$2:$Y$555),0))</f>
        <v>2.06</v>
      </c>
      <c r="K429" cm="1">
        <f t="array" ref="K429">INDEX(DataAll!$AM$2:$AM$555,MATCH(LOWER(Data!A429),LOWER(DataAll!$AL$2:$AL$555),0))</f>
        <v>9.18</v>
      </c>
      <c r="L429" cm="1">
        <f t="array" ref="L429">INDEX(DataAll!$AJ$2:$AJ$555,MATCH(LOWER(Data!A429),LOWER(DataAll!$AI$2:$AI$555),0))</f>
        <v>25.93</v>
      </c>
      <c r="M429" cm="1">
        <f t="array" ref="M429">INDEX(DataAll!$AP$2:$AP$555,MATCH(LOWER(Data!A429),LOWER(DataAll!$AO$2:$AO$555),0))</f>
        <v>69.17</v>
      </c>
      <c r="N429" cm="1">
        <f t="array" ref="N429">INDEX(DataAll!$AQ$2:$AQ$555,MATCH(LOWER(Data!A429),LOWER(DataAll!$AO$2:$AO$555),0))</f>
        <v>73.13</v>
      </c>
      <c r="O429" cm="1">
        <f t="array" ref="O429">INDEX(DataAll!$AT$2:$AT$555,MATCH(LOWER(Data!A429),LOWER(DataAll!$AS$2:$AS$555),0))</f>
        <v>7.5</v>
      </c>
      <c r="P429" cm="1">
        <f t="array" ref="P429">INDEX(DataAll!$AU$2:$AU$555,MATCH(LOWER(Data!A429),LOWER(DataAll!$AS$2:$AS$555),0))</f>
        <v>7.03</v>
      </c>
      <c r="Q429" cm="1">
        <f t="array" ref="Q429">INDEX(DataAll!$AX$2:$AX$556,MATCH(LOWER(Data!A429),LOWER(DataAll!$AW$2:$AW$556),0))</f>
        <v>27.26</v>
      </c>
      <c r="R429" cm="1">
        <f t="array" ref="R429">INDEX('Longitude and Latitude'!$B$2:$B$579,MATCH(LOWER(Data!A429),LOWER('Longitude and Latitude'!$A$2:$A$579),0))</f>
        <v>-5.5169316000000004</v>
      </c>
      <c r="S429" cm="1">
        <f t="array" ref="S429">INDEX('Longitude and Latitude'!$C$2:$C$579,MATCH(LOWER(Data!A429),LOWER('Longitude and Latitude'!$A$2:$A$579),0))</f>
        <v>120.02029640000001</v>
      </c>
      <c r="T429" t="b">
        <f>IF(EXACT(A429, UPPER(A429)), TRUE, FALSE)</f>
        <v>0</v>
      </c>
    </row>
    <row r="430" spans="1:20" x14ac:dyDescent="0.35">
      <c r="A430" t="s">
        <v>427</v>
      </c>
      <c r="B430">
        <v>92.28</v>
      </c>
      <c r="C430" cm="1">
        <f t="array" ref="C430">INDEX(DataAll!$E$2:$E$555,MATCH(LOWER(Data!A430),LOWER(DataAll!$D$2:$D$555),0))</f>
        <v>70.73</v>
      </c>
      <c r="D430" cm="1">
        <f t="array" ref="D430">INDEX(DataAll!$H$2:$H$579,MATCH(LOWER(Data!A430),LOWER(DataAll!$G$2:$G$555),0))</f>
        <v>0.41</v>
      </c>
      <c r="E430" cm="1">
        <f t="array" ref="E430">INDEX(DataAll!$K$2:$K$579,MATCH(LOWER(Data!A430),LOWER(DataAll!$J$2:$J$555),0))</f>
        <v>20</v>
      </c>
      <c r="F430" cm="1">
        <f t="array" ref="F430">INDEX(DataAll!$N$2:$N$555,MATCH(LOWER(Data!A430),LOWER(DataAll!$M$2:$M$555),0))</f>
        <v>53.22</v>
      </c>
      <c r="G430" cm="1">
        <f t="array" ref="G430">INDEX(DataAll!$Q$2:$Q$555,MATCH(LOWER(Data!A430),LOWER(DataAll!$P$2:$P$555),0))</f>
        <v>11.41</v>
      </c>
      <c r="H430" cm="1">
        <f t="array" ref="H430">INDEX(DataAll!$T$2:$T$555,MATCH(LOWER(Data!A430),LOWER(DataAll!$S$2:$S$555),0))</f>
        <v>0.35199999999999998</v>
      </c>
      <c r="I430" cm="1">
        <f t="array" ref="I430">INDEX(DataAll!$W$2:$W$555,MATCH(LOWER(Data!A430),LOWER(DataAll!$V$2:$V$555),0))</f>
        <v>32.76</v>
      </c>
      <c r="J430" cm="1">
        <f t="array" ref="J430">INDEX(DataAll!$Z$2:$Z$555,MATCH(LOWER(Data!A430),LOWER(DataAll!$Y$2:$Y$555),0))</f>
        <v>2.2000000000000002</v>
      </c>
      <c r="K430" cm="1">
        <f t="array" ref="K430">INDEX(DataAll!$AM$2:$AM$555,MATCH(LOWER(Data!A430),LOWER(DataAll!$AL$2:$AL$555),0))</f>
        <v>13.06</v>
      </c>
      <c r="L430" cm="1">
        <f t="array" ref="L430">INDEX(DataAll!$AJ$2:$AJ$555,MATCH(LOWER(Data!A430),LOWER(DataAll!$AI$2:$AI$555),0))</f>
        <v>20.87</v>
      </c>
      <c r="M430" cm="1">
        <f t="array" ref="M430">INDEX(DataAll!$AP$2:$AP$555,MATCH(LOWER(Data!A430),LOWER(DataAll!$AO$2:$AO$555),0))</f>
        <v>65.069999999999993</v>
      </c>
      <c r="N430" cm="1">
        <f t="array" ref="N430">INDEX(DataAll!$AQ$2:$AQ$555,MATCH(LOWER(Data!A430),LOWER(DataAll!$AO$2:$AO$555),0))</f>
        <v>69.010000000000005</v>
      </c>
      <c r="O430" cm="1">
        <f t="array" ref="O430">INDEX(DataAll!$AT$2:$AT$555,MATCH(LOWER(Data!A430),LOWER(DataAll!$AS$2:$AS$555),0))</f>
        <v>6.97</v>
      </c>
      <c r="P430" cm="1">
        <f t="array" ref="P430">INDEX(DataAll!$AU$2:$AU$555,MATCH(LOWER(Data!A430),LOWER(DataAll!$AS$2:$AS$555),0))</f>
        <v>7</v>
      </c>
      <c r="Q430" cm="1">
        <f t="array" ref="Q430">INDEX(DataAll!$AX$2:$AX$556,MATCH(LOWER(Data!A430),LOWER(DataAll!$AW$2:$AW$556),0))</f>
        <v>27.5</v>
      </c>
      <c r="R430" cm="1">
        <f t="array" ref="R430">INDEX('Longitude and Latitude'!$B$2:$B$579,MATCH(LOWER(Data!A430),LOWER('Longitude and Latitude'!$A$2:$A$579),0))</f>
        <v>-5.5545790000000004</v>
      </c>
      <c r="S430" cm="1">
        <f t="array" ref="S430">INDEX('Longitude and Latitude'!$C$2:$C$579,MATCH(LOWER(Data!A430),LOWER('Longitude and Latitude'!$A$2:$A$579),0))</f>
        <v>119.6730939</v>
      </c>
      <c r="T430" t="b">
        <f>IF(EXACT(A430, UPPER(A430)), TRUE, FALSE)</f>
        <v>0</v>
      </c>
    </row>
    <row r="431" spans="1:20" x14ac:dyDescent="0.35">
      <c r="A431" t="s">
        <v>428</v>
      </c>
      <c r="B431">
        <v>87.8</v>
      </c>
      <c r="C431" cm="1">
        <f t="array" ref="C431">INDEX(DataAll!$E$2:$E$555,MATCH(LOWER(Data!A431),LOWER(DataAll!$D$2:$D$555),0))</f>
        <v>74.45</v>
      </c>
      <c r="D431" cm="1">
        <f t="array" ref="D431">INDEX(DataAll!$H$2:$H$579,MATCH(LOWER(Data!A431),LOWER(DataAll!$G$2:$G$555),0))</f>
        <v>0.192</v>
      </c>
      <c r="E431" cm="1">
        <f t="array" ref="E431">INDEX(DataAll!$K$2:$K$579,MATCH(LOWER(Data!A431),LOWER(DataAll!$J$2:$J$555),0))</f>
        <v>33.33</v>
      </c>
      <c r="F431" cm="1">
        <f t="array" ref="F431">INDEX(DataAll!$N$2:$N$555,MATCH(LOWER(Data!A431),LOWER(DataAll!$M$2:$M$555),0))</f>
        <v>52.02</v>
      </c>
      <c r="G431" cm="1">
        <f t="array" ref="G431">INDEX(DataAll!$Q$2:$Q$555,MATCH(LOWER(Data!A431),LOWER(DataAll!$P$2:$P$555),0))</f>
        <v>9.7100000000000009</v>
      </c>
      <c r="H431" cm="1">
        <f t="array" ref="H431">INDEX(DataAll!$T$2:$T$555,MATCH(LOWER(Data!A431),LOWER(DataAll!$S$2:$S$555),0))</f>
        <v>0.26300000000000001</v>
      </c>
      <c r="I431" cm="1">
        <f t="array" ref="I431">INDEX(DataAll!$W$2:$W$555,MATCH(LOWER(Data!A431),LOWER(DataAll!$V$2:$V$555),0))</f>
        <v>27.79</v>
      </c>
      <c r="J431" cm="1">
        <f t="array" ref="J431">INDEX(DataAll!$Z$2:$Z$555,MATCH(LOWER(Data!A431),LOWER(DataAll!$Y$2:$Y$555),0))</f>
        <v>2.33</v>
      </c>
      <c r="K431" cm="1">
        <f t="array" ref="K431">INDEX(DataAll!$AM$2:$AM$555,MATCH(LOWER(Data!A431),LOWER(DataAll!$AL$2:$AL$555),0))</f>
        <v>8.2899999999999991</v>
      </c>
      <c r="L431" cm="1">
        <f t="array" ref="L431">INDEX(DataAll!$AJ$2:$AJ$555,MATCH(LOWER(Data!A431),LOWER(DataAll!$AI$2:$AI$555),0))</f>
        <v>22.75</v>
      </c>
      <c r="M431" cm="1">
        <f t="array" ref="M431">INDEX(DataAll!$AP$2:$AP$555,MATCH(LOWER(Data!A431),LOWER(DataAll!$AO$2:$AO$555),0))</f>
        <v>65.959999999999994</v>
      </c>
      <c r="N431" cm="1">
        <f t="array" ref="N431">INDEX(DataAll!$AQ$2:$AQ$555,MATCH(LOWER(Data!A431),LOWER(DataAll!$AO$2:$AO$555),0))</f>
        <v>69.95</v>
      </c>
      <c r="O431" cm="1">
        <f t="array" ref="O431">INDEX(DataAll!$AT$2:$AT$555,MATCH(LOWER(Data!A431),LOWER(DataAll!$AS$2:$AS$555),0))</f>
        <v>7.97</v>
      </c>
      <c r="P431" cm="1">
        <f t="array" ref="P431">INDEX(DataAll!$AU$2:$AU$555,MATCH(LOWER(Data!A431),LOWER(DataAll!$AS$2:$AS$555),0))</f>
        <v>7.45</v>
      </c>
      <c r="Q431" cm="1">
        <f t="array" ref="Q431">INDEX(DataAll!$AX$2:$AX$556,MATCH(LOWER(Data!A431),LOWER(DataAll!$AW$2:$AW$556),0))</f>
        <v>32.47</v>
      </c>
      <c r="R431" cm="1">
        <f t="array" ref="R431">INDEX('Longitude and Latitude'!$B$2:$B$579,MATCH(LOWER(Data!A431),LOWER('Longitude and Latitude'!$A$2:$A$579),0))</f>
        <v>-5.4162492999999996</v>
      </c>
      <c r="S431" cm="1">
        <f t="array" ref="S431">INDEX('Longitude and Latitude'!$C$2:$C$579,MATCH(LOWER(Data!A431),LOWER('Longitude and Latitude'!$A$2:$A$579),0))</f>
        <v>119.4875668</v>
      </c>
      <c r="T431" t="b">
        <f>IF(EXACT(A431, UPPER(A431)), TRUE, FALSE)</f>
        <v>0</v>
      </c>
    </row>
    <row r="432" spans="1:20" x14ac:dyDescent="0.35">
      <c r="A432" t="s">
        <v>429</v>
      </c>
      <c r="B432">
        <v>88.37</v>
      </c>
      <c r="C432" cm="1">
        <f t="array" ref="C432">INDEX(DataAll!$E$2:$E$555,MATCH(LOWER(Data!A432),LOWER(DataAll!$D$2:$D$555),0))</f>
        <v>79.7</v>
      </c>
      <c r="D432" cm="1">
        <f t="array" ref="D432">INDEX(DataAll!$H$2:$H$579,MATCH(LOWER(Data!A432),LOWER(DataAll!$G$2:$G$555),0))</f>
        <v>0.35899999999999999</v>
      </c>
      <c r="E432" cm="1">
        <f t="array" ref="E432">INDEX(DataAll!$K$2:$K$579,MATCH(LOWER(Data!A432),LOWER(DataAll!$J$2:$J$555),0))</f>
        <v>28.89</v>
      </c>
      <c r="F432" cm="1">
        <f t="array" ref="F432">INDEX(DataAll!$N$2:$N$555,MATCH(LOWER(Data!A432),LOWER(DataAll!$M$2:$M$555),0))</f>
        <v>51.83</v>
      </c>
      <c r="G432" cm="1">
        <f t="array" ref="G432">INDEX(DataAll!$Q$2:$Q$555,MATCH(LOWER(Data!A432),LOWER(DataAll!$P$2:$P$555),0))</f>
        <v>8.42</v>
      </c>
      <c r="H432" cm="1">
        <f t="array" ref="H432">INDEX(DataAll!$T$2:$T$555,MATCH(LOWER(Data!A432),LOWER(DataAll!$S$2:$S$555),0))</f>
        <v>0.27800000000000002</v>
      </c>
      <c r="I432" cm="1">
        <f t="array" ref="I432">INDEX(DataAll!$W$2:$W$555,MATCH(LOWER(Data!A432),LOWER(DataAll!$V$2:$V$555),0))</f>
        <v>35.049999999999997</v>
      </c>
      <c r="J432" cm="1">
        <f t="array" ref="J432">INDEX(DataAll!$Z$2:$Z$555,MATCH(LOWER(Data!A432),LOWER(DataAll!$Y$2:$Y$555),0))</f>
        <v>2.2000000000000002</v>
      </c>
      <c r="K432" cm="1">
        <f t="array" ref="K432">INDEX(DataAll!$AM$2:$AM$555,MATCH(LOWER(Data!A432),LOWER(DataAll!$AL$2:$AL$555),0))</f>
        <v>7.42</v>
      </c>
      <c r="L432" cm="1">
        <f t="array" ref="L432">INDEX(DataAll!$AJ$2:$AJ$555,MATCH(LOWER(Data!A432),LOWER(DataAll!$AI$2:$AI$555),0))</f>
        <v>18.47</v>
      </c>
      <c r="M432" cm="1">
        <f t="array" ref="M432">INDEX(DataAll!$AP$2:$AP$555,MATCH(LOWER(Data!A432),LOWER(DataAll!$AO$2:$AO$555),0))</f>
        <v>68.959999999999994</v>
      </c>
      <c r="N432" cm="1">
        <f t="array" ref="N432">INDEX(DataAll!$AQ$2:$AQ$555,MATCH(LOWER(Data!A432),LOWER(DataAll!$AO$2:$AO$555),0))</f>
        <v>72.91</v>
      </c>
      <c r="O432" cm="1">
        <f t="array" ref="O432">INDEX(DataAll!$AT$2:$AT$555,MATCH(LOWER(Data!A432),LOWER(DataAll!$AS$2:$AS$555),0))</f>
        <v>8.61</v>
      </c>
      <c r="P432" cm="1">
        <f t="array" ref="P432">INDEX(DataAll!$AU$2:$AU$555,MATCH(LOWER(Data!A432),LOWER(DataAll!$AS$2:$AS$555),0))</f>
        <v>8.25</v>
      </c>
      <c r="Q432" cm="1">
        <f t="array" ref="Q432">INDEX(DataAll!$AX$2:$AX$556,MATCH(LOWER(Data!A432),LOWER(DataAll!$AW$2:$AW$556),0))</f>
        <v>38.83</v>
      </c>
      <c r="R432" cm="1">
        <f t="array" ref="R432">INDEX('Longitude and Latitude'!$B$2:$B$579,MATCH(LOWER(Data!A432),LOWER('Longitude and Latitude'!$A$2:$A$579),0))</f>
        <v>-5.3102888000000004</v>
      </c>
      <c r="S432" cm="1">
        <f t="array" ref="S432">INDEX('Longitude and Latitude'!$C$2:$C$579,MATCH(LOWER(Data!A432),LOWER('Longitude and Latitude'!$A$2:$A$579),0))</f>
        <v>119.742604</v>
      </c>
      <c r="T432" t="b">
        <f>IF(EXACT(A432, UPPER(A432)), TRUE, FALSE)</f>
        <v>0</v>
      </c>
    </row>
    <row r="433" spans="1:20" x14ac:dyDescent="0.35">
      <c r="A433" t="s">
        <v>430</v>
      </c>
      <c r="B433">
        <v>98.21</v>
      </c>
      <c r="C433" cm="1">
        <f t="array" ref="C433">INDEX(DataAll!$E$2:$E$555,MATCH(LOWER(Data!A433),LOWER(DataAll!$D$2:$D$555),0))</f>
        <v>71.09</v>
      </c>
      <c r="D433" cm="1">
        <f t="array" ref="D433">INDEX(DataAll!$H$2:$H$579,MATCH(LOWER(Data!A433),LOWER(DataAll!$G$2:$G$555),0))</f>
        <v>0.379</v>
      </c>
      <c r="E433" cm="1">
        <f t="array" ref="E433">INDEX(DataAll!$K$2:$K$579,MATCH(LOWER(Data!A433),LOWER(DataAll!$J$2:$J$555),0))</f>
        <v>26.67</v>
      </c>
      <c r="F433" cm="1">
        <f t="array" ref="F433">INDEX(DataAll!$N$2:$N$555,MATCH(LOWER(Data!A433),LOWER(DataAll!$M$2:$M$555),0))</f>
        <v>67.88</v>
      </c>
      <c r="G433" cm="1">
        <f t="array" ref="G433">INDEX(DataAll!$Q$2:$Q$555,MATCH(LOWER(Data!A433),LOWER(DataAll!$P$2:$P$555),0))</f>
        <v>8.58</v>
      </c>
      <c r="H433" cm="1">
        <f t="array" ref="H433">INDEX(DataAll!$T$2:$T$555,MATCH(LOWER(Data!A433),LOWER(DataAll!$S$2:$S$555),0))</f>
        <v>0.22</v>
      </c>
      <c r="I433" cm="1">
        <f t="array" ref="I433">INDEX(DataAll!$W$2:$W$555,MATCH(LOWER(Data!A433),LOWER(DataAll!$V$2:$V$555),0))</f>
        <v>33.58</v>
      </c>
      <c r="J433" cm="1">
        <f t="array" ref="J433">INDEX(DataAll!$Z$2:$Z$555,MATCH(LOWER(Data!A433),LOWER(DataAll!$Y$2:$Y$555),0))</f>
        <v>2.23</v>
      </c>
      <c r="K433" cm="1">
        <f t="array" ref="K433">INDEX(DataAll!$AM$2:$AM$555,MATCH(LOWER(Data!A433),LOWER(DataAll!$AL$2:$AL$555),0))</f>
        <v>8.5500000000000007</v>
      </c>
      <c r="L433" cm="1">
        <f t="array" ref="L433">INDEX(DataAll!$AJ$2:$AJ$555,MATCH(LOWER(Data!A433),LOWER(DataAll!$AI$2:$AI$555),0))</f>
        <v>25.26</v>
      </c>
      <c r="M433" cm="1">
        <f t="array" ref="M433">INDEX(DataAll!$AP$2:$AP$555,MATCH(LOWER(Data!A433),LOWER(DataAll!$AO$2:$AO$555),0))</f>
        <v>65.97</v>
      </c>
      <c r="N433" cm="1">
        <f t="array" ref="N433">INDEX(DataAll!$AQ$2:$AQ$555,MATCH(LOWER(Data!A433),LOWER(DataAll!$AO$2:$AO$555),0))</f>
        <v>69.959999999999994</v>
      </c>
      <c r="O433" cm="1">
        <f t="array" ref="O433">INDEX(DataAll!$AT$2:$AT$555,MATCH(LOWER(Data!A433),LOWER(DataAll!$AS$2:$AS$555),0))</f>
        <v>7.98</v>
      </c>
      <c r="P433" cm="1">
        <f t="array" ref="P433">INDEX(DataAll!$AU$2:$AU$555,MATCH(LOWER(Data!A433),LOWER(DataAll!$AS$2:$AS$555),0))</f>
        <v>7.76</v>
      </c>
      <c r="Q433" cm="1">
        <f t="array" ref="Q433">INDEX(DataAll!$AX$2:$AX$556,MATCH(LOWER(Data!A433),LOWER(DataAll!$AW$2:$AW$556),0))</f>
        <v>33.29</v>
      </c>
      <c r="R433" cm="1">
        <f t="array" ref="R433">INDEX('Longitude and Latitude'!$B$2:$B$579,MATCH(LOWER(Data!A433),LOWER('Longitude and Latitude'!$A$2:$A$579),0))</f>
        <v>-5.2171960999999998</v>
      </c>
      <c r="S433" cm="1">
        <f t="array" ref="S433">INDEX('Longitude and Latitude'!$C$2:$C$579,MATCH(LOWER(Data!A433),LOWER('Longitude and Latitude'!$A$2:$A$579),0))</f>
        <v>120.112735</v>
      </c>
      <c r="T433" t="b">
        <f>IF(EXACT(A433, UPPER(A433)), TRUE, FALSE)</f>
        <v>0</v>
      </c>
    </row>
    <row r="434" spans="1:20" x14ac:dyDescent="0.35">
      <c r="A434" t="s">
        <v>431</v>
      </c>
      <c r="B434">
        <v>89.5</v>
      </c>
      <c r="C434" cm="1">
        <f t="array" ref="C434">INDEX(DataAll!$E$2:$E$555,MATCH(LOWER(Data!A434),LOWER(DataAll!$D$2:$D$555),0))</f>
        <v>71.849999999999994</v>
      </c>
      <c r="D434" cm="1">
        <f t="array" ref="D434">INDEX(DataAll!$H$2:$H$579,MATCH(LOWER(Data!A434),LOWER(DataAll!$G$2:$G$555),0))</f>
        <v>0.35299999999999998</v>
      </c>
      <c r="E434" cm="1">
        <f t="array" ref="E434">INDEX(DataAll!$K$2:$K$579,MATCH(LOWER(Data!A434),LOWER(DataAll!$J$2:$J$555),0))</f>
        <v>25.71</v>
      </c>
      <c r="F434" cm="1">
        <f t="array" ref="F434">INDEX(DataAll!$N$2:$N$555,MATCH(LOWER(Data!A434),LOWER(DataAll!$M$2:$M$555),0))</f>
        <v>53.94</v>
      </c>
      <c r="G434" cm="1">
        <f t="array" ref="G434">INDEX(DataAll!$Q$2:$Q$555,MATCH(LOWER(Data!A434),LOWER(DataAll!$P$2:$P$555),0))</f>
        <v>7.15</v>
      </c>
      <c r="H434" cm="1">
        <f t="array" ref="H434">INDEX(DataAll!$T$2:$T$555,MATCH(LOWER(Data!A434),LOWER(DataAll!$S$2:$S$555),0))</f>
        <v>0.33</v>
      </c>
      <c r="I434" cm="1">
        <f t="array" ref="I434">INDEX(DataAll!$W$2:$W$555,MATCH(LOWER(Data!A434),LOWER(DataAll!$V$2:$V$555),0))</f>
        <v>27.76</v>
      </c>
      <c r="J434" cm="1">
        <f t="array" ref="J434">INDEX(DataAll!$Z$2:$Z$555,MATCH(LOWER(Data!A434),LOWER(DataAll!$Y$2:$Y$555),0))</f>
        <v>2.29</v>
      </c>
      <c r="K434" cm="1">
        <f t="array" ref="K434">INDEX(DataAll!$AM$2:$AM$555,MATCH(LOWER(Data!A434),LOWER(DataAll!$AL$2:$AL$555),0))</f>
        <v>9.65</v>
      </c>
      <c r="L434" cm="1">
        <f t="array" ref="L434">INDEX(DataAll!$AJ$2:$AJ$555,MATCH(LOWER(Data!A434),LOWER(DataAll!$AI$2:$AI$555),0))</f>
        <v>20.82</v>
      </c>
      <c r="M434" cm="1">
        <f t="array" ref="M434">INDEX(DataAll!$AP$2:$AP$555,MATCH(LOWER(Data!A434),LOWER(DataAll!$AO$2:$AO$555),0))</f>
        <v>67.52</v>
      </c>
      <c r="N434" cm="1">
        <f t="array" ref="N434">INDEX(DataAll!$AQ$2:$AQ$555,MATCH(LOWER(Data!A434),LOWER(DataAll!$AO$2:$AO$555),0))</f>
        <v>71.48</v>
      </c>
      <c r="O434" cm="1">
        <f t="array" ref="O434">INDEX(DataAll!$AT$2:$AT$555,MATCH(LOWER(Data!A434),LOWER(DataAll!$AS$2:$AS$555),0))</f>
        <v>8.57</v>
      </c>
      <c r="P434" cm="1">
        <f t="array" ref="P434">INDEX(DataAll!$AU$2:$AU$555,MATCH(LOWER(Data!A434),LOWER(DataAll!$AS$2:$AS$555),0))</f>
        <v>7.82</v>
      </c>
      <c r="Q434" cm="1">
        <f t="array" ref="Q434">INDEX(DataAll!$AX$2:$AX$556,MATCH(LOWER(Data!A434),LOWER(DataAll!$AW$2:$AW$556),0))</f>
        <v>33.14</v>
      </c>
      <c r="R434" cm="1">
        <f t="array" ref="R434">INDEX('Longitude and Latitude'!$B$2:$B$579,MATCH(LOWER(Data!A434),LOWER('Longitude and Latitude'!$A$2:$A$579),0))</f>
        <v>-4.9469500000000002</v>
      </c>
      <c r="S434" cm="1">
        <f t="array" ref="S434">INDEX('Longitude and Latitude'!$C$2:$C$579,MATCH(LOWER(Data!A434),LOWER('Longitude and Latitude'!$A$2:$A$579),0))</f>
        <v>119.578903</v>
      </c>
      <c r="T434" t="b">
        <f>IF(EXACT(A434, UPPER(A434)), TRUE, FALSE)</f>
        <v>0</v>
      </c>
    </row>
    <row r="435" spans="1:20" x14ac:dyDescent="0.35">
      <c r="A435" t="s">
        <v>432</v>
      </c>
      <c r="B435">
        <v>90.76</v>
      </c>
      <c r="C435" cm="1">
        <f t="array" ref="C435">INDEX(DataAll!$E$2:$E$555,MATCH(LOWER(Data!A435),LOWER(DataAll!$D$2:$D$555),0))</f>
        <v>66.38</v>
      </c>
      <c r="D435" cm="1">
        <f t="array" ref="D435">INDEX(DataAll!$H$2:$H$579,MATCH(LOWER(Data!A435),LOWER(DataAll!$G$2:$G$555),0))</f>
        <v>0.44</v>
      </c>
      <c r="E435" cm="1">
        <f t="array" ref="E435">INDEX(DataAll!$K$2:$K$579,MATCH(LOWER(Data!A435),LOWER(DataAll!$J$2:$J$555),0))</f>
        <v>17.14</v>
      </c>
      <c r="F435" cm="1">
        <f t="array" ref="F435">INDEX(DataAll!$N$2:$N$555,MATCH(LOWER(Data!A435),LOWER(DataAll!$M$2:$M$555),0))</f>
        <v>60.63</v>
      </c>
      <c r="G435" cm="1">
        <f t="array" ref="G435">INDEX(DataAll!$Q$2:$Q$555,MATCH(LOWER(Data!A435),LOWER(DataAll!$P$2:$P$555),0))</f>
        <v>4.17</v>
      </c>
      <c r="H435" cm="1">
        <f t="array" ref="H435">INDEX(DataAll!$T$2:$T$555,MATCH(LOWER(Data!A435),LOWER(DataAll!$S$2:$S$555),0))</f>
        <v>0.27200000000000002</v>
      </c>
      <c r="I435" cm="1">
        <f t="array" ref="I435">INDEX(DataAll!$W$2:$W$555,MATCH(LOWER(Data!A435),LOWER(DataAll!$V$2:$V$555),0))</f>
        <v>32.36</v>
      </c>
      <c r="J435" cm="1">
        <f t="array" ref="J435">INDEX(DataAll!$Z$2:$Z$555,MATCH(LOWER(Data!A435),LOWER(DataAll!$Y$2:$Y$555),0))</f>
        <v>2.15</v>
      </c>
      <c r="K435" cm="1">
        <f t="array" ref="K435">INDEX(DataAll!$AM$2:$AM$555,MATCH(LOWER(Data!A435),LOWER(DataAll!$AL$2:$AL$555),0))</f>
        <v>13.4</v>
      </c>
      <c r="L435" cm="1">
        <f t="array" ref="L435">INDEX(DataAll!$AJ$2:$AJ$555,MATCH(LOWER(Data!A435),LOWER(DataAll!$AI$2:$AI$555),0))</f>
        <v>25.21</v>
      </c>
      <c r="M435" cm="1">
        <f t="array" ref="M435">INDEX(DataAll!$AP$2:$AP$555,MATCH(LOWER(Data!A435),LOWER(DataAll!$AO$2:$AO$555),0))</f>
        <v>65.430000000000007</v>
      </c>
      <c r="N435" cm="1">
        <f t="array" ref="N435">INDEX(DataAll!$AQ$2:$AQ$555,MATCH(LOWER(Data!A435),LOWER(DataAll!$AO$2:$AO$555),0))</f>
        <v>69.39</v>
      </c>
      <c r="O435" cm="1">
        <f t="array" ref="O435">INDEX(DataAll!$AT$2:$AT$555,MATCH(LOWER(Data!A435),LOWER(DataAll!$AS$2:$AS$555),0))</f>
        <v>8.73</v>
      </c>
      <c r="P435" cm="1">
        <f t="array" ref="P435">INDEX(DataAll!$AU$2:$AU$555,MATCH(LOWER(Data!A435),LOWER(DataAll!$AS$2:$AS$555),0))</f>
        <v>8.07</v>
      </c>
      <c r="Q435" cm="1">
        <f t="array" ref="Q435">INDEX(DataAll!$AX$2:$AX$556,MATCH(LOWER(Data!A435),LOWER(DataAll!$AW$2:$AW$556),0))</f>
        <v>35.26</v>
      </c>
      <c r="R435" cm="1">
        <f t="array" ref="R435">INDEX('Longitude and Latitude'!$B$2:$B$579,MATCH(LOWER(Data!A435),LOWER('Longitude and Latitude'!$A$2:$A$579),0))</f>
        <v>-4.8050350000000002</v>
      </c>
      <c r="S435" cm="1">
        <f t="array" ref="S435">INDEX('Longitude and Latitude'!$C$2:$C$579,MATCH(LOWER(Data!A435),LOWER('Longitude and Latitude'!$A$2:$A$579),0))</f>
        <v>119.55716769999999</v>
      </c>
      <c r="T435" t="b">
        <f>IF(EXACT(A435, UPPER(A435)), TRUE, FALSE)</f>
        <v>0</v>
      </c>
    </row>
    <row r="436" spans="1:20" x14ac:dyDescent="0.35">
      <c r="A436" t="s">
        <v>433</v>
      </c>
      <c r="B436">
        <v>95.65</v>
      </c>
      <c r="C436" cm="1">
        <f t="array" ref="C436">INDEX(DataAll!$E$2:$E$555,MATCH(LOWER(Data!A436),LOWER(DataAll!$D$2:$D$555),0))</f>
        <v>64.91</v>
      </c>
      <c r="D436" cm="1">
        <f t="array" ref="D436">INDEX(DataAll!$H$2:$H$579,MATCH(LOWER(Data!A436),LOWER(DataAll!$G$2:$G$555),0))</f>
        <v>0.224</v>
      </c>
      <c r="E436" cm="1">
        <f t="array" ref="E436">INDEX(DataAll!$K$2:$K$579,MATCH(LOWER(Data!A436),LOWER(DataAll!$J$2:$J$555),0))</f>
        <v>20</v>
      </c>
      <c r="F436" cm="1">
        <f t="array" ref="F436">INDEX(DataAll!$N$2:$N$555,MATCH(LOWER(Data!A436),LOWER(DataAll!$M$2:$M$555),0))</f>
        <v>56.92</v>
      </c>
      <c r="G436" cm="1">
        <f t="array" ref="G436">INDEX(DataAll!$Q$2:$Q$555,MATCH(LOWER(Data!A436),LOWER(DataAll!$P$2:$P$555),0))</f>
        <v>8.1999999999999993</v>
      </c>
      <c r="H436" cm="1">
        <f t="array" ref="H436">INDEX(DataAll!$T$2:$T$555,MATCH(LOWER(Data!A436),LOWER(DataAll!$S$2:$S$555),0))</f>
        <v>0.29199999999999998</v>
      </c>
      <c r="I436" cm="1">
        <f t="array" ref="I436">INDEX(DataAll!$W$2:$W$555,MATCH(LOWER(Data!A436),LOWER(DataAll!$V$2:$V$555),0))</f>
        <v>26.59</v>
      </c>
      <c r="J436" cm="1">
        <f t="array" ref="J436">INDEX(DataAll!$Z$2:$Z$555,MATCH(LOWER(Data!A436),LOWER(DataAll!$Y$2:$Y$555),0))</f>
        <v>2.1800000000000002</v>
      </c>
      <c r="K436" cm="1">
        <f t="array" ref="K436">INDEX(DataAll!$AM$2:$AM$555,MATCH(LOWER(Data!A436),LOWER(DataAll!$AL$2:$AL$555),0))</f>
        <v>8.4600000000000009</v>
      </c>
      <c r="L436" cm="1">
        <f t="array" ref="L436">INDEX(DataAll!$AJ$2:$AJ$555,MATCH(LOWER(Data!A436),LOWER(DataAll!$AI$2:$AI$555),0))</f>
        <v>25.62</v>
      </c>
      <c r="M436" cm="1">
        <f t="array" ref="M436">INDEX(DataAll!$AP$2:$AP$555,MATCH(LOWER(Data!A436),LOWER(DataAll!$AO$2:$AO$555),0))</f>
        <v>67.62</v>
      </c>
      <c r="N436" cm="1">
        <f t="array" ref="N436">INDEX(DataAll!$AQ$2:$AQ$555,MATCH(LOWER(Data!A436),LOWER(DataAll!$AO$2:$AO$555),0))</f>
        <v>71.569999999999993</v>
      </c>
      <c r="O436" cm="1">
        <f t="array" ref="O436">INDEX(DataAll!$AT$2:$AT$555,MATCH(LOWER(Data!A436),LOWER(DataAll!$AS$2:$AS$555),0))</f>
        <v>8.69</v>
      </c>
      <c r="P436" cm="1">
        <f t="array" ref="P436">INDEX(DataAll!$AU$2:$AU$555,MATCH(LOWER(Data!A436),LOWER(DataAll!$AS$2:$AS$555),0))</f>
        <v>8.4600000000000009</v>
      </c>
      <c r="Q436" cm="1">
        <f t="array" ref="Q436">INDEX(DataAll!$AX$2:$AX$556,MATCH(LOWER(Data!A436),LOWER(DataAll!$AW$2:$AW$556),0))</f>
        <v>40.71</v>
      </c>
      <c r="R436" cm="1">
        <f t="array" ref="R436">INDEX('Longitude and Latitude'!$B$2:$B$579,MATCH(LOWER(Data!A436),LOWER('Longitude and Latitude'!$A$2:$A$579),0))</f>
        <v>-4.4172650999999998</v>
      </c>
      <c r="S436" cm="1">
        <f t="array" ref="S436">INDEX('Longitude and Latitude'!$C$2:$C$579,MATCH(LOWER(Data!A436),LOWER('Longitude and Latitude'!$A$2:$A$579),0))</f>
        <v>119.6730939</v>
      </c>
      <c r="T436" t="b">
        <f>IF(EXACT(A436, UPPER(A436)), TRUE, FALSE)</f>
        <v>0</v>
      </c>
    </row>
    <row r="437" spans="1:20" x14ac:dyDescent="0.35">
      <c r="A437" t="s">
        <v>434</v>
      </c>
      <c r="B437">
        <v>93.27</v>
      </c>
      <c r="C437" cm="1">
        <f t="array" ref="C437">INDEX(DataAll!$E$2:$E$555,MATCH(LOWER(Data!A437),LOWER(DataAll!$D$2:$D$555),0))</f>
        <v>58.61</v>
      </c>
      <c r="D437" cm="1">
        <f t="array" ref="D437">INDEX(DataAll!$H$2:$H$579,MATCH(LOWER(Data!A437),LOWER(DataAll!$G$2:$G$555),0))</f>
        <v>0.496</v>
      </c>
      <c r="E437" cm="1">
        <f t="array" ref="E437">INDEX(DataAll!$K$2:$K$579,MATCH(LOWER(Data!A437),LOWER(DataAll!$J$2:$J$555),0))</f>
        <v>8.89</v>
      </c>
      <c r="F437" cm="1">
        <f t="array" ref="F437">INDEX(DataAll!$N$2:$N$555,MATCH(LOWER(Data!A437),LOWER(DataAll!$M$2:$M$555),0))</f>
        <v>64.23</v>
      </c>
      <c r="G437" cm="1">
        <f t="array" ref="G437">INDEX(DataAll!$Q$2:$Q$555,MATCH(LOWER(Data!A437),LOWER(DataAll!$P$2:$P$555),0))</f>
        <v>12.55</v>
      </c>
      <c r="H437" cm="1">
        <f t="array" ref="H437">INDEX(DataAll!$T$2:$T$555,MATCH(LOWER(Data!A437),LOWER(DataAll!$S$2:$S$555),0))</f>
        <v>0.35499999999999998</v>
      </c>
      <c r="I437" cm="1">
        <f t="array" ref="I437">INDEX(DataAll!$W$2:$W$555,MATCH(LOWER(Data!A437),LOWER(DataAll!$V$2:$V$555),0))</f>
        <v>33.32</v>
      </c>
      <c r="J437" cm="1">
        <f t="array" ref="J437">INDEX(DataAll!$Z$2:$Z$555,MATCH(LOWER(Data!A437),LOWER(DataAll!$Y$2:$Y$555),0))</f>
        <v>2.12</v>
      </c>
      <c r="K437" cm="1">
        <f t="array" ref="K437">INDEX(DataAll!$AM$2:$AM$555,MATCH(LOWER(Data!A437),LOWER(DataAll!$AL$2:$AL$555),0))</f>
        <v>10.53</v>
      </c>
      <c r="L437" cm="1">
        <f t="array" ref="L437">INDEX(DataAll!$AJ$2:$AJ$555,MATCH(LOWER(Data!A437),LOWER(DataAll!$AI$2:$AI$555),0))</f>
        <v>24.08</v>
      </c>
      <c r="M437" cm="1">
        <f t="array" ref="M437">INDEX(DataAll!$AP$2:$AP$555,MATCH(LOWER(Data!A437),LOWER(DataAll!$AO$2:$AO$555),0))</f>
        <v>65.91</v>
      </c>
      <c r="N437" cm="1">
        <f t="array" ref="N437">INDEX(DataAll!$AQ$2:$AQ$555,MATCH(LOWER(Data!A437),LOWER(DataAll!$AO$2:$AO$555),0))</f>
        <v>69.900000000000006</v>
      </c>
      <c r="O437" cm="1">
        <f t="array" ref="O437">INDEX(DataAll!$AT$2:$AT$555,MATCH(LOWER(Data!A437),LOWER(DataAll!$AS$2:$AS$555),0))</f>
        <v>7.8</v>
      </c>
      <c r="P437" cm="1">
        <f t="array" ref="P437">INDEX(DataAll!$AU$2:$AU$555,MATCH(LOWER(Data!A437),LOWER(DataAll!$AS$2:$AS$555),0))</f>
        <v>7.39</v>
      </c>
      <c r="Q437" cm="1">
        <f t="array" ref="Q437">INDEX(DataAll!$AX$2:$AX$556,MATCH(LOWER(Data!A437),LOWER(DataAll!$AW$2:$AW$556),0))</f>
        <v>28.34</v>
      </c>
      <c r="R437" cm="1">
        <f t="array" ref="R437">INDEX('Longitude and Latitude'!$B$2:$B$579,MATCH(LOWER(Data!A437),LOWER('Longitude and Latitude'!$A$2:$A$579),0))</f>
        <v>-2.0833330000000001</v>
      </c>
      <c r="S437" cm="1">
        <f t="array" ref="S437">INDEX('Longitude and Latitude'!$C$2:$C$579,MATCH(LOWER(Data!A437),LOWER('Longitude and Latitude'!$A$2:$A$579),0))</f>
        <v>120.216667</v>
      </c>
      <c r="T437" t="b">
        <f>IF(EXACT(A437, UPPER(A437)), TRUE, FALSE)</f>
        <v>0</v>
      </c>
    </row>
    <row r="438" spans="1:20" x14ac:dyDescent="0.35">
      <c r="A438" t="s">
        <v>435</v>
      </c>
      <c r="B438">
        <v>97.16</v>
      </c>
      <c r="C438" cm="1">
        <f t="array" ref="C438">INDEX(DataAll!$E$2:$E$555,MATCH(LOWER(Data!A438),LOWER(DataAll!$D$2:$D$555),0))</f>
        <v>74.599999999999994</v>
      </c>
      <c r="D438" cm="1">
        <f t="array" ref="D438">INDEX(DataAll!$H$2:$H$579,MATCH(LOWER(Data!A438),LOWER(DataAll!$G$2:$G$555),0))</f>
        <v>0.26700000000000002</v>
      </c>
      <c r="E438" cm="1">
        <f t="array" ref="E438">INDEX(DataAll!$K$2:$K$579,MATCH(LOWER(Data!A438),LOWER(DataAll!$J$2:$J$555),0))</f>
        <v>26.67</v>
      </c>
      <c r="F438" cm="1">
        <f t="array" ref="F438">INDEX(DataAll!$N$2:$N$555,MATCH(LOWER(Data!A438),LOWER(DataAll!$M$2:$M$555),0))</f>
        <v>60.74</v>
      </c>
      <c r="G438" cm="1">
        <f t="array" ref="G438">INDEX(DataAll!$Q$2:$Q$555,MATCH(LOWER(Data!A438),LOWER(DataAll!$P$2:$P$555),0))</f>
        <v>13.14</v>
      </c>
      <c r="H438" cm="1">
        <f t="array" ref="H438">INDEX(DataAll!$T$2:$T$555,MATCH(LOWER(Data!A438),LOWER(DataAll!$S$2:$S$555),0))</f>
        <v>0.26200000000000001</v>
      </c>
      <c r="I438" cm="1">
        <f t="array" ref="I438">INDEX(DataAll!$W$2:$W$555,MATCH(LOWER(Data!A438),LOWER(DataAll!$V$2:$V$555),0))</f>
        <v>34.229999999999997</v>
      </c>
      <c r="J438" cm="1">
        <f t="array" ref="J438">INDEX(DataAll!$Z$2:$Z$555,MATCH(LOWER(Data!A438),LOWER(DataAll!$Y$2:$Y$555),0))</f>
        <v>2.11</v>
      </c>
      <c r="K438" cm="1">
        <f t="array" ref="K438">INDEX(DataAll!$AM$2:$AM$555,MATCH(LOWER(Data!A438),LOWER(DataAll!$AL$2:$AL$555),0))</f>
        <v>7.48</v>
      </c>
      <c r="L438" cm="1">
        <f t="array" ref="L438">INDEX(DataAll!$AJ$2:$AJ$555,MATCH(LOWER(Data!A438),LOWER(DataAll!$AI$2:$AI$555),0))</f>
        <v>23.16</v>
      </c>
      <c r="M438" cm="1">
        <f t="array" ref="M438">INDEX(DataAll!$AP$2:$AP$555,MATCH(LOWER(Data!A438),LOWER(DataAll!$AO$2:$AO$555),0))</f>
        <v>68.58</v>
      </c>
      <c r="N438" cm="1">
        <f t="array" ref="N438">INDEX(DataAll!$AQ$2:$AQ$555,MATCH(LOWER(Data!A438),LOWER(DataAll!$AO$2:$AO$555),0))</f>
        <v>72.510000000000005</v>
      </c>
      <c r="O438" cm="1">
        <f t="array" ref="O438">INDEX(DataAll!$AT$2:$AT$555,MATCH(LOWER(Data!A438),LOWER(DataAll!$AS$2:$AS$555),0))</f>
        <v>8.2899999999999991</v>
      </c>
      <c r="P438" cm="1">
        <f t="array" ref="P438">INDEX(DataAll!$AU$2:$AU$555,MATCH(LOWER(Data!A438),LOWER(DataAll!$AS$2:$AS$555),0))</f>
        <v>8.27</v>
      </c>
      <c r="Q438" cm="1">
        <f t="array" ref="Q438">INDEX(DataAll!$AX$2:$AX$556,MATCH(LOWER(Data!A438),LOWER(DataAll!$AW$2:$AW$556),0))</f>
        <v>35.28</v>
      </c>
      <c r="R438" cm="1">
        <f t="array" ref="R438">INDEX('Longitude and Latitude'!$B$2:$B$579,MATCH(LOWER(Data!A438),LOWER('Longitude and Latitude'!$A$2:$A$579),0))</f>
        <v>-4.3518540999999997</v>
      </c>
      <c r="S438" cm="1">
        <f t="array" ref="S438">INDEX('Longitude and Latitude'!$C$2:$C$579,MATCH(LOWER(Data!A438),LOWER('Longitude and Latitude'!$A$2:$A$579),0))</f>
        <v>119.92779470000001</v>
      </c>
      <c r="T438" t="b">
        <f>IF(EXACT(A438, UPPER(A438)), TRUE, FALSE)</f>
        <v>0</v>
      </c>
    </row>
    <row r="439" spans="1:20" x14ac:dyDescent="0.35">
      <c r="A439" t="s">
        <v>436</v>
      </c>
      <c r="B439">
        <v>90.65</v>
      </c>
      <c r="C439" cm="1">
        <f t="array" ref="C439">INDEX(DataAll!$E$2:$E$555,MATCH(LOWER(Data!A439),LOWER(DataAll!$D$2:$D$555),0))</f>
        <v>57.9</v>
      </c>
      <c r="D439" cm="1">
        <f t="array" ref="D439">INDEX(DataAll!$H$2:$H$579,MATCH(LOWER(Data!A439),LOWER(DataAll!$G$2:$G$555),0))</f>
        <v>0.47499999999999998</v>
      </c>
      <c r="E439" cm="1">
        <f t="array" ref="E439">INDEX(DataAll!$K$2:$K$579,MATCH(LOWER(Data!A439),LOWER(DataAll!$J$2:$J$555),0))</f>
        <v>10</v>
      </c>
      <c r="F439" cm="1">
        <f t="array" ref="F439">INDEX(DataAll!$N$2:$N$555,MATCH(LOWER(Data!A439),LOWER(DataAll!$M$2:$M$555),0))</f>
        <v>52.31</v>
      </c>
      <c r="G439" cm="1">
        <f t="array" ref="G439">INDEX(DataAll!$Q$2:$Q$555,MATCH(LOWER(Data!A439),LOWER(DataAll!$P$2:$P$555),0))</f>
        <v>6.67</v>
      </c>
      <c r="H439" cm="1">
        <f t="array" ref="H439">INDEX(DataAll!$T$2:$T$555,MATCH(LOWER(Data!A439),LOWER(DataAll!$S$2:$S$555),0))</f>
        <v>0.26900000000000002</v>
      </c>
      <c r="I439" cm="1">
        <f t="array" ref="I439">INDEX(DataAll!$W$2:$W$555,MATCH(LOWER(Data!A439),LOWER(DataAll!$V$2:$V$555),0))</f>
        <v>28.02</v>
      </c>
      <c r="J439" cm="1">
        <f t="array" ref="J439">INDEX(DataAll!$Z$2:$Z$555,MATCH(LOWER(Data!A439),LOWER(DataAll!$Y$2:$Y$555),0))</f>
        <v>2.0699999999999998</v>
      </c>
      <c r="K439" cm="1">
        <f t="array" ref="K439">INDEX(DataAll!$AM$2:$AM$555,MATCH(LOWER(Data!A439),LOWER(DataAll!$AL$2:$AL$555),0))</f>
        <v>6.73</v>
      </c>
      <c r="L439" cm="1">
        <f t="array" ref="L439">INDEX(DataAll!$AJ$2:$AJ$555,MATCH(LOWER(Data!A439),LOWER(DataAll!$AI$2:$AI$555),0))</f>
        <v>23.66</v>
      </c>
      <c r="M439" cm="1">
        <f t="array" ref="M439">INDEX(DataAll!$AP$2:$AP$555,MATCH(LOWER(Data!A439),LOWER(DataAll!$AO$2:$AO$555),0))</f>
        <v>66.16</v>
      </c>
      <c r="N439" cm="1">
        <f t="array" ref="N439">INDEX(DataAll!$AQ$2:$AQ$555,MATCH(LOWER(Data!A439),LOWER(DataAll!$AO$2:$AO$555),0))</f>
        <v>70.150000000000006</v>
      </c>
      <c r="O439" cm="1">
        <f t="array" ref="O439">INDEX(DataAll!$AT$2:$AT$555,MATCH(LOWER(Data!A439),LOWER(DataAll!$AS$2:$AS$555),0))</f>
        <v>7.47</v>
      </c>
      <c r="P439" cm="1">
        <f t="array" ref="P439">INDEX(DataAll!$AU$2:$AU$555,MATCH(LOWER(Data!A439),LOWER(DataAll!$AS$2:$AS$555),0))</f>
        <v>7.13</v>
      </c>
      <c r="Q439" cm="1">
        <f t="array" ref="Q439">INDEX(DataAll!$AX$2:$AX$556,MATCH(LOWER(Data!A439),LOWER(DataAll!$AW$2:$AW$556),0))</f>
        <v>25.64</v>
      </c>
      <c r="R439" cm="1">
        <f t="array" ref="R439">INDEX('Longitude and Latitude'!$B$2:$B$579,MATCH(LOWER(Data!A439),LOWER('Longitude and Latitude'!$A$2:$A$579),0))</f>
        <v>-4.0222290000000003</v>
      </c>
      <c r="S439" cm="1">
        <f t="array" ref="S439">INDEX('Longitude and Latitude'!$C$2:$C$579,MATCH(LOWER(Data!A439),LOWER('Longitude and Latitude'!$A$2:$A$579),0))</f>
        <v>120.0665236</v>
      </c>
      <c r="T439" t="b">
        <f>IF(EXACT(A439, UPPER(A439)), TRUE, FALSE)</f>
        <v>0</v>
      </c>
    </row>
    <row r="440" spans="1:20" x14ac:dyDescent="0.35">
      <c r="A440" t="s">
        <v>437</v>
      </c>
      <c r="B440">
        <v>92.53</v>
      </c>
      <c r="C440" cm="1">
        <f t="array" ref="C440">INDEX(DataAll!$E$2:$E$555,MATCH(LOWER(Data!A440),LOWER(DataAll!$D$2:$D$555),0))</f>
        <v>60.37</v>
      </c>
      <c r="D440" cm="1">
        <f t="array" ref="D440">INDEX(DataAll!$H$2:$H$579,MATCH(LOWER(Data!A440),LOWER(DataAll!$G$2:$G$555),0))</f>
        <v>0.45200000000000001</v>
      </c>
      <c r="E440" cm="1">
        <f t="array" ref="E440">INDEX(DataAll!$K$2:$K$579,MATCH(LOWER(Data!A440),LOWER(DataAll!$J$2:$J$555),0))</f>
        <v>11.43</v>
      </c>
      <c r="F440" cm="1">
        <f t="array" ref="F440">INDEX(DataAll!$N$2:$N$555,MATCH(LOWER(Data!A440),LOWER(DataAll!$M$2:$M$555),0))</f>
        <v>52.23</v>
      </c>
      <c r="G440" cm="1">
        <f t="array" ref="G440">INDEX(DataAll!$Q$2:$Q$555,MATCH(LOWER(Data!A440),LOWER(DataAll!$P$2:$P$555),0))</f>
        <v>6.81</v>
      </c>
      <c r="H440" cm="1">
        <f t="array" ref="H440">INDEX(DataAll!$T$2:$T$555,MATCH(LOWER(Data!A440),LOWER(DataAll!$S$2:$S$555),0))</f>
        <v>0.308</v>
      </c>
      <c r="I440" cm="1">
        <f t="array" ref="I440">INDEX(DataAll!$W$2:$W$555,MATCH(LOWER(Data!A440),LOWER(DataAll!$V$2:$V$555),0))</f>
        <v>29.72</v>
      </c>
      <c r="J440" cm="1">
        <f t="array" ref="J440">INDEX(DataAll!$Z$2:$Z$555,MATCH(LOWER(Data!A440),LOWER(DataAll!$Y$2:$Y$555),0))</f>
        <v>2.12</v>
      </c>
      <c r="K440" cm="1">
        <f t="array" ref="K440">INDEX(DataAll!$AM$2:$AM$555,MATCH(LOWER(Data!A440),LOWER(DataAll!$AL$2:$AL$555),0))</f>
        <v>5.14</v>
      </c>
      <c r="L440" cm="1">
        <f t="array" ref="L440">INDEX(DataAll!$AJ$2:$AJ$555,MATCH(LOWER(Data!A440),LOWER(DataAll!$AI$2:$AI$555),0))</f>
        <v>17.48</v>
      </c>
      <c r="M440" cm="1">
        <f t="array" ref="M440">INDEX(DataAll!$AP$2:$AP$555,MATCH(LOWER(Data!A440),LOWER(DataAll!$AO$2:$AO$555),0))</f>
        <v>68.819999999999993</v>
      </c>
      <c r="N440" cm="1">
        <f t="array" ref="N440">INDEX(DataAll!$AQ$2:$AQ$555,MATCH(LOWER(Data!A440),LOWER(DataAll!$AO$2:$AO$555),0))</f>
        <v>72.760000000000005</v>
      </c>
      <c r="O440" cm="1">
        <f t="array" ref="O440">INDEX(DataAll!$AT$2:$AT$555,MATCH(LOWER(Data!A440),LOWER(DataAll!$AS$2:$AS$555),0))</f>
        <v>8.33</v>
      </c>
      <c r="P440" cm="1">
        <f t="array" ref="P440">INDEX(DataAll!$AU$2:$AU$555,MATCH(LOWER(Data!A440),LOWER(DataAll!$AS$2:$AS$555),0))</f>
        <v>8.16</v>
      </c>
      <c r="Q440" cm="1">
        <f t="array" ref="Q440">INDEX(DataAll!$AX$2:$AX$556,MATCH(LOWER(Data!A440),LOWER(DataAll!$AW$2:$AW$556),0))</f>
        <v>33.75</v>
      </c>
      <c r="R440" cm="1">
        <f t="array" ref="R440">INDEX('Longitude and Latitude'!$B$2:$B$579,MATCH(LOWER(Data!A440),LOWER('Longitude and Latitude'!$A$2:$A$579),0))</f>
        <v>-3.7738980999999998</v>
      </c>
      <c r="S440" cm="1">
        <f t="array" ref="S440">INDEX('Longitude and Latitude'!$C$2:$C$579,MATCH(LOWER(Data!A440),LOWER('Longitude and Latitude'!$A$2:$A$579),0))</f>
        <v>120.02029640000001</v>
      </c>
      <c r="T440" t="b">
        <f>IF(EXACT(A440, UPPER(A440)), TRUE, FALSE)</f>
        <v>0</v>
      </c>
    </row>
    <row r="441" spans="1:20" x14ac:dyDescent="0.35">
      <c r="A441" t="s">
        <v>438</v>
      </c>
      <c r="B441">
        <v>95.61</v>
      </c>
      <c r="C441" cm="1">
        <f t="array" ref="C441">INDEX(DataAll!$E$2:$E$555,MATCH(LOWER(Data!A441),LOWER(DataAll!$D$2:$D$555),0))</f>
        <v>68.92</v>
      </c>
      <c r="D441" cm="1">
        <f t="array" ref="D441">INDEX(DataAll!$H$2:$H$579,MATCH(LOWER(Data!A441),LOWER(DataAll!$G$2:$G$555),0))</f>
        <v>0.25</v>
      </c>
      <c r="E441" cm="1">
        <f t="array" ref="E441">INDEX(DataAll!$K$2:$K$579,MATCH(LOWER(Data!A441),LOWER(DataAll!$J$2:$J$555),0))</f>
        <v>15</v>
      </c>
      <c r="F441" cm="1">
        <f t="array" ref="F441">INDEX(DataAll!$N$2:$N$555,MATCH(LOWER(Data!A441),LOWER(DataAll!$M$2:$M$555),0))</f>
        <v>56.55</v>
      </c>
      <c r="G441" cm="1">
        <f t="array" ref="G441">INDEX(DataAll!$Q$2:$Q$555,MATCH(LOWER(Data!A441),LOWER(DataAll!$P$2:$P$555),0))</f>
        <v>7.1</v>
      </c>
      <c r="H441" cm="1">
        <f t="array" ref="H441">INDEX(DataAll!$T$2:$T$555,MATCH(LOWER(Data!A441),LOWER(DataAll!$S$2:$S$555),0))</f>
        <v>0.25700000000000001</v>
      </c>
      <c r="I441" cm="1">
        <f t="array" ref="I441">INDEX(DataAll!$W$2:$W$555,MATCH(LOWER(Data!A441),LOWER(DataAll!$V$2:$V$555),0))</f>
        <v>35.94</v>
      </c>
      <c r="J441" cm="1">
        <f t="array" ref="J441">INDEX(DataAll!$Z$2:$Z$555,MATCH(LOWER(Data!A441),LOWER(DataAll!$Y$2:$Y$555),0))</f>
        <v>2.33</v>
      </c>
      <c r="K441" cm="1">
        <f t="array" ref="K441">INDEX(DataAll!$AM$2:$AM$555,MATCH(LOWER(Data!A441),LOWER(DataAll!$AL$2:$AL$555),0))</f>
        <v>8.9</v>
      </c>
      <c r="L441" cm="1">
        <f t="array" ref="L441">INDEX(DataAll!$AJ$2:$AJ$555,MATCH(LOWER(Data!A441),LOWER(DataAll!$AI$2:$AI$555),0))</f>
        <v>16.95</v>
      </c>
      <c r="M441" cm="1">
        <f t="array" ref="M441">INDEX(DataAll!$AP$2:$AP$555,MATCH(LOWER(Data!A441),LOWER(DataAll!$AO$2:$AO$555),0))</f>
        <v>68.569999999999993</v>
      </c>
      <c r="N441" cm="1">
        <f t="array" ref="N441">INDEX(DataAll!$AQ$2:$AQ$555,MATCH(LOWER(Data!A441),LOWER(DataAll!$AO$2:$AO$555),0))</f>
        <v>72.5</v>
      </c>
      <c r="O441" cm="1">
        <f t="array" ref="O441">INDEX(DataAll!$AT$2:$AT$555,MATCH(LOWER(Data!A441),LOWER(DataAll!$AS$2:$AS$555),0))</f>
        <v>8.5399999999999991</v>
      </c>
      <c r="P441" cm="1">
        <f t="array" ref="P441">INDEX(DataAll!$AU$2:$AU$555,MATCH(LOWER(Data!A441),LOWER(DataAll!$AS$2:$AS$555),0))</f>
        <v>8.07</v>
      </c>
      <c r="Q441" cm="1">
        <f t="array" ref="Q441">INDEX(DataAll!$AX$2:$AX$556,MATCH(LOWER(Data!A441),LOWER(DataAll!$AW$2:$AW$556),0))</f>
        <v>34.97</v>
      </c>
      <c r="R441" cm="1">
        <f t="array" ref="R441">INDEX('Longitude and Latitude'!$B$2:$B$579,MATCH(LOWER(Data!A441),LOWER('Longitude and Latitude'!$A$2:$A$579),0))</f>
        <v>-3.7930709999999999</v>
      </c>
      <c r="S441" cm="1">
        <f t="array" ref="S441">INDEX('Longitude and Latitude'!$C$2:$C$579,MATCH(LOWER(Data!A441),LOWER('Longitude and Latitude'!$A$2:$A$579),0))</f>
        <v>119.6408</v>
      </c>
      <c r="T441" t="b">
        <f>IF(EXACT(A441, UPPER(A441)), TRUE, FALSE)</f>
        <v>0</v>
      </c>
    </row>
    <row r="442" spans="1:20" x14ac:dyDescent="0.35">
      <c r="A442" t="s">
        <v>439</v>
      </c>
      <c r="B442">
        <v>97.93</v>
      </c>
      <c r="C442" cm="1">
        <f t="array" ref="C442">INDEX(DataAll!$E$2:$E$555,MATCH(LOWER(Data!A442),LOWER(DataAll!$D$2:$D$555),0))</f>
        <v>64.680000000000007</v>
      </c>
      <c r="D442" cm="1">
        <f t="array" ref="D442">INDEX(DataAll!$H$2:$H$579,MATCH(LOWER(Data!A442),LOWER(DataAll!$G$2:$G$555),0))</f>
        <v>0.27600000000000002</v>
      </c>
      <c r="E442" cm="1">
        <f t="array" ref="E442">INDEX(DataAll!$K$2:$K$579,MATCH(LOWER(Data!A442),LOWER(DataAll!$J$2:$J$555),0))</f>
        <v>10</v>
      </c>
      <c r="F442" cm="1">
        <f t="array" ref="F442">INDEX(DataAll!$N$2:$N$555,MATCH(LOWER(Data!A442),LOWER(DataAll!$M$2:$M$555),0))</f>
        <v>55.19</v>
      </c>
      <c r="G442" cm="1">
        <f t="array" ref="G442">INDEX(DataAll!$Q$2:$Q$555,MATCH(LOWER(Data!A442),LOWER(DataAll!$P$2:$P$555),0))</f>
        <v>7.48</v>
      </c>
      <c r="H442" cm="1">
        <f t="array" ref="H442">INDEX(DataAll!$T$2:$T$555,MATCH(LOWER(Data!A442),LOWER(DataAll!$S$2:$S$555),0))</f>
        <v>0.20499999999999999</v>
      </c>
      <c r="I442" cm="1">
        <f t="array" ref="I442">INDEX(DataAll!$W$2:$W$555,MATCH(LOWER(Data!A442),LOWER(DataAll!$V$2:$V$555),0))</f>
        <v>37.44</v>
      </c>
      <c r="J442" cm="1">
        <f t="array" ref="J442">INDEX(DataAll!$Z$2:$Z$555,MATCH(LOWER(Data!A442),LOWER(DataAll!$Y$2:$Y$555),0))</f>
        <v>2.57</v>
      </c>
      <c r="K442" cm="1">
        <f t="array" ref="K442">INDEX(DataAll!$AM$2:$AM$555,MATCH(LOWER(Data!A442),LOWER(DataAll!$AL$2:$AL$555),0))</f>
        <v>12.69</v>
      </c>
      <c r="L442" cm="1">
        <f t="array" ref="L442">INDEX(DataAll!$AJ$2:$AJ$555,MATCH(LOWER(Data!A442),LOWER(DataAll!$AI$2:$AI$555),0))</f>
        <v>18.940000000000001</v>
      </c>
      <c r="M442" cm="1">
        <f t="array" ref="M442">INDEX(DataAll!$AP$2:$AP$555,MATCH(LOWER(Data!A442),LOWER(DataAll!$AO$2:$AO$555),0))</f>
        <v>69.41</v>
      </c>
      <c r="N442" cm="1">
        <f t="array" ref="N442">INDEX(DataAll!$AQ$2:$AQ$555,MATCH(LOWER(Data!A442),LOWER(DataAll!$AO$2:$AO$555),0))</f>
        <v>73.38</v>
      </c>
      <c r="O442" cm="1">
        <f t="array" ref="O442">INDEX(DataAll!$AT$2:$AT$555,MATCH(LOWER(Data!A442),LOWER(DataAll!$AS$2:$AS$555),0))</f>
        <v>9.3000000000000007</v>
      </c>
      <c r="P442" cm="1">
        <f t="array" ref="P442">INDEX(DataAll!$AU$2:$AU$555,MATCH(LOWER(Data!A442),LOWER(DataAll!$AS$2:$AS$555),0))</f>
        <v>8.6999999999999993</v>
      </c>
      <c r="Q442" cm="1">
        <f t="array" ref="Q442">INDEX(DataAll!$AX$2:$AX$556,MATCH(LOWER(Data!A442),LOWER(DataAll!$AW$2:$AW$556),0))</f>
        <v>40.9</v>
      </c>
      <c r="R442" cm="1">
        <f t="array" ref="R442">INDEX('Longitude and Latitude'!$B$2:$B$579,MATCH(LOWER(Data!A442),LOWER('Longitude and Latitude'!$A$2:$A$579),0))</f>
        <v>-3.5631279999999999</v>
      </c>
      <c r="S442" cm="1">
        <f t="array" ref="S442">INDEX('Longitude and Latitude'!$C$2:$C$579,MATCH(LOWER(Data!A442),LOWER('Longitude and Latitude'!$A$2:$A$579),0))</f>
        <v>119.7612</v>
      </c>
      <c r="T442" t="b">
        <f>IF(EXACT(A442, UPPER(A442)), TRUE, FALSE)</f>
        <v>0</v>
      </c>
    </row>
    <row r="443" spans="1:20" x14ac:dyDescent="0.35">
      <c r="A443" t="s">
        <v>440</v>
      </c>
      <c r="B443">
        <v>92.79</v>
      </c>
      <c r="C443" cm="1">
        <f t="array" ref="C443">INDEX(DataAll!$E$2:$E$555,MATCH(LOWER(Data!A443),LOWER(DataAll!$D$2:$D$555),0))</f>
        <v>55.34</v>
      </c>
      <c r="D443" cm="1">
        <f t="array" ref="D443">INDEX(DataAll!$H$2:$H$579,MATCH(LOWER(Data!A443),LOWER(DataAll!$G$2:$G$555),0))</f>
        <v>0.53500000000000003</v>
      </c>
      <c r="E443" cm="1">
        <f t="array" ref="E443">INDEX(DataAll!$K$2:$K$579,MATCH(LOWER(Data!A443),LOWER(DataAll!$J$2:$J$555),0))</f>
        <v>2.86</v>
      </c>
      <c r="F443" cm="1">
        <f t="array" ref="F443">INDEX(DataAll!$N$2:$N$555,MATCH(LOWER(Data!A443),LOWER(DataAll!$M$2:$M$555),0))</f>
        <v>57.63</v>
      </c>
      <c r="G443" cm="1">
        <f t="array" ref="G443">INDEX(DataAll!$Q$2:$Q$555,MATCH(LOWER(Data!A443),LOWER(DataAll!$P$2:$P$555),0))</f>
        <v>7.61</v>
      </c>
      <c r="H443" cm="1">
        <f t="array" ref="H443">INDEX(DataAll!$T$2:$T$555,MATCH(LOWER(Data!A443),LOWER(DataAll!$S$2:$S$555),0))</f>
        <v>0.29499999999999998</v>
      </c>
      <c r="I443" cm="1">
        <f t="array" ref="I443">INDEX(DataAll!$W$2:$W$555,MATCH(LOWER(Data!A443),LOWER(DataAll!$V$2:$V$555),0))</f>
        <v>36.450000000000003</v>
      </c>
      <c r="J443" cm="1">
        <f t="array" ref="J443">INDEX(DataAll!$Z$2:$Z$555,MATCH(LOWER(Data!A443),LOWER(DataAll!$Y$2:$Y$555),0))</f>
        <v>2.41</v>
      </c>
      <c r="K443" cm="1">
        <f t="array" ref="K443">INDEX(DataAll!$AM$2:$AM$555,MATCH(LOWER(Data!A443),LOWER(DataAll!$AL$2:$AL$555),0))</f>
        <v>12.71</v>
      </c>
      <c r="L443" cm="1">
        <f t="array" ref="L443">INDEX(DataAll!$AJ$2:$AJ$555,MATCH(LOWER(Data!A443),LOWER(DataAll!$AI$2:$AI$555),0))</f>
        <v>22.92</v>
      </c>
      <c r="M443" cm="1">
        <f t="array" ref="M443">INDEX(DataAll!$AP$2:$AP$555,MATCH(LOWER(Data!A443),LOWER(DataAll!$AO$2:$AO$555),0))</f>
        <v>69.069999999999993</v>
      </c>
      <c r="N443" cm="1">
        <f t="array" ref="N443">INDEX(DataAll!$AQ$2:$AQ$555,MATCH(LOWER(Data!A443),LOWER(DataAll!$AO$2:$AO$555),0))</f>
        <v>73.02</v>
      </c>
      <c r="O443" cm="1">
        <f t="array" ref="O443">INDEX(DataAll!$AT$2:$AT$555,MATCH(LOWER(Data!A443),LOWER(DataAll!$AS$2:$AS$555),0))</f>
        <v>8.86</v>
      </c>
      <c r="P443" cm="1">
        <f t="array" ref="P443">INDEX(DataAll!$AU$2:$AU$555,MATCH(LOWER(Data!A443),LOWER(DataAll!$AS$2:$AS$555),0))</f>
        <v>8.61</v>
      </c>
      <c r="Q443" cm="1">
        <f t="array" ref="Q443">INDEX(DataAll!$AX$2:$AX$556,MATCH(LOWER(Data!A443),LOWER(DataAll!$AW$2:$AW$556),0))</f>
        <v>38.35</v>
      </c>
      <c r="R443" cm="1">
        <f t="array" ref="R443">INDEX('Longitude and Latitude'!$B$2:$B$579,MATCH(LOWER(Data!A443),LOWER('Longitude and Latitude'!$A$2:$A$579),0))</f>
        <v>-3.3052214000000002</v>
      </c>
      <c r="S443" cm="1">
        <f t="array" ref="S443">INDEX('Longitude and Latitude'!$C$2:$C$579,MATCH(LOWER(Data!A443),LOWER('Longitude and Latitude'!$A$2:$A$579),0))</f>
        <v>120.2512728</v>
      </c>
      <c r="T443" t="b">
        <f>IF(EXACT(A443, UPPER(A443)), TRUE, FALSE)</f>
        <v>0</v>
      </c>
    </row>
    <row r="444" spans="1:20" x14ac:dyDescent="0.35">
      <c r="A444" t="s">
        <v>441</v>
      </c>
      <c r="B444">
        <v>88.54</v>
      </c>
      <c r="C444" cm="1">
        <f t="array" ref="C444">INDEX(DataAll!$E$2:$E$555,MATCH(LOWER(Data!A444),LOWER(DataAll!$D$2:$D$555),0))</f>
        <v>70.290000000000006</v>
      </c>
      <c r="D444" cm="1">
        <f t="array" ref="D444">INDEX(DataAll!$H$2:$H$579,MATCH(LOWER(Data!A444),LOWER(DataAll!$G$2:$G$555),0))</f>
        <v>0.501</v>
      </c>
      <c r="E444" cm="1">
        <f t="array" ref="E444">INDEX(DataAll!$K$2:$K$579,MATCH(LOWER(Data!A444),LOWER(DataAll!$J$2:$J$555),0))</f>
        <v>13.33</v>
      </c>
      <c r="F444" cm="1">
        <f t="array" ref="F444">INDEX(DataAll!$N$2:$N$555,MATCH(LOWER(Data!A444),LOWER(DataAll!$M$2:$M$555),0))</f>
        <v>58.42</v>
      </c>
      <c r="G444" cm="1">
        <f t="array" ref="G444">INDEX(DataAll!$Q$2:$Q$555,MATCH(LOWER(Data!A444),LOWER(DataAll!$P$2:$P$555),0))</f>
        <v>9.67</v>
      </c>
      <c r="H444" cm="1">
        <f t="array" ref="H444">INDEX(DataAll!$T$2:$T$555,MATCH(LOWER(Data!A444),LOWER(DataAll!$S$2:$S$555),0))</f>
        <v>0.31900000000000001</v>
      </c>
      <c r="I444" cm="1">
        <f t="array" ref="I444">INDEX(DataAll!$W$2:$W$555,MATCH(LOWER(Data!A444),LOWER(DataAll!$V$2:$V$555),0))</f>
        <v>45.65</v>
      </c>
      <c r="J444" cm="1">
        <f t="array" ref="J444">INDEX(DataAll!$Z$2:$Z$555,MATCH(LOWER(Data!A444),LOWER(DataAll!$Y$2:$Y$555),0))</f>
        <v>2.62</v>
      </c>
      <c r="K444" cm="1">
        <f t="array" ref="K444">INDEX(DataAll!$AM$2:$AM$555,MATCH(LOWER(Data!A444),LOWER(DataAll!$AL$2:$AL$555),0))</f>
        <v>12.48</v>
      </c>
      <c r="L444" cm="1">
        <f t="array" ref="L444">INDEX(DataAll!$AJ$2:$AJ$555,MATCH(LOWER(Data!A444),LOWER(DataAll!$AI$2:$AI$555),0))</f>
        <v>16.649999999999999</v>
      </c>
      <c r="M444" cm="1">
        <f t="array" ref="M444">INDEX(DataAll!$AP$2:$AP$555,MATCH(LOWER(Data!A444),LOWER(DataAll!$AO$2:$AO$555),0))</f>
        <v>72.23</v>
      </c>
      <c r="N444" cm="1">
        <f t="array" ref="N444">INDEX(DataAll!$AQ$2:$AQ$555,MATCH(LOWER(Data!A444),LOWER(DataAll!$AO$2:$AO$555),0))</f>
        <v>75.95</v>
      </c>
      <c r="O444" cm="1">
        <f t="array" ref="O444">INDEX(DataAll!$AT$2:$AT$555,MATCH(LOWER(Data!A444),LOWER(DataAll!$AS$2:$AS$555),0))</f>
        <v>8.83</v>
      </c>
      <c r="P444" cm="1">
        <f t="array" ref="P444">INDEX(DataAll!$AU$2:$AU$555,MATCH(LOWER(Data!A444),LOWER(DataAll!$AS$2:$AS$555),0))</f>
        <v>8.51</v>
      </c>
      <c r="Q444" cm="1">
        <f t="array" ref="Q444">INDEX(DataAll!$AX$2:$AX$556,MATCH(LOWER(Data!A444),LOWER(DataAll!$AW$2:$AW$556),0))</f>
        <v>39.909999999999997</v>
      </c>
      <c r="R444" cm="1">
        <f t="array" ref="R444">INDEX('Longitude and Latitude'!$B$2:$B$579,MATCH(LOWER(Data!A444),LOWER('Longitude and Latitude'!$A$2:$A$579),0))</f>
        <v>-3.0753002999999999</v>
      </c>
      <c r="S444" cm="1">
        <f t="array" ref="S444">INDEX('Longitude and Latitude'!$C$2:$C$579,MATCH(LOWER(Data!A444),LOWER('Longitude and Latitude'!$A$2:$A$579),0))</f>
        <v>119.742604</v>
      </c>
      <c r="T444" t="b">
        <f>IF(EXACT(A444, UPPER(A444)), TRUE, FALSE)</f>
        <v>0</v>
      </c>
    </row>
    <row r="445" spans="1:20" x14ac:dyDescent="0.35">
      <c r="A445" t="s">
        <v>442</v>
      </c>
      <c r="B445">
        <v>90.2</v>
      </c>
      <c r="C445" cm="1">
        <f t="array" ref="C445">INDEX(DataAll!$E$2:$E$555,MATCH(LOWER(Data!A445),LOWER(DataAll!$D$2:$D$555),0))</f>
        <v>47.63</v>
      </c>
      <c r="D445" cm="1">
        <f t="array" ref="D445">INDEX(DataAll!$H$2:$H$579,MATCH(LOWER(Data!A445),LOWER(DataAll!$G$2:$G$555),0))</f>
        <v>0.51200000000000001</v>
      </c>
      <c r="E445" cm="1">
        <f t="array" ref="E445">INDEX(DataAll!$K$2:$K$579,MATCH(LOWER(Data!A445),LOWER(DataAll!$J$2:$J$555),0))</f>
        <v>5.71</v>
      </c>
      <c r="F445" cm="1">
        <f t="array" ref="F445">INDEX(DataAll!$N$2:$N$555,MATCH(LOWER(Data!A445),LOWER(DataAll!$M$2:$M$555),0))</f>
        <v>56.17</v>
      </c>
      <c r="G445" cm="1">
        <f t="array" ref="G445">INDEX(DataAll!$Q$2:$Q$555,MATCH(LOWER(Data!A445),LOWER(DataAll!$P$2:$P$555),0))</f>
        <v>5.38</v>
      </c>
      <c r="H445" cm="1">
        <f t="array" ref="H445">INDEX(DataAll!$T$2:$T$555,MATCH(LOWER(Data!A445),LOWER(DataAll!$S$2:$S$555),0))</f>
        <v>0.34799999999999998</v>
      </c>
      <c r="I445" cm="1">
        <f t="array" ref="I445">INDEX(DataAll!$W$2:$W$555,MATCH(LOWER(Data!A445),LOWER(DataAll!$V$2:$V$555),0))</f>
        <v>21.18</v>
      </c>
      <c r="J445" cm="1">
        <f t="array" ref="J445">INDEX(DataAll!$Z$2:$Z$555,MATCH(LOWER(Data!A445),LOWER(DataAll!$Y$2:$Y$555),0))</f>
        <v>2.27</v>
      </c>
      <c r="K445" cm="1">
        <f t="array" ref="K445">INDEX(DataAll!$AM$2:$AM$555,MATCH(LOWER(Data!A445),LOWER(DataAll!$AL$2:$AL$555),0))</f>
        <v>12.66</v>
      </c>
      <c r="L445" cm="1">
        <f t="array" ref="L445">INDEX(DataAll!$AJ$2:$AJ$555,MATCH(LOWER(Data!A445),LOWER(DataAll!$AI$2:$AI$555),0))</f>
        <v>22.58</v>
      </c>
      <c r="M445" cm="1">
        <f t="array" ref="M445">INDEX(DataAll!$AP$2:$AP$555,MATCH(LOWER(Data!A445),LOWER(DataAll!$AO$2:$AO$555),0))</f>
        <v>67.430000000000007</v>
      </c>
      <c r="N445" cm="1">
        <f t="array" ref="N445">INDEX(DataAll!$AQ$2:$AQ$555,MATCH(LOWER(Data!A445),LOWER(DataAll!$AO$2:$AO$555),0))</f>
        <v>71.39</v>
      </c>
      <c r="O445" cm="1">
        <f t="array" ref="O445">INDEX(DataAll!$AT$2:$AT$555,MATCH(LOWER(Data!A445),LOWER(DataAll!$AS$2:$AS$555),0))</f>
        <v>8.2899999999999991</v>
      </c>
      <c r="P445" cm="1">
        <f t="array" ref="P445">INDEX(DataAll!$AU$2:$AU$555,MATCH(LOWER(Data!A445),LOWER(DataAll!$AS$2:$AS$555),0))</f>
        <v>7.94</v>
      </c>
      <c r="Q445" cm="1">
        <f t="array" ref="Q445">INDEX(DataAll!$AX$2:$AX$556,MATCH(LOWER(Data!A445),LOWER(DataAll!$AW$2:$AW$556),0))</f>
        <v>33.270000000000003</v>
      </c>
      <c r="R445" cm="1">
        <f t="array" ref="R445">INDEX('Longitude and Latitude'!$B$2:$B$579,MATCH(LOWER(Data!A445),LOWER('Longitude and Latitude'!$A$2:$A$579),0))</f>
        <v>-2.2690446</v>
      </c>
      <c r="S445" cm="1">
        <f t="array" ref="S445">INDEX('Longitude and Latitude'!$C$2:$C$579,MATCH(LOWER(Data!A445),LOWER('Longitude and Latitude'!$A$2:$A$579),0))</f>
        <v>119.9740534</v>
      </c>
      <c r="T445" t="b">
        <f>IF(EXACT(A445, UPPER(A445)), TRUE, FALSE)</f>
        <v>0</v>
      </c>
    </row>
    <row r="446" spans="1:20" x14ac:dyDescent="0.35">
      <c r="A446" t="s">
        <v>443</v>
      </c>
      <c r="B446">
        <v>90.34</v>
      </c>
      <c r="C446" cm="1">
        <f t="array" ref="C446">INDEX(DataAll!$E$2:$E$555,MATCH(LOWER(Data!A446),LOWER(DataAll!$D$2:$D$555),0))</f>
        <v>53.38</v>
      </c>
      <c r="D446" cm="1">
        <f t="array" ref="D446">INDEX(DataAll!$H$2:$H$579,MATCH(LOWER(Data!A446),LOWER(DataAll!$G$2:$G$555),0))</f>
        <v>0.43099999999999999</v>
      </c>
      <c r="E446" cm="1">
        <f t="array" ref="E446">INDEX(DataAll!$K$2:$K$579,MATCH(LOWER(Data!A446),LOWER(DataAll!$J$2:$J$555),0))</f>
        <v>10</v>
      </c>
      <c r="F446" cm="1">
        <f t="array" ref="F446">INDEX(DataAll!$N$2:$N$555,MATCH(LOWER(Data!A446),LOWER(DataAll!$M$2:$M$555),0))</f>
        <v>63.53</v>
      </c>
      <c r="G446" cm="1">
        <f t="array" ref="G446">INDEX(DataAll!$Q$2:$Q$555,MATCH(LOWER(Data!A446),LOWER(DataAll!$P$2:$P$555),0))</f>
        <v>6.85</v>
      </c>
      <c r="H446" cm="1">
        <f t="array" ref="H446">INDEX(DataAll!$T$2:$T$555,MATCH(LOWER(Data!A446),LOWER(DataAll!$S$2:$S$555),0))</f>
        <v>0.28199999999999997</v>
      </c>
      <c r="I446" cm="1">
        <f t="array" ref="I446">INDEX(DataAll!$W$2:$W$555,MATCH(LOWER(Data!A446),LOWER(DataAll!$V$2:$V$555),0))</f>
        <v>23.95</v>
      </c>
      <c r="J446" cm="1">
        <f t="array" ref="J446">INDEX(DataAll!$Z$2:$Z$555,MATCH(LOWER(Data!A446),LOWER(DataAll!$Y$2:$Y$555),0))</f>
        <v>2.31</v>
      </c>
      <c r="K446" cm="1">
        <f t="array" ref="K446">INDEX(DataAll!$AM$2:$AM$555,MATCH(LOWER(Data!A446),LOWER(DataAll!$AL$2:$AL$555),0))</f>
        <v>6.93</v>
      </c>
      <c r="L446" cm="1">
        <f t="array" ref="L446">INDEX(DataAll!$AJ$2:$AJ$555,MATCH(LOWER(Data!A446),LOWER(DataAll!$AI$2:$AI$555),0))</f>
        <v>18.14</v>
      </c>
      <c r="M446" cm="1">
        <f t="array" ref="M446">INDEX(DataAll!$AP$2:$AP$555,MATCH(LOWER(Data!A446),LOWER(DataAll!$AO$2:$AO$555),0))</f>
        <v>69.260000000000005</v>
      </c>
      <c r="N446" cm="1">
        <f t="array" ref="N446">INDEX(DataAll!$AQ$2:$AQ$555,MATCH(LOWER(Data!A446),LOWER(DataAll!$AO$2:$AO$555),0))</f>
        <v>73.22</v>
      </c>
      <c r="O446" cm="1">
        <f t="array" ref="O446">INDEX(DataAll!$AT$2:$AT$555,MATCH(LOWER(Data!A446),LOWER(DataAll!$AS$2:$AS$555),0))</f>
        <v>9.15</v>
      </c>
      <c r="P446" cm="1">
        <f t="array" ref="P446">INDEX(DataAll!$AU$2:$AU$555,MATCH(LOWER(Data!A446),LOWER(DataAll!$AS$2:$AS$555),0))</f>
        <v>8.68</v>
      </c>
      <c r="Q446" cm="1">
        <f t="array" ref="Q446">INDEX(DataAll!$AX$2:$AX$556,MATCH(LOWER(Data!A446),LOWER(DataAll!$AW$2:$AW$556),0))</f>
        <v>40.909999999999997</v>
      </c>
      <c r="R446" cm="1">
        <f t="array" ref="R446">INDEX('Longitude and Latitude'!$B$2:$B$579,MATCH(LOWER(Data!A446),LOWER('Longitude and Latitude'!$A$2:$A$579),0))</f>
        <v>-2.5825518000000001</v>
      </c>
      <c r="S446" cm="1">
        <f t="array" ref="S446">INDEX('Longitude and Latitude'!$C$2:$C$579,MATCH(LOWER(Data!A446),LOWER('Longitude and Latitude'!$A$2:$A$579),0))</f>
        <v>121.1710389</v>
      </c>
      <c r="T446" t="b">
        <f>IF(EXACT(A446, UPPER(A446)), TRUE, FALSE)</f>
        <v>0</v>
      </c>
    </row>
    <row r="447" spans="1:20" x14ac:dyDescent="0.35">
      <c r="A447" t="s">
        <v>444</v>
      </c>
      <c r="B447">
        <v>87.8</v>
      </c>
      <c r="C447" cm="1">
        <f t="array" ref="C447">INDEX(DataAll!$E$2:$E$555,MATCH(LOWER(Data!A447),LOWER(DataAll!$D$2:$D$555),0))</f>
        <v>62.23</v>
      </c>
      <c r="D447" cm="1">
        <f t="array" ref="D447">INDEX(DataAll!$H$2:$H$579,MATCH(LOWER(Data!A447),LOWER(DataAll!$G$2:$G$555),0))</f>
        <v>0.45400000000000001</v>
      </c>
      <c r="E447" cm="1">
        <f t="array" ref="E447">INDEX(DataAll!$K$2:$K$579,MATCH(LOWER(Data!A447),LOWER(DataAll!$J$2:$J$555),0))</f>
        <v>10</v>
      </c>
      <c r="F447" cm="1">
        <f t="array" ref="F447">INDEX(DataAll!$N$2:$N$555,MATCH(LOWER(Data!A447),LOWER(DataAll!$M$2:$M$555),0))</f>
        <v>61.86</v>
      </c>
      <c r="G447" cm="1">
        <f t="array" ref="G447">INDEX(DataAll!$Q$2:$Q$555,MATCH(LOWER(Data!A447),LOWER(DataAll!$P$2:$P$555),0))</f>
        <v>6.2</v>
      </c>
      <c r="H447" cm="1">
        <f t="array" ref="H447">INDEX(DataAll!$T$2:$T$555,MATCH(LOWER(Data!A447),LOWER(DataAll!$S$2:$S$555),0))</f>
        <v>0.32</v>
      </c>
      <c r="I447" cm="1">
        <f t="array" ref="I447">INDEX(DataAll!$W$2:$W$555,MATCH(LOWER(Data!A447),LOWER(DataAll!$V$2:$V$555),0))</f>
        <v>35.71</v>
      </c>
      <c r="J447" cm="1">
        <f t="array" ref="J447">INDEX(DataAll!$Z$2:$Z$555,MATCH(LOWER(Data!A447),LOWER(DataAll!$Y$2:$Y$555),0))</f>
        <v>3</v>
      </c>
      <c r="K447" cm="1">
        <f t="array" ref="K447">INDEX(DataAll!$AM$2:$AM$555,MATCH(LOWER(Data!A447),LOWER(DataAll!$AL$2:$AL$555),0))</f>
        <v>12.12</v>
      </c>
      <c r="L447" cm="1">
        <f t="array" ref="L447">INDEX(DataAll!$AJ$2:$AJ$555,MATCH(LOWER(Data!A447),LOWER(DataAll!$AI$2:$AI$555),0))</f>
        <v>14.33</v>
      </c>
      <c r="M447" cm="1">
        <f t="array" ref="M447">INDEX(DataAll!$AP$2:$AP$555,MATCH(LOWER(Data!A447),LOWER(DataAll!$AO$2:$AO$555),0))</f>
        <v>72.06</v>
      </c>
      <c r="N447" cm="1">
        <f t="array" ref="N447">INDEX(DataAll!$AQ$2:$AQ$555,MATCH(LOWER(Data!A447),LOWER(DataAll!$AO$2:$AO$555),0))</f>
        <v>75.8</v>
      </c>
      <c r="O447" cm="1">
        <f t="array" ref="O447">INDEX(DataAll!$AT$2:$AT$555,MATCH(LOWER(Data!A447),LOWER(DataAll!$AS$2:$AS$555),0))</f>
        <v>8.75</v>
      </c>
      <c r="P447" cm="1">
        <f t="array" ref="P447">INDEX(DataAll!$AU$2:$AU$555,MATCH(LOWER(Data!A447),LOWER(DataAll!$AS$2:$AS$555),0))</f>
        <v>8.49</v>
      </c>
      <c r="Q447" cm="1">
        <f t="array" ref="Q447">INDEX(DataAll!$AX$2:$AX$556,MATCH(LOWER(Data!A447),LOWER(DataAll!$AW$2:$AW$556),0))</f>
        <v>45.89</v>
      </c>
      <c r="R447" cm="1">
        <f t="array" ref="R447">INDEX('Longitude and Latitude'!$B$2:$B$579,MATCH(LOWER(Data!A447),LOWER('Longitude and Latitude'!$A$2:$A$579),0))</f>
        <v>-2.8621941999999998</v>
      </c>
      <c r="S447" cm="1">
        <f t="array" ref="S447">INDEX('Longitude and Latitude'!$C$2:$C$579,MATCH(LOWER(Data!A447),LOWER('Longitude and Latitude'!$A$2:$A$579),0))</f>
        <v>119.83523030000001</v>
      </c>
      <c r="T447" t="b">
        <f>IF(EXACT(A447, UPPER(A447)), TRUE, FALSE)</f>
        <v>0</v>
      </c>
    </row>
    <row r="448" spans="1:20" x14ac:dyDescent="0.35">
      <c r="A448" t="s">
        <v>1089</v>
      </c>
      <c r="B448">
        <v>94.65</v>
      </c>
      <c r="C448" cm="1">
        <f t="array" ref="C448">INDEX(DataAll!$E$2:$E$555,MATCH(LOWER(Data!A448),LOWER(DataAll!$D$2:$D$555),0))</f>
        <v>78.13</v>
      </c>
      <c r="D448" cm="1">
        <f t="array" ref="D448">INDEX(DataAll!$H$2:$H$579,MATCH(LOWER(Data!A448),LOWER(DataAll!$G$2:$G$555),0))</f>
        <v>0.186</v>
      </c>
      <c r="E448" cm="1">
        <f t="array" ref="E448">INDEX(DataAll!$K$2:$K$579,MATCH(LOWER(Data!A448),LOWER(DataAll!$J$2:$J$555),0))</f>
        <v>26</v>
      </c>
      <c r="F448" cm="1">
        <f t="array" ref="F448">INDEX(DataAll!$N$2:$N$555,MATCH(LOWER(Data!A448),LOWER(DataAll!$M$2:$M$555),0))</f>
        <v>47.2</v>
      </c>
      <c r="G448" cm="1">
        <f t="array" ref="G448">INDEX(DataAll!$Q$2:$Q$555,MATCH(LOWER(Data!A448),LOWER(DataAll!$P$2:$P$555),0))</f>
        <v>5.18</v>
      </c>
      <c r="H448" cm="1">
        <f t="array" ref="H448">INDEX(DataAll!$T$2:$T$555,MATCH(LOWER(Data!A448),LOWER(DataAll!$S$2:$S$555),0))</f>
        <v>0.20399999999999999</v>
      </c>
      <c r="I448" cm="1">
        <f t="array" ref="I448">INDEX(DataAll!$W$2:$W$555,MATCH(LOWER(Data!A448),LOWER(DataAll!$V$2:$V$555),0))</f>
        <v>34.86</v>
      </c>
      <c r="J448" cm="1">
        <f t="array" ref="J448">INDEX(DataAll!$Z$2:$Z$555,MATCH(LOWER(Data!A448),LOWER(DataAll!$Y$2:$Y$555),0))</f>
        <v>2.02</v>
      </c>
      <c r="K448" cm="1">
        <f t="array" ref="K448">INDEX(DataAll!$AM$2:$AM$555,MATCH(LOWER(Data!A448),LOWER(DataAll!$AL$2:$AL$555),0))</f>
        <v>5.07</v>
      </c>
      <c r="L448" cm="1">
        <f t="array" ref="L448">INDEX(DataAll!$AJ$2:$AJ$555,MATCH(LOWER(Data!A448),LOWER(DataAll!$AI$2:$AI$555),0))</f>
        <v>13.55</v>
      </c>
      <c r="M448" t="e" cm="1">
        <f t="array" ref="M448">INDEX(DataAll!$AP$2:$AP$555,MATCH(LOWER(Data!A448),LOWER(DataAll!$AO$2:$AO$555),0))</f>
        <v>#N/A</v>
      </c>
      <c r="N448" t="e" cm="1">
        <f t="array" ref="N448">INDEX(DataAll!$AQ$2:$AQ$555,MATCH(LOWER(Data!A448),LOWER(DataAll!$AO$2:$AO$555),0))</f>
        <v>#N/A</v>
      </c>
      <c r="O448" t="e" cm="1">
        <f t="array" ref="O448">INDEX(DataAll!$AT$2:$AT$555,MATCH(LOWER(Data!A448),LOWER(DataAll!$AS$2:$AS$555),0))</f>
        <v>#N/A</v>
      </c>
      <c r="P448" t="e" cm="1">
        <f t="array" ref="P448">INDEX(DataAll!$AU$2:$AU$555,MATCH(LOWER(Data!A448),LOWER(DataAll!$AS$2:$AS$555),0))</f>
        <v>#N/A</v>
      </c>
      <c r="Q448" cm="1">
        <f t="array" ref="Q448">INDEX(DataAll!$AX$2:$AX$556,MATCH(LOWER(Data!A448),LOWER(DataAll!$AW$2:$AW$556),0))</f>
        <v>67.13</v>
      </c>
      <c r="R448" cm="1">
        <f t="array" ref="R448">INDEX('Longitude and Latitude'!$B$2:$B$579,MATCH(LOWER(Data!A448),LOWER('Longitude and Latitude'!$A$2:$A$579),0))</f>
        <v>-5.1333333000000003</v>
      </c>
      <c r="S448" cm="1">
        <f t="array" ref="S448">INDEX('Longitude and Latitude'!$C$2:$C$579,MATCH(LOWER(Data!A448),LOWER('Longitude and Latitude'!$A$2:$A$579),0))</f>
        <v>119.41666669999999</v>
      </c>
      <c r="T448" t="b">
        <f>IF(EXACT(A448, UPPER(A448)), TRUE, FALSE)</f>
        <v>0</v>
      </c>
    </row>
    <row r="449" spans="1:20" x14ac:dyDescent="0.35">
      <c r="A449" t="s">
        <v>1090</v>
      </c>
      <c r="B449">
        <v>97.06</v>
      </c>
      <c r="C449" cm="1">
        <f t="array" ref="C449">INDEX(DataAll!$E$2:$E$555,MATCH(LOWER(Data!A449),LOWER(DataAll!$D$2:$D$555),0))</f>
        <v>71.849999999999994</v>
      </c>
      <c r="D449" cm="1">
        <f t="array" ref="D449">INDEX(DataAll!$H$2:$H$579,MATCH(LOWER(Data!A449),LOWER(DataAll!$G$2:$G$555),0))</f>
        <v>0.20699999999999999</v>
      </c>
      <c r="E449" cm="1">
        <f t="array" ref="E449">INDEX(DataAll!$K$2:$K$579,MATCH(LOWER(Data!A449),LOWER(DataAll!$J$2:$J$555),0))</f>
        <v>20</v>
      </c>
      <c r="F449" cm="1">
        <f t="array" ref="F449">INDEX(DataAll!$N$2:$N$555,MATCH(LOWER(Data!A449),LOWER(DataAll!$M$2:$M$555),0))</f>
        <v>51.22</v>
      </c>
      <c r="G449" cm="1">
        <f t="array" ref="G449">INDEX(DataAll!$Q$2:$Q$555,MATCH(LOWER(Data!A449),LOWER(DataAll!$P$2:$P$555),0))</f>
        <v>6.37</v>
      </c>
      <c r="H449" cm="1">
        <f t="array" ref="H449">INDEX(DataAll!$T$2:$T$555,MATCH(LOWER(Data!A449),LOWER(DataAll!$S$2:$S$555),0))</f>
        <v>0.26700000000000002</v>
      </c>
      <c r="I449" cm="1">
        <f t="array" ref="I449">INDEX(DataAll!$W$2:$W$555,MATCH(LOWER(Data!A449),LOWER(DataAll!$V$2:$V$555),0))</f>
        <v>33.03</v>
      </c>
      <c r="J449" cm="1">
        <f t="array" ref="J449">INDEX(DataAll!$Z$2:$Z$555,MATCH(LOWER(Data!A449),LOWER(DataAll!$Y$2:$Y$555),0))</f>
        <v>2.35</v>
      </c>
      <c r="K449" cm="1">
        <f t="array" ref="K449">INDEX(DataAll!$AM$2:$AM$555,MATCH(LOWER(Data!A449),LOWER(DataAll!$AL$2:$AL$555),0))</f>
        <v>5.34</v>
      </c>
      <c r="L449" cm="1">
        <f t="array" ref="L449">INDEX(DataAll!$AJ$2:$AJ$555,MATCH(LOWER(Data!A449),LOWER(DataAll!$AI$2:$AI$555),0))</f>
        <v>16.79</v>
      </c>
      <c r="M449" cm="1">
        <f t="array" ref="M449">INDEX(DataAll!$AP$2:$AP$555,MATCH(LOWER(Data!A449),LOWER(DataAll!$AO$2:$AO$555),0))</f>
        <v>69.83</v>
      </c>
      <c r="N449" cm="1">
        <f t="array" ref="N449">INDEX(DataAll!$AQ$2:$AQ$555,MATCH(LOWER(Data!A449),LOWER(DataAll!$AO$2:$AO$555),0))</f>
        <v>73.819999999999993</v>
      </c>
      <c r="O449" t="e" cm="1">
        <f t="array" ref="O449">INDEX(DataAll!$AT$2:$AT$555,MATCH(LOWER(Data!A449),LOWER(DataAll!$AS$2:$AS$555),0))</f>
        <v>#N/A</v>
      </c>
      <c r="P449" t="e" cm="1">
        <f t="array" ref="P449">INDEX(DataAll!$AU$2:$AU$555,MATCH(LOWER(Data!A449),LOWER(DataAll!$AS$2:$AS$555),0))</f>
        <v>#N/A</v>
      </c>
      <c r="Q449" cm="1">
        <f t="array" ref="Q449">INDEX(DataAll!$AX$2:$AX$556,MATCH(LOWER(Data!A449),LOWER(DataAll!$AW$2:$AW$556),0))</f>
        <v>59.42</v>
      </c>
      <c r="R449" cm="1">
        <f t="array" ref="R449">INDEX('Longitude and Latitude'!$B$2:$B$579,MATCH(LOWER(Data!A449),LOWER('Longitude and Latitude'!$A$2:$A$579),0))</f>
        <v>-4.0166667</v>
      </c>
      <c r="S449" cm="1">
        <f t="array" ref="S449">INDEX('Longitude and Latitude'!$C$2:$C$579,MATCH(LOWER(Data!A449),LOWER('Longitude and Latitude'!$A$2:$A$579),0))</f>
        <v>119.62361110000001</v>
      </c>
      <c r="T449" t="b">
        <f>IF(EXACT(A449, UPPER(A449)), TRUE, FALSE)</f>
        <v>0</v>
      </c>
    </row>
    <row r="450" spans="1:20" x14ac:dyDescent="0.35">
      <c r="A450" t="s">
        <v>446</v>
      </c>
      <c r="B450">
        <v>97.61</v>
      </c>
      <c r="C450" cm="1">
        <f t="array" ref="C450">INDEX(DataAll!$E$2:$E$555,MATCH(LOWER(Data!A450),LOWER(DataAll!$D$2:$D$555),0))</f>
        <v>78.19</v>
      </c>
      <c r="D450" cm="1">
        <f t="array" ref="D450">INDEX(DataAll!$H$2:$H$579,MATCH(LOWER(Data!A450),LOWER(DataAll!$G$2:$G$555),0))</f>
        <v>0.27300000000000002</v>
      </c>
      <c r="E450" cm="1">
        <f t="array" ref="E450">INDEX(DataAll!$K$2:$K$579,MATCH(LOWER(Data!A450),LOWER(DataAll!$J$2:$J$555),0))</f>
        <v>28</v>
      </c>
      <c r="F450" cm="1">
        <f t="array" ref="F450">INDEX(DataAll!$N$2:$N$555,MATCH(LOWER(Data!A450),LOWER(DataAll!$M$2:$M$555),0))</f>
        <v>54.39</v>
      </c>
      <c r="G450" cm="1">
        <f t="array" ref="G450">INDEX(DataAll!$Q$2:$Q$555,MATCH(LOWER(Data!A450),LOWER(DataAll!$P$2:$P$555),0))</f>
        <v>4.3499999999999996</v>
      </c>
      <c r="H450" cm="1">
        <f t="array" ref="H450">INDEX(DataAll!$T$2:$T$555,MATCH(LOWER(Data!A450),LOWER(DataAll!$S$2:$S$555),0))</f>
        <v>0.29299999999999998</v>
      </c>
      <c r="I450" cm="1">
        <f t="array" ref="I450">INDEX(DataAll!$W$2:$W$555,MATCH(LOWER(Data!A450),LOWER(DataAll!$V$2:$V$555),0))</f>
        <v>34.159999999999997</v>
      </c>
      <c r="J450" cm="1">
        <f t="array" ref="J450">INDEX(DataAll!$Z$2:$Z$555,MATCH(LOWER(Data!A450),LOWER(DataAll!$Y$2:$Y$555),0))</f>
        <v>2.2400000000000002</v>
      </c>
      <c r="K450" cm="1">
        <f t="array" ref="K450">INDEX(DataAll!$AM$2:$AM$555,MATCH(LOWER(Data!A450),LOWER(DataAll!$AL$2:$AL$555),0))</f>
        <v>7.69</v>
      </c>
      <c r="L450" cm="1">
        <f t="array" ref="L450">INDEX(DataAll!$AJ$2:$AJ$555,MATCH(LOWER(Data!A450),LOWER(DataAll!$AI$2:$AI$555),0))</f>
        <v>18.98</v>
      </c>
      <c r="M450" cm="1">
        <f t="array" ref="M450">INDEX(DataAll!$AP$2:$AP$555,MATCH(LOWER(Data!A450),LOWER(DataAll!$AO$2:$AO$555),0))</f>
        <v>69.459999999999994</v>
      </c>
      <c r="N450" cm="1">
        <f t="array" ref="N450">INDEX(DataAll!$AQ$2:$AQ$555,MATCH(LOWER(Data!A450),LOWER(DataAll!$AO$2:$AO$555),0))</f>
        <v>73.430000000000007</v>
      </c>
      <c r="O450" cm="1">
        <f t="array" ref="O450">INDEX(DataAll!$AT$2:$AT$555,MATCH(LOWER(Data!A450),LOWER(DataAll!$AS$2:$AS$555),0))</f>
        <v>11.25</v>
      </c>
      <c r="P450" cm="1">
        <f t="array" ref="P450">INDEX(DataAll!$AU$2:$AU$555,MATCH(LOWER(Data!A450),LOWER(DataAll!$AS$2:$AS$555),0))</f>
        <v>11.01</v>
      </c>
      <c r="Q450" cm="1">
        <f t="array" ref="Q450">INDEX(DataAll!$AX$2:$AX$556,MATCH(LOWER(Data!A450),LOWER(DataAll!$AW$2:$AW$556),0))</f>
        <v>63.88</v>
      </c>
      <c r="R450" cm="1">
        <f t="array" ref="R450">INDEX('Longitude and Latitude'!$B$2:$B$579,MATCH(LOWER(Data!A450),LOWER('Longitude and Latitude'!$A$2:$A$579),0))</f>
        <v>-3</v>
      </c>
      <c r="S450" cm="1">
        <f t="array" ref="S450">INDEX('Longitude and Latitude'!$C$2:$C$579,MATCH(LOWER(Data!A450),LOWER('Longitude and Latitude'!$A$2:$A$579),0))</f>
        <v>120.2</v>
      </c>
      <c r="T450" t="b">
        <f>IF(EXACT(A450, UPPER(A450)), TRUE, FALSE)</f>
        <v>0</v>
      </c>
    </row>
    <row r="451" spans="1:20" x14ac:dyDescent="0.35">
      <c r="A451" t="s">
        <v>447</v>
      </c>
      <c r="B451">
        <v>91.2</v>
      </c>
      <c r="C451" cm="1">
        <f t="array" ref="C451">INDEX(DataAll!$E$2:$E$555,MATCH(LOWER(Data!A451),LOWER(DataAll!$D$2:$D$555),0))</f>
        <v>73.58</v>
      </c>
      <c r="D451" cm="1">
        <f t="array" ref="D451">INDEX(DataAll!$H$2:$H$579,MATCH(LOWER(Data!A451),LOWER(DataAll!$G$2:$G$555),0))</f>
        <v>0.49099999999999999</v>
      </c>
      <c r="E451" cm="1">
        <f t="array" ref="E451">INDEX(DataAll!$K$2:$K$579,MATCH(LOWER(Data!A451),LOWER(DataAll!$J$2:$J$555),0))</f>
        <v>20</v>
      </c>
      <c r="F451" cm="1">
        <f t="array" ref="F451">INDEX(DataAll!$N$2:$N$555,MATCH(LOWER(Data!A451),LOWER(DataAll!$M$2:$M$555),0))</f>
        <v>50.47</v>
      </c>
      <c r="G451" t="e" cm="1">
        <f t="array" ref="G451">INDEX(DataAll!$Q$2:$Q$555,MATCH(LOWER(Data!A451),LOWER(DataAll!$P$2:$P$555),0))</f>
        <v>#N/A</v>
      </c>
      <c r="H451" cm="1">
        <f t="array" ref="H451">INDEX(DataAll!$T$2:$T$555,MATCH(LOWER(Data!A451),LOWER(DataAll!$S$2:$S$555),0))</f>
        <v>0.32700000000000001</v>
      </c>
      <c r="I451" cm="1">
        <f t="array" ref="I451">INDEX(DataAll!$W$2:$W$555,MATCH(LOWER(Data!A451),LOWER(DataAll!$V$2:$V$555),0))</f>
        <v>36.24</v>
      </c>
      <c r="J451" cm="1">
        <f t="array" ref="J451">INDEX(DataAll!$Z$2:$Z$555,MATCH(LOWER(Data!A451),LOWER(DataAll!$Y$2:$Y$555),0))</f>
        <v>2.57</v>
      </c>
      <c r="K451" cm="1">
        <f t="array" ref="K451">INDEX(DataAll!$AM$2:$AM$555,MATCH(LOWER(Data!A451),LOWER(DataAll!$AL$2:$AL$555),0))</f>
        <v>11.43</v>
      </c>
      <c r="L451" cm="1">
        <f t="array" ref="L451">INDEX(DataAll!$AJ$2:$AJ$555,MATCH(LOWER(Data!A451),LOWER(DataAll!$AI$2:$AI$555),0))</f>
        <v>27.93</v>
      </c>
      <c r="M451" cm="1">
        <f t="array" ref="M451">INDEX(DataAll!$AP$2:$AP$555,MATCH(LOWER(Data!A451),LOWER(DataAll!$AO$2:$AO$555),0))</f>
        <v>69.540000000000006</v>
      </c>
      <c r="N451" cm="1">
        <f t="array" ref="N451">INDEX(DataAll!$AQ$2:$AQ$555,MATCH(LOWER(Data!A451),LOWER(DataAll!$AO$2:$AO$555),0))</f>
        <v>73.510000000000005</v>
      </c>
      <c r="O451" cm="1">
        <f t="array" ref="O451">INDEX(DataAll!$AT$2:$AT$555,MATCH(LOWER(Data!A451),LOWER(DataAll!$AS$2:$AS$555),0))</f>
        <v>9.61</v>
      </c>
      <c r="P451" cm="1">
        <f t="array" ref="P451">INDEX(DataAll!$AU$2:$AU$555,MATCH(LOWER(Data!A451),LOWER(DataAll!$AS$2:$AS$555),0))</f>
        <v>9.01</v>
      </c>
      <c r="Q451" cm="1">
        <f t="array" ref="Q451">INDEX(DataAll!$AX$2:$AX$556,MATCH(LOWER(Data!A451),LOWER(DataAll!$AW$2:$AW$556),0))</f>
        <v>37.9</v>
      </c>
      <c r="R451" cm="1">
        <f t="array" ref="R451">INDEX('Longitude and Latitude'!$B$2:$B$579,MATCH(LOWER(Data!A451),LOWER('Longitude and Latitude'!$A$2:$A$579),0))</f>
        <v>-4.1449100000000003</v>
      </c>
      <c r="S451" cm="1">
        <f t="array" ref="S451">INDEX('Longitude and Latitude'!$C$2:$C$579,MATCH(LOWER(Data!A451),LOWER('Longitude and Latitude'!$A$2:$A$579),0))</f>
        <v>122.174605</v>
      </c>
      <c r="T451" t="b">
        <f>IF(EXACT(A451, UPPER(A451)), TRUE, FALSE)</f>
        <v>1</v>
      </c>
    </row>
    <row r="452" spans="1:20" x14ac:dyDescent="0.35">
      <c r="A452" t="s">
        <v>448</v>
      </c>
      <c r="B452">
        <v>82.07</v>
      </c>
      <c r="C452" cm="1">
        <f t="array" ref="C452">INDEX(DataAll!$E$2:$E$555,MATCH(LOWER(Data!A452),LOWER(DataAll!$D$2:$D$555),0))</f>
        <v>70.37</v>
      </c>
      <c r="D452" cm="1">
        <f t="array" ref="D452">INDEX(DataAll!$H$2:$H$579,MATCH(LOWER(Data!A452),LOWER(DataAll!$G$2:$G$555),0))</f>
        <v>0.52800000000000002</v>
      </c>
      <c r="E452" cm="1">
        <f t="array" ref="E452">INDEX(DataAll!$K$2:$K$579,MATCH(LOWER(Data!A452),LOWER(DataAll!$J$2:$J$555),0))</f>
        <v>16</v>
      </c>
      <c r="F452" cm="1">
        <f t="array" ref="F452">INDEX(DataAll!$N$2:$N$555,MATCH(LOWER(Data!A452),LOWER(DataAll!$M$2:$M$555),0))</f>
        <v>52.29</v>
      </c>
      <c r="G452" cm="1">
        <f t="array" ref="G452">INDEX(DataAll!$Q$2:$Q$555,MATCH(LOWER(Data!A452),LOWER(DataAll!$P$2:$P$555),0))</f>
        <v>15.7</v>
      </c>
      <c r="H452" cm="1">
        <f t="array" ref="H452">INDEX(DataAll!$T$2:$T$555,MATCH(LOWER(Data!A452),LOWER(DataAll!$S$2:$S$555),0))</f>
        <v>0.29499999999999998</v>
      </c>
      <c r="I452" cm="1">
        <f t="array" ref="I452">INDEX(DataAll!$W$2:$W$555,MATCH(LOWER(Data!A452),LOWER(DataAll!$V$2:$V$555),0))</f>
        <v>35.17</v>
      </c>
      <c r="J452" cm="1">
        <f t="array" ref="J452">INDEX(DataAll!$Z$2:$Z$555,MATCH(LOWER(Data!A452),LOWER(DataAll!$Y$2:$Y$555),0))</f>
        <v>2.83</v>
      </c>
      <c r="K452" cm="1">
        <f t="array" ref="K452">INDEX(DataAll!$AM$2:$AM$555,MATCH(LOWER(Data!A452),LOWER(DataAll!$AL$2:$AL$555),0))</f>
        <v>13.77</v>
      </c>
      <c r="L452" cm="1">
        <f t="array" ref="L452">INDEX(DataAll!$AJ$2:$AJ$555,MATCH(LOWER(Data!A452),LOWER(DataAll!$AI$2:$AI$555),0))</f>
        <v>34.729999999999997</v>
      </c>
      <c r="M452" cm="1">
        <f t="array" ref="M452">INDEX(DataAll!$AP$2:$AP$555,MATCH(LOWER(Data!A452),LOWER(DataAll!$AO$2:$AO$555),0))</f>
        <v>66.39</v>
      </c>
      <c r="N452" cm="1">
        <f t="array" ref="N452">INDEX(DataAll!$AQ$2:$AQ$555,MATCH(LOWER(Data!A452),LOWER(DataAll!$AO$2:$AO$555),0))</f>
        <v>70.69</v>
      </c>
      <c r="O452" cm="1">
        <f t="array" ref="O452">INDEX(DataAll!$AT$2:$AT$555,MATCH(LOWER(Data!A452),LOWER(DataAll!$AS$2:$AS$555),0))</f>
        <v>9.3800000000000008</v>
      </c>
      <c r="P452" cm="1">
        <f t="array" ref="P452">INDEX(DataAll!$AU$2:$AU$555,MATCH(LOWER(Data!A452),LOWER(DataAll!$AS$2:$AS$555),0))</f>
        <v>7.82</v>
      </c>
      <c r="Q452" cm="1">
        <f t="array" ref="Q452">INDEX(DataAll!$AX$2:$AX$556,MATCH(LOWER(Data!A452),LOWER(DataAll!$AW$2:$AW$556),0))</f>
        <v>34.43</v>
      </c>
      <c r="R452" cm="1">
        <f t="array" ref="R452">INDEX('Longitude and Latitude'!$B$2:$B$579,MATCH(LOWER(Data!A452),LOWER('Longitude and Latitude'!$A$2:$A$579),0))</f>
        <v>-5.3096354999999997</v>
      </c>
      <c r="S452" cm="1">
        <f t="array" ref="S452">INDEX('Longitude and Latitude'!$C$2:$C$579,MATCH(LOWER(Data!A452),LOWER('Longitude and Latitude'!$A$2:$A$579),0))</f>
        <v>122.98883189999999</v>
      </c>
      <c r="T452" t="b">
        <f>IF(EXACT(A452, UPPER(A452)), TRUE, FALSE)</f>
        <v>0</v>
      </c>
    </row>
    <row r="453" spans="1:20" x14ac:dyDescent="0.35">
      <c r="A453" t="s">
        <v>449</v>
      </c>
      <c r="B453">
        <v>88.13</v>
      </c>
      <c r="C453" cm="1">
        <f t="array" ref="C453">INDEX(DataAll!$E$2:$E$555,MATCH(LOWER(Data!A453),LOWER(DataAll!$D$2:$D$555),0))</f>
        <v>65.12</v>
      </c>
      <c r="D453" cm="1">
        <f t="array" ref="D453">INDEX(DataAll!$H$2:$H$579,MATCH(LOWER(Data!A453),LOWER(DataAll!$G$2:$G$555),0))</f>
        <v>0.52900000000000003</v>
      </c>
      <c r="E453" cm="1">
        <f t="array" ref="E453">INDEX(DataAll!$K$2:$K$579,MATCH(LOWER(Data!A453),LOWER(DataAll!$J$2:$J$555),0))</f>
        <v>13.33</v>
      </c>
      <c r="F453" cm="1">
        <f t="array" ref="F453">INDEX(DataAll!$N$2:$N$555,MATCH(LOWER(Data!A453),LOWER(DataAll!$M$2:$M$555),0))</f>
        <v>57.87</v>
      </c>
      <c r="G453" cm="1">
        <f t="array" ref="G453">INDEX(DataAll!$Q$2:$Q$555,MATCH(LOWER(Data!A453),LOWER(DataAll!$P$2:$P$555),0))</f>
        <v>13.98</v>
      </c>
      <c r="H453" cm="1">
        <f t="array" ref="H453">INDEX(DataAll!$T$2:$T$555,MATCH(LOWER(Data!A453),LOWER(DataAll!$S$2:$S$555),0))</f>
        <v>0.255</v>
      </c>
      <c r="I453" cm="1">
        <f t="array" ref="I453">INDEX(DataAll!$W$2:$W$555,MATCH(LOWER(Data!A453),LOWER(DataAll!$V$2:$V$555),0))</f>
        <v>36.25</v>
      </c>
      <c r="J453" cm="1">
        <f t="array" ref="J453">INDEX(DataAll!$Z$2:$Z$555,MATCH(LOWER(Data!A453),LOWER(DataAll!$Y$2:$Y$555),0))</f>
        <v>2.75</v>
      </c>
      <c r="K453" cm="1">
        <f t="array" ref="K453">INDEX(DataAll!$AM$2:$AM$555,MATCH(LOWER(Data!A453),LOWER(DataAll!$AL$2:$AL$555),0))</f>
        <v>14.07</v>
      </c>
      <c r="L453" cm="1">
        <f t="array" ref="L453">INDEX(DataAll!$AJ$2:$AJ$555,MATCH(LOWER(Data!A453),LOWER(DataAll!$AI$2:$AI$555),0))</f>
        <v>28.26</v>
      </c>
      <c r="M453" cm="1">
        <f t="array" ref="M453">INDEX(DataAll!$AP$2:$AP$555,MATCH(LOWER(Data!A453),LOWER(DataAll!$AO$2:$AO$555),0))</f>
        <v>68.44</v>
      </c>
      <c r="N453" cm="1">
        <f t="array" ref="N453">INDEX(DataAll!$AQ$2:$AQ$555,MATCH(LOWER(Data!A453),LOWER(DataAll!$AO$2:$AO$555),0))</f>
        <v>72.7</v>
      </c>
      <c r="O453" cm="1">
        <f t="array" ref="O453">INDEX(DataAll!$AT$2:$AT$555,MATCH(LOWER(Data!A453),LOWER(DataAll!$AS$2:$AS$555),0))</f>
        <v>9.43</v>
      </c>
      <c r="P453" cm="1">
        <f t="array" ref="P453">INDEX(DataAll!$AU$2:$AU$555,MATCH(LOWER(Data!A453),LOWER(DataAll!$AS$2:$AS$555),0))</f>
        <v>8.1300000000000008</v>
      </c>
      <c r="Q453" cm="1">
        <f t="array" ref="Q453">INDEX(DataAll!$AX$2:$AX$556,MATCH(LOWER(Data!A453),LOWER(DataAll!$AW$2:$AW$556),0))</f>
        <v>30.59</v>
      </c>
      <c r="R453" cm="1">
        <f t="array" ref="R453">INDEX('Longitude and Latitude'!$B$2:$B$579,MATCH(LOWER(Data!A453),LOWER('Longitude and Latitude'!$A$2:$A$579),0))</f>
        <v>-4.9016289999999998</v>
      </c>
      <c r="S453" cm="1">
        <f t="array" ref="S453">INDEX('Longitude and Latitude'!$C$2:$C$579,MATCH(LOWER(Data!A453),LOWER('Longitude and Latitude'!$A$2:$A$579),0))</f>
        <v>122.6277455</v>
      </c>
      <c r="T453" t="b">
        <f>IF(EXACT(A453, UPPER(A453)), TRUE, FALSE)</f>
        <v>0</v>
      </c>
    </row>
    <row r="454" spans="1:20" x14ac:dyDescent="0.35">
      <c r="A454" t="s">
        <v>450</v>
      </c>
      <c r="B454">
        <v>93.76</v>
      </c>
      <c r="C454" cm="1">
        <f t="array" ref="C454">INDEX(DataAll!$E$2:$E$555,MATCH(LOWER(Data!A454),LOWER(DataAll!$D$2:$D$555),0))</f>
        <v>80.13</v>
      </c>
      <c r="D454" cm="1">
        <f t="array" ref="D454">INDEX(DataAll!$H$2:$H$579,MATCH(LOWER(Data!A454),LOWER(DataAll!$G$2:$G$555),0))</f>
        <v>0.52700000000000002</v>
      </c>
      <c r="E454" cm="1">
        <f t="array" ref="E454">INDEX(DataAll!$K$2:$K$579,MATCH(LOWER(Data!A454),LOWER(DataAll!$J$2:$J$555),0))</f>
        <v>31.03</v>
      </c>
      <c r="F454" cm="1">
        <f t="array" ref="F454">INDEX(DataAll!$N$2:$N$555,MATCH(LOWER(Data!A454),LOWER(DataAll!$M$2:$M$555),0))</f>
        <v>38.880000000000003</v>
      </c>
      <c r="G454" cm="1">
        <f t="array" ref="G454">INDEX(DataAll!$Q$2:$Q$555,MATCH(LOWER(Data!A454),LOWER(DataAll!$P$2:$P$555),0))</f>
        <v>8.44</v>
      </c>
      <c r="H454" cm="1">
        <f t="array" ref="H454">INDEX(DataAll!$T$2:$T$555,MATCH(LOWER(Data!A454),LOWER(DataAll!$S$2:$S$555),0))</f>
        <v>0.45</v>
      </c>
      <c r="I454" cm="1">
        <f t="array" ref="I454">INDEX(DataAll!$W$2:$W$555,MATCH(LOWER(Data!A454),LOWER(DataAll!$V$2:$V$555),0))</f>
        <v>36.93</v>
      </c>
      <c r="J454" cm="1">
        <f t="array" ref="J454">INDEX(DataAll!$Z$2:$Z$555,MATCH(LOWER(Data!A454),LOWER(DataAll!$Y$2:$Y$555),0))</f>
        <v>2.64</v>
      </c>
      <c r="K454" cm="1">
        <f t="array" ref="K454">INDEX(DataAll!$AM$2:$AM$555,MATCH(LOWER(Data!A454),LOWER(DataAll!$AL$2:$AL$555),0))</f>
        <v>13.02</v>
      </c>
      <c r="L454" cm="1">
        <f t="array" ref="L454">INDEX(DataAll!$AJ$2:$AJ$555,MATCH(LOWER(Data!A454),LOWER(DataAll!$AI$2:$AI$555),0))</f>
        <v>23.14</v>
      </c>
      <c r="M454" cm="1">
        <f t="array" ref="M454">INDEX(DataAll!$AP$2:$AP$555,MATCH(LOWER(Data!A454),LOWER(DataAll!$AO$2:$AO$555),0))</f>
        <v>68.319999999999993</v>
      </c>
      <c r="N454" cm="1">
        <f t="array" ref="N454">INDEX(DataAll!$AQ$2:$AQ$555,MATCH(LOWER(Data!A454),LOWER(DataAll!$AO$2:$AO$555),0))</f>
        <v>72.58</v>
      </c>
      <c r="O454" cm="1">
        <f t="array" ref="O454">INDEX(DataAll!$AT$2:$AT$555,MATCH(LOWER(Data!A454),LOWER(DataAll!$AS$2:$AS$555),0))</f>
        <v>9.98</v>
      </c>
      <c r="P454" cm="1">
        <f t="array" ref="P454">INDEX(DataAll!$AU$2:$AU$555,MATCH(LOWER(Data!A454),LOWER(DataAll!$AS$2:$AS$555),0))</f>
        <v>9.3000000000000007</v>
      </c>
      <c r="Q454" cm="1">
        <f t="array" ref="Q454">INDEX(DataAll!$AX$2:$AX$556,MATCH(LOWER(Data!A454),LOWER(DataAll!$AW$2:$AW$556),0))</f>
        <v>38.75</v>
      </c>
      <c r="R454" cm="1">
        <f t="array" ref="R454">INDEX('Longitude and Latitude'!$B$2:$B$579,MATCH(LOWER(Data!A454),LOWER('Longitude and Latitude'!$A$2:$A$579),0))</f>
        <v>-3.9380432000000001</v>
      </c>
      <c r="S454" cm="1">
        <f t="array" ref="S454">INDEX('Longitude and Latitude'!$C$2:$C$579,MATCH(LOWER(Data!A454),LOWER('Longitude and Latitude'!$A$2:$A$579),0))</f>
        <v>122.08374449999999</v>
      </c>
      <c r="T454" t="b">
        <f>IF(EXACT(A454, UPPER(A454)), TRUE, FALSE)</f>
        <v>0</v>
      </c>
    </row>
    <row r="455" spans="1:20" x14ac:dyDescent="0.35">
      <c r="A455" t="s">
        <v>451</v>
      </c>
      <c r="B455">
        <v>90.25</v>
      </c>
      <c r="C455" cm="1">
        <f t="array" ref="C455">INDEX(DataAll!$E$2:$E$555,MATCH(LOWER(Data!A455),LOWER(DataAll!$D$2:$D$555),0))</f>
        <v>67.849999999999994</v>
      </c>
      <c r="D455" cm="1">
        <f t="array" ref="D455">INDEX(DataAll!$H$2:$H$579,MATCH(LOWER(Data!A455),LOWER(DataAll!$G$2:$G$555),0))</f>
        <v>0.46400000000000002</v>
      </c>
      <c r="E455" cm="1">
        <f t="array" ref="E455">INDEX(DataAll!$K$2:$K$579,MATCH(LOWER(Data!A455),LOWER(DataAll!$J$2:$J$555),0))</f>
        <v>20</v>
      </c>
      <c r="F455" cm="1">
        <f t="array" ref="F455">INDEX(DataAll!$N$2:$N$555,MATCH(LOWER(Data!A455),LOWER(DataAll!$M$2:$M$555),0))</f>
        <v>51.29</v>
      </c>
      <c r="G455" cm="1">
        <f t="array" ref="G455">INDEX(DataAll!$Q$2:$Q$555,MATCH(LOWER(Data!A455),LOWER(DataAll!$P$2:$P$555),0))</f>
        <v>7.27</v>
      </c>
      <c r="H455" cm="1">
        <f t="array" ref="H455">INDEX(DataAll!$T$2:$T$555,MATCH(LOWER(Data!A455),LOWER(DataAll!$S$2:$S$555),0))</f>
        <v>0.32200000000000001</v>
      </c>
      <c r="I455" cm="1">
        <f t="array" ref="I455">INDEX(DataAll!$W$2:$W$555,MATCH(LOWER(Data!A455),LOWER(DataAll!$V$2:$V$555),0))</f>
        <v>27.03</v>
      </c>
      <c r="J455" cm="1">
        <f t="array" ref="J455">INDEX(DataAll!$Z$2:$Z$555,MATCH(LOWER(Data!A455),LOWER(DataAll!$Y$2:$Y$555),0))</f>
        <v>2.34</v>
      </c>
      <c r="K455" cm="1">
        <f t="array" ref="K455">INDEX(DataAll!$AM$2:$AM$555,MATCH(LOWER(Data!A455),LOWER(DataAll!$AL$2:$AL$555),0))</f>
        <v>11.8</v>
      </c>
      <c r="L455" cm="1">
        <f t="array" ref="L455">INDEX(DataAll!$AJ$2:$AJ$555,MATCH(LOWER(Data!A455),LOWER(DataAll!$AI$2:$AI$555),0))</f>
        <v>20.55</v>
      </c>
      <c r="M455" cm="1">
        <f t="array" ref="M455">INDEX(DataAll!$AP$2:$AP$555,MATCH(LOWER(Data!A455),LOWER(DataAll!$AO$2:$AO$555),0))</f>
        <v>69.33</v>
      </c>
      <c r="N455" cm="1">
        <f t="array" ref="N455">INDEX(DataAll!$AQ$2:$AQ$555,MATCH(LOWER(Data!A455),LOWER(DataAll!$AO$2:$AO$555),0))</f>
        <v>73.56</v>
      </c>
      <c r="O455" cm="1">
        <f t="array" ref="O455">INDEX(DataAll!$AT$2:$AT$555,MATCH(LOWER(Data!A455),LOWER(DataAll!$AS$2:$AS$555),0))</f>
        <v>9.58</v>
      </c>
      <c r="P455" cm="1">
        <f t="array" ref="P455">INDEX(DataAll!$AU$2:$AU$555,MATCH(LOWER(Data!A455),LOWER(DataAll!$AS$2:$AS$555),0))</f>
        <v>9.2100000000000009</v>
      </c>
      <c r="Q455" cm="1">
        <f t="array" ref="Q455">INDEX(DataAll!$AX$2:$AX$556,MATCH(LOWER(Data!A455),LOWER(DataAll!$AW$2:$AW$556),0))</f>
        <v>38.869999999999997</v>
      </c>
      <c r="R455" cm="1">
        <f t="array" ref="R455">INDEX('Longitude and Latitude'!$B$2:$B$579,MATCH(LOWER(Data!A455),LOWER('Longitude and Latitude'!$A$2:$A$579),0))</f>
        <v>-4.0496650000000001</v>
      </c>
      <c r="S455" cm="1">
        <f t="array" ref="S455">INDEX('Longitude and Latitude'!$C$2:$C$579,MATCH(LOWER(Data!A455),LOWER('Longitude and Latitude'!$A$2:$A$579),0))</f>
        <v>121.59380299999999</v>
      </c>
      <c r="T455" t="b">
        <f>IF(EXACT(A455, UPPER(A455)), TRUE, FALSE)</f>
        <v>0</v>
      </c>
    </row>
    <row r="456" spans="1:20" x14ac:dyDescent="0.35">
      <c r="A456" t="s">
        <v>452</v>
      </c>
      <c r="B456">
        <v>88.7</v>
      </c>
      <c r="C456" cm="1">
        <f t="array" ref="C456">INDEX(DataAll!$E$2:$E$555,MATCH(LOWER(Data!A456),LOWER(DataAll!$D$2:$D$555),0))</f>
        <v>75.290000000000006</v>
      </c>
      <c r="D456" cm="1">
        <f t="array" ref="D456">INDEX(DataAll!$H$2:$H$579,MATCH(LOWER(Data!A456),LOWER(DataAll!$G$2:$G$555),0))</f>
        <v>0.41</v>
      </c>
      <c r="E456" cm="1">
        <f t="array" ref="E456">INDEX(DataAll!$K$2:$K$579,MATCH(LOWER(Data!A456),LOWER(DataAll!$J$2:$J$555),0))</f>
        <v>28.57</v>
      </c>
      <c r="F456" cm="1">
        <f t="array" ref="F456">INDEX(DataAll!$N$2:$N$555,MATCH(LOWER(Data!A456),LOWER(DataAll!$M$2:$M$555),0))</f>
        <v>57.08</v>
      </c>
      <c r="G456" cm="1">
        <f t="array" ref="G456">INDEX(DataAll!$Q$2:$Q$555,MATCH(LOWER(Data!A456),LOWER(DataAll!$P$2:$P$555),0))</f>
        <v>12.94</v>
      </c>
      <c r="H456" cm="1">
        <f t="array" ref="H456">INDEX(DataAll!$T$2:$T$555,MATCH(LOWER(Data!A456),LOWER(DataAll!$S$2:$S$555),0))</f>
        <v>0.36199999999999999</v>
      </c>
      <c r="I456" cm="1">
        <f t="array" ref="I456">INDEX(DataAll!$W$2:$W$555,MATCH(LOWER(Data!A456),LOWER(DataAll!$V$2:$V$555),0))</f>
        <v>30.99</v>
      </c>
      <c r="J456" cm="1">
        <f t="array" ref="J456">INDEX(DataAll!$Z$2:$Z$555,MATCH(LOWER(Data!A456),LOWER(DataAll!$Y$2:$Y$555),0))</f>
        <v>2.61</v>
      </c>
      <c r="K456" cm="1">
        <f t="array" ref="K456">INDEX(DataAll!$AM$2:$AM$555,MATCH(LOWER(Data!A456),LOWER(DataAll!$AL$2:$AL$555),0))</f>
        <v>11.26</v>
      </c>
      <c r="L456" cm="1">
        <f t="array" ref="L456">INDEX(DataAll!$AJ$2:$AJ$555,MATCH(LOWER(Data!A456),LOWER(DataAll!$AI$2:$AI$555),0))</f>
        <v>28.02</v>
      </c>
      <c r="M456" cm="1">
        <f t="array" ref="M456">INDEX(DataAll!$AP$2:$AP$555,MATCH(LOWER(Data!A456),LOWER(DataAll!$AO$2:$AO$555),0))</f>
        <v>68.91</v>
      </c>
      <c r="N456" cm="1">
        <f t="array" ref="N456">INDEX(DataAll!$AQ$2:$AQ$555,MATCH(LOWER(Data!A456),LOWER(DataAll!$AO$2:$AO$555),0))</f>
        <v>73.16</v>
      </c>
      <c r="O456" cm="1">
        <f t="array" ref="O456">INDEX(DataAll!$AT$2:$AT$555,MATCH(LOWER(Data!A456),LOWER(DataAll!$AS$2:$AS$555),0))</f>
        <v>8.8699999999999992</v>
      </c>
      <c r="P456" cm="1">
        <f t="array" ref="P456">INDEX(DataAll!$AU$2:$AU$555,MATCH(LOWER(Data!A456),LOWER(DataAll!$AS$2:$AS$555),0))</f>
        <v>8.14</v>
      </c>
      <c r="Q456" cm="1">
        <f t="array" ref="Q456">INDEX(DataAll!$AX$2:$AX$556,MATCH(LOWER(Data!A456),LOWER(DataAll!$AW$2:$AW$556),0))</f>
        <v>27.43</v>
      </c>
      <c r="R456" cm="1">
        <f t="array" ref="R456">INDEX('Longitude and Latitude'!$B$2:$B$579,MATCH(LOWER(Data!A456),LOWER('Longitude and Latitude'!$A$2:$A$579),0))</f>
        <v>-4.2027915</v>
      </c>
      <c r="S456" cm="1">
        <f t="array" ref="S456">INDEX('Longitude and Latitude'!$C$2:$C$579,MATCH(LOWER(Data!A456),LOWER('Longitude and Latitude'!$A$2:$A$579),0))</f>
        <v>122.4467238</v>
      </c>
      <c r="T456" t="b">
        <f>IF(EXACT(A456, UPPER(A456)), TRUE, FALSE)</f>
        <v>0</v>
      </c>
    </row>
    <row r="457" spans="1:20" x14ac:dyDescent="0.35">
      <c r="A457" t="s">
        <v>453</v>
      </c>
      <c r="B457">
        <v>85.92</v>
      </c>
      <c r="C457" cm="1">
        <f t="array" ref="C457">INDEX(DataAll!$E$2:$E$555,MATCH(LOWER(Data!A457),LOWER(DataAll!$D$2:$D$555),0))</f>
        <v>68.48</v>
      </c>
      <c r="D457" cm="1">
        <f t="array" ref="D457">INDEX(DataAll!$H$2:$H$579,MATCH(LOWER(Data!A457),LOWER(DataAll!$G$2:$G$555),0))</f>
        <v>0.48599999999999999</v>
      </c>
      <c r="E457" cm="1">
        <f t="array" ref="E457">INDEX(DataAll!$K$2:$K$579,MATCH(LOWER(Data!A457),LOWER(DataAll!$J$2:$J$555),0))</f>
        <v>24</v>
      </c>
      <c r="F457" cm="1">
        <f t="array" ref="F457">INDEX(DataAll!$N$2:$N$555,MATCH(LOWER(Data!A457),LOWER(DataAll!$M$2:$M$555),0))</f>
        <v>58.05</v>
      </c>
      <c r="G457" cm="1">
        <f t="array" ref="G457">INDEX(DataAll!$Q$2:$Q$555,MATCH(LOWER(Data!A457),LOWER(DataAll!$P$2:$P$555),0))</f>
        <v>9.6199999999999992</v>
      </c>
      <c r="H457" cm="1">
        <f t="array" ref="H457">INDEX(DataAll!$T$2:$T$555,MATCH(LOWER(Data!A457),LOWER(DataAll!$S$2:$S$555),0))</f>
        <v>0.35</v>
      </c>
      <c r="I457" cm="1">
        <f t="array" ref="I457">INDEX(DataAll!$W$2:$W$555,MATCH(LOWER(Data!A457),LOWER(DataAll!$V$2:$V$555),0))</f>
        <v>27.54</v>
      </c>
      <c r="J457" cm="1">
        <f t="array" ref="J457">INDEX(DataAll!$Z$2:$Z$555,MATCH(LOWER(Data!A457),LOWER(DataAll!$Y$2:$Y$555),0))</f>
        <v>2.71</v>
      </c>
      <c r="K457" cm="1">
        <f t="array" ref="K457">INDEX(DataAll!$AM$2:$AM$555,MATCH(LOWER(Data!A457),LOWER(DataAll!$AL$2:$AL$555),0))</f>
        <v>10.73</v>
      </c>
      <c r="L457" cm="1">
        <f t="array" ref="L457">INDEX(DataAll!$AJ$2:$AJ$555,MATCH(LOWER(Data!A457),LOWER(DataAll!$AI$2:$AI$555),0))</f>
        <v>32.979999999999997</v>
      </c>
      <c r="M457" cm="1">
        <f t="array" ref="M457">INDEX(DataAll!$AP$2:$AP$555,MATCH(LOWER(Data!A457),LOWER(DataAll!$AO$2:$AO$555),0))</f>
        <v>67.19</v>
      </c>
      <c r="N457" cm="1">
        <f t="array" ref="N457">INDEX(DataAll!$AQ$2:$AQ$555,MATCH(LOWER(Data!A457),LOWER(DataAll!$AO$2:$AO$555),0))</f>
        <v>71.47</v>
      </c>
      <c r="O457" cm="1">
        <f t="array" ref="O457">INDEX(DataAll!$AT$2:$AT$555,MATCH(LOWER(Data!A457),LOWER(DataAll!$AS$2:$AS$555),0))</f>
        <v>8.4600000000000009</v>
      </c>
      <c r="P457" cm="1">
        <f t="array" ref="P457">INDEX(DataAll!$AU$2:$AU$555,MATCH(LOWER(Data!A457),LOWER(DataAll!$AS$2:$AS$555),0))</f>
        <v>8</v>
      </c>
      <c r="Q457" cm="1">
        <f t="array" ref="Q457">INDEX(DataAll!$AX$2:$AX$556,MATCH(LOWER(Data!A457),LOWER(DataAll!$AW$2:$AW$556),0))</f>
        <v>30.24</v>
      </c>
      <c r="R457" cm="1">
        <f t="array" ref="R457">INDEX('Longitude and Latitude'!$B$2:$B$579,MATCH(LOWER(Data!A457),LOWER('Longitude and Latitude'!$A$2:$A$579),0))</f>
        <v>-4.6543462</v>
      </c>
      <c r="S457" cm="1">
        <f t="array" ref="S457">INDEX('Longitude and Latitude'!$C$2:$C$579,MATCH(LOWER(Data!A457),LOWER('Longitude and Latitude'!$A$2:$A$579),0))</f>
        <v>121.9017954</v>
      </c>
      <c r="T457" t="b">
        <f>IF(EXACT(A457, UPPER(A457)), TRUE, FALSE)</f>
        <v>0</v>
      </c>
    </row>
    <row r="458" spans="1:20" x14ac:dyDescent="0.35">
      <c r="A458" t="s">
        <v>454</v>
      </c>
      <c r="B458">
        <v>89.32</v>
      </c>
      <c r="C458" cm="1">
        <f t="array" ref="C458">INDEX(DataAll!$E$2:$E$555,MATCH(LOWER(Data!A458),LOWER(DataAll!$D$2:$D$555),0))</f>
        <v>83.62</v>
      </c>
      <c r="D458" cm="1">
        <f t="array" ref="D458">INDEX(DataAll!$H$2:$H$579,MATCH(LOWER(Data!A458),LOWER(DataAll!$G$2:$G$555),0))</f>
        <v>0.42899999999999999</v>
      </c>
      <c r="E458" cm="1">
        <f t="array" ref="E458">INDEX(DataAll!$K$2:$K$579,MATCH(LOWER(Data!A458),LOWER(DataAll!$J$2:$J$555),0))</f>
        <v>36</v>
      </c>
      <c r="F458" cm="1">
        <f t="array" ref="F458">INDEX(DataAll!$N$2:$N$555,MATCH(LOWER(Data!A458),LOWER(DataAll!$M$2:$M$555),0))</f>
        <v>52.37</v>
      </c>
      <c r="G458" cm="1">
        <f t="array" ref="G458">INDEX(DataAll!$Q$2:$Q$555,MATCH(LOWER(Data!A458),LOWER(DataAll!$P$2:$P$555),0))</f>
        <v>10.65</v>
      </c>
      <c r="H458" cm="1">
        <f t="array" ref="H458">INDEX(DataAll!$T$2:$T$555,MATCH(LOWER(Data!A458),LOWER(DataAll!$S$2:$S$555),0))</f>
        <v>0.27600000000000002</v>
      </c>
      <c r="I458" cm="1">
        <f t="array" ref="I458">INDEX(DataAll!$W$2:$W$555,MATCH(LOWER(Data!A458),LOWER(DataAll!$V$2:$V$555),0))</f>
        <v>42.14</v>
      </c>
      <c r="J458" cm="1">
        <f t="array" ref="J458">INDEX(DataAll!$Z$2:$Z$555,MATCH(LOWER(Data!A458),LOWER(DataAll!$Y$2:$Y$555),0))</f>
        <v>2.74</v>
      </c>
      <c r="K458" cm="1">
        <f t="array" ref="K458">INDEX(DataAll!$AM$2:$AM$555,MATCH(LOWER(Data!A458),LOWER(DataAll!$AL$2:$AL$555),0))</f>
        <v>14.81</v>
      </c>
      <c r="L458" cm="1">
        <f t="array" ref="L458">INDEX(DataAll!$AJ$2:$AJ$555,MATCH(LOWER(Data!A458),LOWER(DataAll!$AI$2:$AI$555),0))</f>
        <v>32.61</v>
      </c>
      <c r="M458" cm="1">
        <f t="array" ref="M458">INDEX(DataAll!$AP$2:$AP$555,MATCH(LOWER(Data!A458),LOWER(DataAll!$AO$2:$AO$555),0))</f>
        <v>68.61</v>
      </c>
      <c r="N458" cm="1">
        <f t="array" ref="N458">INDEX(DataAll!$AQ$2:$AQ$555,MATCH(LOWER(Data!A458),LOWER(DataAll!$AO$2:$AO$555),0))</f>
        <v>72.86</v>
      </c>
      <c r="O458" cm="1">
        <f t="array" ref="O458">INDEX(DataAll!$AT$2:$AT$555,MATCH(LOWER(Data!A458),LOWER(DataAll!$AS$2:$AS$555),0))</f>
        <v>9.07</v>
      </c>
      <c r="P458" cm="1">
        <f t="array" ref="P458">INDEX(DataAll!$AU$2:$AU$555,MATCH(LOWER(Data!A458),LOWER(DataAll!$AS$2:$AS$555),0))</f>
        <v>8.1300000000000008</v>
      </c>
      <c r="Q458" cm="1">
        <f t="array" ref="Q458">INDEX(DataAll!$AX$2:$AX$556,MATCH(LOWER(Data!A458),LOWER(DataAll!$AW$2:$AW$556),0))</f>
        <v>32.880000000000003</v>
      </c>
      <c r="R458" cm="1">
        <f t="array" ref="R458">INDEX('Longitude and Latitude'!$B$2:$B$579,MATCH(LOWER(Data!A458),LOWER('Longitude and Latitude'!$A$2:$A$579),0))</f>
        <v>-5.3264442000000001</v>
      </c>
      <c r="S458" cm="1">
        <f t="array" ref="S458">INDEX('Longitude and Latitude'!$C$2:$C$579,MATCH(LOWER(Data!A458),LOWER('Longitude and Latitude'!$A$2:$A$579),0))</f>
        <v>123.5951925</v>
      </c>
      <c r="T458" t="b">
        <f>IF(EXACT(A458, UPPER(A458)), TRUE, FALSE)</f>
        <v>0</v>
      </c>
    </row>
    <row r="459" spans="1:20" x14ac:dyDescent="0.35">
      <c r="A459" t="s">
        <v>455</v>
      </c>
      <c r="B459">
        <v>98.48</v>
      </c>
      <c r="C459" cm="1">
        <f t="array" ref="C459">INDEX(DataAll!$E$2:$E$555,MATCH(LOWER(Data!A459),LOWER(DataAll!$D$2:$D$555),0))</f>
        <v>64.260000000000005</v>
      </c>
      <c r="D459" cm="1">
        <f t="array" ref="D459">INDEX(DataAll!$H$2:$H$579,MATCH(LOWER(Data!A459),LOWER(DataAll!$G$2:$G$555),0))</f>
        <v>0.439</v>
      </c>
      <c r="E459" cm="1">
        <f t="array" ref="E459">INDEX(DataAll!$K$2:$K$579,MATCH(LOWER(Data!A459),LOWER(DataAll!$J$2:$J$555),0))</f>
        <v>16</v>
      </c>
      <c r="F459" cm="1">
        <f t="array" ref="F459">INDEX(DataAll!$N$2:$N$555,MATCH(LOWER(Data!A459),LOWER(DataAll!$M$2:$M$555),0))</f>
        <v>58.14</v>
      </c>
      <c r="G459" cm="1">
        <f t="array" ref="G459">INDEX(DataAll!$Q$2:$Q$555,MATCH(LOWER(Data!A459),LOWER(DataAll!$P$2:$P$555),0))</f>
        <v>7.55</v>
      </c>
      <c r="H459" cm="1">
        <f t="array" ref="H459">INDEX(DataAll!$T$2:$T$555,MATCH(LOWER(Data!A459),LOWER(DataAll!$S$2:$S$555),0))</f>
        <v>0.39200000000000002</v>
      </c>
      <c r="I459" cm="1">
        <f t="array" ref="I459">INDEX(DataAll!$W$2:$W$555,MATCH(LOWER(Data!A459),LOWER(DataAll!$V$2:$V$555),0))</f>
        <v>27.9</v>
      </c>
      <c r="J459" cm="1">
        <f t="array" ref="J459">INDEX(DataAll!$Z$2:$Z$555,MATCH(LOWER(Data!A459),LOWER(DataAll!$Y$2:$Y$555),0))</f>
        <v>2.57</v>
      </c>
      <c r="K459" cm="1">
        <f t="array" ref="K459">INDEX(DataAll!$AM$2:$AM$555,MATCH(LOWER(Data!A459),LOWER(DataAll!$AL$2:$AL$555),0))</f>
        <v>13.57</v>
      </c>
      <c r="L459" cm="1">
        <f t="array" ref="L459">INDEX(DataAll!$AJ$2:$AJ$555,MATCH(LOWER(Data!A459),LOWER(DataAll!$AI$2:$AI$555),0))</f>
        <v>32.14</v>
      </c>
      <c r="M459" cm="1">
        <f t="array" ref="M459">INDEX(DataAll!$AP$2:$AP$555,MATCH(LOWER(Data!A459),LOWER(DataAll!$AO$2:$AO$555),0))</f>
        <v>68.56</v>
      </c>
      <c r="N459" cm="1">
        <f t="array" ref="N459">INDEX(DataAll!$AQ$2:$AQ$555,MATCH(LOWER(Data!A459),LOWER(DataAll!$AO$2:$AO$555),0))</f>
        <v>72.61</v>
      </c>
      <c r="O459" cm="1">
        <f t="array" ref="O459">INDEX(DataAll!$AT$2:$AT$555,MATCH(LOWER(Data!A459),LOWER(DataAll!$AS$2:$AS$555),0))</f>
        <v>8.8000000000000007</v>
      </c>
      <c r="P459" cm="1">
        <f t="array" ref="P459">INDEX(DataAll!$AU$2:$AU$555,MATCH(LOWER(Data!A459),LOWER(DataAll!$AS$2:$AS$555),0))</f>
        <v>8.81</v>
      </c>
      <c r="Q459" cm="1">
        <f t="array" ref="Q459">INDEX(DataAll!$AX$2:$AX$556,MATCH(LOWER(Data!A459),LOWER(DataAll!$AW$2:$AW$556),0))</f>
        <v>35.97</v>
      </c>
      <c r="R459" cm="1">
        <f t="array" ref="R459">INDEX('Longitude and Latitude'!$B$2:$B$579,MATCH(LOWER(Data!A459),LOWER('Longitude and Latitude'!$A$2:$A$579),0))</f>
        <v>-3.1347227000000002</v>
      </c>
      <c r="S459" cm="1">
        <f t="array" ref="S459">INDEX('Longitude and Latitude'!$C$2:$C$579,MATCH(LOWER(Data!A459),LOWER('Longitude and Latitude'!$A$2:$A$579),0))</f>
        <v>121.1710389</v>
      </c>
      <c r="T459" t="b">
        <f>IF(EXACT(A459, UPPER(A459)), TRUE, FALSE)</f>
        <v>0</v>
      </c>
    </row>
    <row r="460" spans="1:20" x14ac:dyDescent="0.35">
      <c r="A460" t="s">
        <v>456</v>
      </c>
      <c r="B460">
        <v>92.58</v>
      </c>
      <c r="C460" cm="1">
        <f t="array" ref="C460">INDEX(DataAll!$E$2:$E$555,MATCH(LOWER(Data!A460),LOWER(DataAll!$D$2:$D$555),0))</f>
        <v>77.180000000000007</v>
      </c>
      <c r="D460" cm="1">
        <f t="array" ref="D460">INDEX(DataAll!$H$2:$H$579,MATCH(LOWER(Data!A460),LOWER(DataAll!$G$2:$G$555),0))</f>
        <v>0.48199999999999998</v>
      </c>
      <c r="E460" cm="1">
        <f t="array" ref="E460">INDEX(DataAll!$K$2:$K$579,MATCH(LOWER(Data!A460),LOWER(DataAll!$J$2:$J$555),0))</f>
        <v>25</v>
      </c>
      <c r="F460" cm="1">
        <f t="array" ref="F460">INDEX(DataAll!$N$2:$N$555,MATCH(LOWER(Data!A460),LOWER(DataAll!$M$2:$M$555),0))</f>
        <v>50.18</v>
      </c>
      <c r="G460" cm="1">
        <f t="array" ref="G460">INDEX(DataAll!$Q$2:$Q$555,MATCH(LOWER(Data!A460),LOWER(DataAll!$P$2:$P$555),0))</f>
        <v>11.7</v>
      </c>
      <c r="H460" cm="1">
        <f t="array" ref="H460">INDEX(DataAll!$T$2:$T$555,MATCH(LOWER(Data!A460),LOWER(DataAll!$S$2:$S$555),0))</f>
        <v>0.36299999999999999</v>
      </c>
      <c r="I460" cm="1">
        <f t="array" ref="I460">INDEX(DataAll!$W$2:$W$555,MATCH(LOWER(Data!A460),LOWER(DataAll!$V$2:$V$555),0))</f>
        <v>38.36</v>
      </c>
      <c r="J460" cm="1">
        <f t="array" ref="J460">INDEX(DataAll!$Z$2:$Z$555,MATCH(LOWER(Data!A460),LOWER(DataAll!$Y$2:$Y$555),0))</f>
        <v>2.77</v>
      </c>
      <c r="K460" cm="1">
        <f t="array" ref="K460">INDEX(DataAll!$AM$2:$AM$555,MATCH(LOWER(Data!A460),LOWER(DataAll!$AL$2:$AL$555),0))</f>
        <v>14.06</v>
      </c>
      <c r="L460" cm="1">
        <f t="array" ref="L460">INDEX(DataAll!$AJ$2:$AJ$555,MATCH(LOWER(Data!A460),LOWER(DataAll!$AI$2:$AI$555),0))</f>
        <v>29.65</v>
      </c>
      <c r="M460" cm="1">
        <f t="array" ref="M460">INDEX(DataAll!$AP$2:$AP$555,MATCH(LOWER(Data!A460),LOWER(DataAll!$AO$2:$AO$555),0))</f>
        <v>68.91</v>
      </c>
      <c r="N460" cm="1">
        <f t="array" ref="N460">INDEX(DataAll!$AQ$2:$AQ$555,MATCH(LOWER(Data!A460),LOWER(DataAll!$AO$2:$AO$555),0))</f>
        <v>73.16</v>
      </c>
      <c r="O460" cm="1">
        <f t="array" ref="O460">INDEX(DataAll!$AT$2:$AT$555,MATCH(LOWER(Data!A460),LOWER(DataAll!$AS$2:$AS$555),0))</f>
        <v>9.7200000000000006</v>
      </c>
      <c r="P460" cm="1">
        <f t="array" ref="P460">INDEX(DataAll!$AU$2:$AU$555,MATCH(LOWER(Data!A460),LOWER(DataAll!$AS$2:$AS$555),0))</f>
        <v>8.51</v>
      </c>
      <c r="Q460" cm="1">
        <f t="array" ref="Q460">INDEX(DataAll!$AX$2:$AX$556,MATCH(LOWER(Data!A460),LOWER(DataAll!$AW$2:$AW$556),0))</f>
        <v>33.78</v>
      </c>
      <c r="R460" cm="1">
        <f t="array" ref="R460">INDEX('Longitude and Latitude'!$B$2:$B$579,MATCH(LOWER(Data!A460),LOWER('Longitude and Latitude'!$A$2:$A$579),0))</f>
        <v>-4.7023424</v>
      </c>
      <c r="S460" cm="1">
        <f t="array" ref="S460">INDEX('Longitude and Latitude'!$C$2:$C$579,MATCH(LOWER(Data!A460),LOWER('Longitude and Latitude'!$A$2:$A$579),0))</f>
        <v>123.03387669999999</v>
      </c>
      <c r="T460" t="b">
        <f>IF(EXACT(A460, UPPER(A460)), TRUE, FALSE)</f>
        <v>0</v>
      </c>
    </row>
    <row r="461" spans="1:20" x14ac:dyDescent="0.35">
      <c r="A461" t="s">
        <v>457</v>
      </c>
      <c r="B461">
        <v>87.24</v>
      </c>
      <c r="C461" cm="1">
        <f t="array" ref="C461">INDEX(DataAll!$E$2:$E$555,MATCH(LOWER(Data!A461),LOWER(DataAll!$D$2:$D$555),0))</f>
        <v>70.650000000000006</v>
      </c>
      <c r="D461" cm="1">
        <f t="array" ref="D461">INDEX(DataAll!$H$2:$H$579,MATCH(LOWER(Data!A461),LOWER(DataAll!$G$2:$G$555),0))</f>
        <v>0.55800000000000005</v>
      </c>
      <c r="E461" cm="1">
        <f t="array" ref="E461">INDEX(DataAll!$K$2:$K$579,MATCH(LOWER(Data!A461),LOWER(DataAll!$J$2:$J$555),0))</f>
        <v>15</v>
      </c>
      <c r="F461" cm="1">
        <f t="array" ref="F461">INDEX(DataAll!$N$2:$N$555,MATCH(LOWER(Data!A461),LOWER(DataAll!$M$2:$M$555),0))</f>
        <v>51.08</v>
      </c>
      <c r="G461" cm="1">
        <f t="array" ref="G461">INDEX(DataAll!$Q$2:$Q$555,MATCH(LOWER(Data!A461),LOWER(DataAll!$P$2:$P$555),0))</f>
        <v>5.56</v>
      </c>
      <c r="H461" cm="1">
        <f t="array" ref="H461">INDEX(DataAll!$T$2:$T$555,MATCH(LOWER(Data!A461),LOWER(DataAll!$S$2:$S$555),0))</f>
        <v>0.45900000000000002</v>
      </c>
      <c r="I461" cm="1">
        <f t="array" ref="I461">INDEX(DataAll!$W$2:$W$555,MATCH(LOWER(Data!A461),LOWER(DataAll!$V$2:$V$555),0))</f>
        <v>36.6</v>
      </c>
      <c r="J461" cm="1">
        <f t="array" ref="J461">INDEX(DataAll!$Z$2:$Z$555,MATCH(LOWER(Data!A461),LOWER(DataAll!$Y$2:$Y$555),0))</f>
        <v>2.83</v>
      </c>
      <c r="K461" cm="1">
        <f t="array" ref="K461">INDEX(DataAll!$AM$2:$AM$555,MATCH(LOWER(Data!A461),LOWER(DataAll!$AL$2:$AL$555),0))</f>
        <v>13.48</v>
      </c>
      <c r="L461" cm="1">
        <f t="array" ref="L461">INDEX(DataAll!$AJ$2:$AJ$555,MATCH(LOWER(Data!A461),LOWER(DataAll!$AI$2:$AI$555),0))</f>
        <v>32.81</v>
      </c>
      <c r="M461" cm="1">
        <f t="array" ref="M461">INDEX(DataAll!$AP$2:$AP$555,MATCH(LOWER(Data!A461),LOWER(DataAll!$AO$2:$AO$555),0))</f>
        <v>67.53</v>
      </c>
      <c r="N461" cm="1">
        <f t="array" ref="N461">INDEX(DataAll!$AQ$2:$AQ$555,MATCH(LOWER(Data!A461),LOWER(DataAll!$AO$2:$AO$555),0))</f>
        <v>71.81</v>
      </c>
      <c r="O461" cm="1">
        <f t="array" ref="O461">INDEX(DataAll!$AT$2:$AT$555,MATCH(LOWER(Data!A461),LOWER(DataAll!$AS$2:$AS$555),0))</f>
        <v>10.029999999999999</v>
      </c>
      <c r="P461" cm="1">
        <f t="array" ref="P461">INDEX(DataAll!$AU$2:$AU$555,MATCH(LOWER(Data!A461),LOWER(DataAll!$AS$2:$AS$555),0))</f>
        <v>9.17</v>
      </c>
      <c r="Q461" cm="1">
        <f t="array" ref="Q461">INDEX(DataAll!$AX$2:$AX$556,MATCH(LOWER(Data!A461),LOWER(DataAll!$AW$2:$AW$556),0))</f>
        <v>37.44</v>
      </c>
      <c r="R461" cm="1">
        <f t="array" ref="R461">INDEX('Longitude and Latitude'!$B$2:$B$579,MATCH(LOWER(Data!A461),LOWER('Longitude and Latitude'!$A$2:$A$579),0))</f>
        <v>-3.3803291</v>
      </c>
      <c r="S461" cm="1">
        <f t="array" ref="S461">INDEX('Longitude and Latitude'!$C$2:$C$579,MATCH(LOWER(Data!A461),LOWER('Longitude and Latitude'!$A$2:$A$579),0))</f>
        <v>122.08374449999999</v>
      </c>
      <c r="T461" t="b">
        <f>IF(EXACT(A461, UPPER(A461)), TRUE, FALSE)</f>
        <v>0</v>
      </c>
    </row>
    <row r="462" spans="1:20" x14ac:dyDescent="0.35">
      <c r="A462" t="s">
        <v>458</v>
      </c>
      <c r="B462">
        <v>99.3</v>
      </c>
      <c r="C462" cm="1">
        <f t="array" ref="C462">INDEX(DataAll!$E$2:$E$555,MATCH(LOWER(Data!A462),LOWER(DataAll!$D$2:$D$555),0))</f>
        <v>77.92</v>
      </c>
      <c r="D462" cm="1">
        <f t="array" ref="D462">INDEX(DataAll!$H$2:$H$579,MATCH(LOWER(Data!A462),LOWER(DataAll!$G$2:$G$555),0))</f>
        <v>0.48899999999999999</v>
      </c>
      <c r="E462" cm="1">
        <f t="array" ref="E462">INDEX(DataAll!$K$2:$K$579,MATCH(LOWER(Data!A462),LOWER(DataAll!$J$2:$J$555),0))</f>
        <v>32</v>
      </c>
      <c r="F462" cm="1">
        <f t="array" ref="F462">INDEX(DataAll!$N$2:$N$555,MATCH(LOWER(Data!A462),LOWER(DataAll!$M$2:$M$555),0))</f>
        <v>54.98</v>
      </c>
      <c r="G462" cm="1">
        <f t="array" ref="G462">INDEX(DataAll!$Q$2:$Q$555,MATCH(LOWER(Data!A462),LOWER(DataAll!$P$2:$P$555),0))</f>
        <v>11.25</v>
      </c>
      <c r="H462" cm="1">
        <f t="array" ref="H462">INDEX(DataAll!$T$2:$T$555,MATCH(LOWER(Data!A462),LOWER(DataAll!$S$2:$S$555),0))</f>
        <v>0.36</v>
      </c>
      <c r="I462" cm="1">
        <f t="array" ref="I462">INDEX(DataAll!$W$2:$W$555,MATCH(LOWER(Data!A462),LOWER(DataAll!$V$2:$V$555),0))</f>
        <v>31.75</v>
      </c>
      <c r="J462" cm="1">
        <f t="array" ref="J462">INDEX(DataAll!$Z$2:$Z$555,MATCH(LOWER(Data!A462),LOWER(DataAll!$Y$2:$Y$555),0))</f>
        <v>2.4</v>
      </c>
      <c r="K462" cm="1">
        <f t="array" ref="K462">INDEX(DataAll!$AM$2:$AM$555,MATCH(LOWER(Data!A462),LOWER(DataAll!$AL$2:$AL$555),0))</f>
        <v>14.04</v>
      </c>
      <c r="L462" cm="1">
        <f t="array" ref="L462">INDEX(DataAll!$AJ$2:$AJ$555,MATCH(LOWER(Data!A462),LOWER(DataAll!$AI$2:$AI$555),0))</f>
        <v>22.72</v>
      </c>
      <c r="M462" cm="1">
        <f t="array" ref="M462">INDEX(DataAll!$AP$2:$AP$555,MATCH(LOWER(Data!A462),LOWER(DataAll!$AO$2:$AO$555),0))</f>
        <v>70.959999999999994</v>
      </c>
      <c r="N462" cm="1">
        <f t="array" ref="N462">INDEX(DataAll!$AQ$2:$AQ$555,MATCH(LOWER(Data!A462),LOWER(DataAll!$AO$2:$AO$555),0))</f>
        <v>75.16</v>
      </c>
      <c r="O462" cm="1">
        <f t="array" ref="O462">INDEX(DataAll!$AT$2:$AT$555,MATCH(LOWER(Data!A462),LOWER(DataAll!$AS$2:$AS$555),0))</f>
        <v>8.44</v>
      </c>
      <c r="P462" cm="1">
        <f t="array" ref="P462">INDEX(DataAll!$AU$2:$AU$555,MATCH(LOWER(Data!A462),LOWER(DataAll!$AS$2:$AS$555),0))</f>
        <v>7.94</v>
      </c>
      <c r="Q462" cm="1">
        <f t="array" ref="Q462">INDEX(DataAll!$AX$2:$AX$556,MATCH(LOWER(Data!A462),LOWER(DataAll!$AW$2:$AW$556),0))</f>
        <v>32.06</v>
      </c>
      <c r="R462" cm="1">
        <f t="array" ref="R462">INDEX('Longitude and Latitude'!$B$2:$B$579,MATCH(LOWER(Data!A462),LOWER('Longitude and Latitude'!$A$2:$A$579),0))</f>
        <v>-4.0180699999999998</v>
      </c>
      <c r="S462" cm="1">
        <f t="array" ref="S462">INDEX('Longitude and Latitude'!$C$2:$C$579,MATCH(LOWER(Data!A462),LOWER('Longitude and Latitude'!$A$2:$A$579),0))</f>
        <v>121.86172000000001</v>
      </c>
      <c r="T462" t="b">
        <f>IF(EXACT(A462, UPPER(A462)), TRUE, FALSE)</f>
        <v>0</v>
      </c>
    </row>
    <row r="463" spans="1:20" x14ac:dyDescent="0.35">
      <c r="A463" t="s">
        <v>459</v>
      </c>
      <c r="B463">
        <v>86.28</v>
      </c>
      <c r="C463" cm="1">
        <f t="array" ref="C463">INDEX(DataAll!$E$2:$E$555,MATCH(LOWER(Data!A463),LOWER(DataAll!$D$2:$D$555),0))</f>
        <v>53.85</v>
      </c>
      <c r="D463" cm="1">
        <f t="array" ref="D463">INDEX(DataAll!$H$2:$H$579,MATCH(LOWER(Data!A463),LOWER(DataAll!$G$2:$G$555),0))</f>
        <v>0.56200000000000006</v>
      </c>
      <c r="E463" cm="1">
        <f t="array" ref="E463">INDEX(DataAll!$K$2:$K$579,MATCH(LOWER(Data!A463),LOWER(DataAll!$J$2:$J$555),0))</f>
        <v>10</v>
      </c>
      <c r="F463" cm="1">
        <f t="array" ref="F463">INDEX(DataAll!$N$2:$N$555,MATCH(LOWER(Data!A463),LOWER(DataAll!$M$2:$M$555),0))</f>
        <v>49.75</v>
      </c>
      <c r="G463" cm="1">
        <f t="array" ref="G463">INDEX(DataAll!$Q$2:$Q$555,MATCH(LOWER(Data!A463),LOWER(DataAll!$P$2:$P$555),0))</f>
        <v>8.7899999999999991</v>
      </c>
      <c r="H463" cm="1">
        <f t="array" ref="H463">INDEX(DataAll!$T$2:$T$555,MATCH(LOWER(Data!A463),LOWER(DataAll!$S$2:$S$555),0))</f>
        <v>0.40300000000000002</v>
      </c>
      <c r="I463" cm="1">
        <f t="array" ref="I463">INDEX(DataAll!$W$2:$W$555,MATCH(LOWER(Data!A463),LOWER(DataAll!$V$2:$V$555),0))</f>
        <v>76.42</v>
      </c>
      <c r="J463" cm="1">
        <f t="array" ref="J463">INDEX(DataAll!$Z$2:$Z$555,MATCH(LOWER(Data!A463),LOWER(DataAll!$Y$2:$Y$555),0))</f>
        <v>2.73</v>
      </c>
      <c r="K463" cm="1">
        <f t="array" ref="K463">INDEX(DataAll!$AM$2:$AM$555,MATCH(LOWER(Data!A463),LOWER(DataAll!$AL$2:$AL$555),0))</f>
        <v>15.9</v>
      </c>
      <c r="L463" cm="1">
        <f t="array" ref="L463">INDEX(DataAll!$AJ$2:$AJ$555,MATCH(LOWER(Data!A463),LOWER(DataAll!$AI$2:$AI$555),0))</f>
        <v>33.81</v>
      </c>
      <c r="M463" cm="1">
        <f t="array" ref="M463">INDEX(DataAll!$AP$2:$AP$555,MATCH(LOWER(Data!A463),LOWER(DataAll!$AO$2:$AO$555),0))</f>
        <v>66.34</v>
      </c>
      <c r="N463" cm="1">
        <f t="array" ref="N463">INDEX(DataAll!$AQ$2:$AQ$555,MATCH(LOWER(Data!A463),LOWER(DataAll!$AO$2:$AO$555),0))</f>
        <v>70.64</v>
      </c>
      <c r="O463" cm="1">
        <f t="array" ref="O463">INDEX(DataAll!$AT$2:$AT$555,MATCH(LOWER(Data!A463),LOWER(DataAll!$AS$2:$AS$555),0))</f>
        <v>9.89</v>
      </c>
      <c r="P463" cm="1">
        <f t="array" ref="P463">INDEX(DataAll!$AU$2:$AU$555,MATCH(LOWER(Data!A463),LOWER(DataAll!$AS$2:$AS$555),0))</f>
        <v>8.9499999999999993</v>
      </c>
      <c r="Q463" cm="1">
        <f t="array" ref="Q463">INDEX(DataAll!$AX$2:$AX$556,MATCH(LOWER(Data!A463),LOWER(DataAll!$AW$2:$AW$556),0))</f>
        <v>35.68</v>
      </c>
      <c r="R463" cm="1">
        <f t="array" ref="R463">INDEX('Longitude and Latitude'!$B$2:$B$579,MATCH(LOWER(Data!A463),LOWER('Longitude and Latitude'!$A$2:$A$579),0))</f>
        <v>-4.1165599999999998</v>
      </c>
      <c r="S463" cm="1">
        <f t="array" ref="S463">INDEX('Longitude and Latitude'!$C$2:$C$579,MATCH(LOWER(Data!A463),LOWER('Longitude and Latitude'!$A$2:$A$579),0))</f>
        <v>123.10181</v>
      </c>
      <c r="T463" t="b">
        <f>IF(EXACT(A463, UPPER(A463)), TRUE, FALSE)</f>
        <v>0</v>
      </c>
    </row>
    <row r="464" spans="1:20" x14ac:dyDescent="0.35">
      <c r="A464" t="s">
        <v>460</v>
      </c>
      <c r="B464">
        <v>89.59</v>
      </c>
      <c r="C464" cm="1">
        <f t="array" ref="C464">INDEX(DataAll!$E$2:$E$555,MATCH(LOWER(Data!A464),LOWER(DataAll!$D$2:$D$555),0))</f>
        <v>57.58</v>
      </c>
      <c r="D464" cm="1">
        <f t="array" ref="D464">INDEX(DataAll!$H$2:$H$579,MATCH(LOWER(Data!A464),LOWER(DataAll!$G$2:$G$555),0))</f>
        <v>0.47899999999999998</v>
      </c>
      <c r="E464" cm="1">
        <f t="array" ref="E464">INDEX(DataAll!$K$2:$K$579,MATCH(LOWER(Data!A464),LOWER(DataAll!$J$2:$J$555),0))</f>
        <v>20</v>
      </c>
      <c r="F464" cm="1">
        <f t="array" ref="F464">INDEX(DataAll!$N$2:$N$555,MATCH(LOWER(Data!A464),LOWER(DataAll!$M$2:$M$555),0))</f>
        <v>58.27</v>
      </c>
      <c r="G464" cm="1">
        <f t="array" ref="G464">INDEX(DataAll!$Q$2:$Q$555,MATCH(LOWER(Data!A464),LOWER(DataAll!$P$2:$P$555),0))</f>
        <v>14.85</v>
      </c>
      <c r="H464" cm="1">
        <f t="array" ref="H464">INDEX(DataAll!$T$2:$T$555,MATCH(LOWER(Data!A464),LOWER(DataAll!$S$2:$S$555),0))</f>
        <v>0.33</v>
      </c>
      <c r="I464" cm="1">
        <f t="array" ref="I464">INDEX(DataAll!$W$2:$W$555,MATCH(LOWER(Data!A464),LOWER(DataAll!$V$2:$V$555),0))</f>
        <v>20.68</v>
      </c>
      <c r="J464" cm="1">
        <f t="array" ref="J464">INDEX(DataAll!$Z$2:$Z$555,MATCH(LOWER(Data!A464),LOWER(DataAll!$Y$2:$Y$555),0))</f>
        <v>2.8</v>
      </c>
      <c r="K464" cm="1">
        <f t="array" ref="K464">INDEX(DataAll!$AM$2:$AM$555,MATCH(LOWER(Data!A464),LOWER(DataAll!$AL$2:$AL$555),0))</f>
        <v>14.03</v>
      </c>
      <c r="L464" cm="1">
        <f t="array" ref="L464">INDEX(DataAll!$AJ$2:$AJ$555,MATCH(LOWER(Data!A464),LOWER(DataAll!$AI$2:$AI$555),0))</f>
        <v>29.75</v>
      </c>
      <c r="M464" cm="1">
        <f t="array" ref="M464">INDEX(DataAll!$AP$2:$AP$555,MATCH(LOWER(Data!A464),LOWER(DataAll!$AO$2:$AO$555),0))</f>
        <v>68.34</v>
      </c>
      <c r="N464" cm="1">
        <f t="array" ref="N464">INDEX(DataAll!$AQ$2:$AQ$555,MATCH(LOWER(Data!A464),LOWER(DataAll!$AO$2:$AO$555),0))</f>
        <v>72.599999999999994</v>
      </c>
      <c r="O464" cm="1">
        <f t="array" ref="O464">INDEX(DataAll!$AT$2:$AT$555,MATCH(LOWER(Data!A464),LOWER(DataAll!$AS$2:$AS$555),0))</f>
        <v>8.39</v>
      </c>
      <c r="P464" cm="1">
        <f t="array" ref="P464">INDEX(DataAll!$AU$2:$AU$555,MATCH(LOWER(Data!A464),LOWER(DataAll!$AS$2:$AS$555),0))</f>
        <v>7.33</v>
      </c>
      <c r="Q464" cm="1">
        <f t="array" ref="Q464">INDEX(DataAll!$AX$2:$AX$556,MATCH(LOWER(Data!A464),LOWER(DataAll!$AW$2:$AW$556),0))</f>
        <v>31.09</v>
      </c>
      <c r="R464" cm="1">
        <f t="array" ref="R464">INDEX('Longitude and Latitude'!$B$2:$B$579,MATCH(LOWER(Data!A464),LOWER('Longitude and Latitude'!$A$2:$A$579),0))</f>
        <v>-4.8333300000000001</v>
      </c>
      <c r="S464" cm="1">
        <f t="array" ref="S464">INDEX('Longitude and Latitude'!$C$2:$C$579,MATCH(LOWER(Data!A464),LOWER('Longitude and Latitude'!$A$2:$A$579),0))</f>
        <v>122.48333</v>
      </c>
      <c r="T464" t="b">
        <f>IF(EXACT(A464, UPPER(A464)), TRUE, FALSE)</f>
        <v>0</v>
      </c>
    </row>
    <row r="465" spans="1:20" x14ac:dyDescent="0.35">
      <c r="A465" t="s">
        <v>461</v>
      </c>
      <c r="B465">
        <v>83.32</v>
      </c>
      <c r="C465" cm="1">
        <f t="array" ref="C465">INDEX(DataAll!$E$2:$E$555,MATCH(LOWER(Data!A465),LOWER(DataAll!$D$2:$D$555),0))</f>
        <v>81.819999999999993</v>
      </c>
      <c r="D465" cm="1">
        <f t="array" ref="D465">INDEX(DataAll!$H$2:$H$579,MATCH(LOWER(Data!A465),LOWER(DataAll!$G$2:$G$555),0))</f>
        <v>0.48899999999999999</v>
      </c>
      <c r="E465" cm="1">
        <f t="array" ref="E465">INDEX(DataAll!$K$2:$K$579,MATCH(LOWER(Data!A465),LOWER(DataAll!$J$2:$J$555),0))</f>
        <v>24</v>
      </c>
      <c r="F465" cm="1">
        <f t="array" ref="F465">INDEX(DataAll!$N$2:$N$555,MATCH(LOWER(Data!A465),LOWER(DataAll!$M$2:$M$555),0))</f>
        <v>56.97</v>
      </c>
      <c r="G465" cm="1">
        <f t="array" ref="G465">INDEX(DataAll!$Q$2:$Q$555,MATCH(LOWER(Data!A465),LOWER(DataAll!$P$2:$P$555),0))</f>
        <v>17.559999999999999</v>
      </c>
      <c r="H465" cm="1">
        <f t="array" ref="H465">INDEX(DataAll!$T$2:$T$555,MATCH(LOWER(Data!A465),LOWER(DataAll!$S$2:$S$555),0))</f>
        <v>0.26100000000000001</v>
      </c>
      <c r="I465" cm="1">
        <f t="array" ref="I465">INDEX(DataAll!$W$2:$W$555,MATCH(LOWER(Data!A465),LOWER(DataAll!$V$2:$V$555),0))</f>
        <v>49.97</v>
      </c>
      <c r="J465" cm="1">
        <f t="array" ref="J465">INDEX(DataAll!$Z$2:$Z$555,MATCH(LOWER(Data!A465),LOWER(DataAll!$Y$2:$Y$555),0))</f>
        <v>2.92</v>
      </c>
      <c r="K465" cm="1">
        <f t="array" ref="K465">INDEX(DataAll!$AM$2:$AM$555,MATCH(LOWER(Data!A465),LOWER(DataAll!$AL$2:$AL$555),0))</f>
        <v>15.43</v>
      </c>
      <c r="L465" cm="1">
        <f t="array" ref="L465">INDEX(DataAll!$AJ$2:$AJ$555,MATCH(LOWER(Data!A465),LOWER(DataAll!$AI$2:$AI$555),0))</f>
        <v>34.229999999999997</v>
      </c>
      <c r="M465" cm="1">
        <f t="array" ref="M465">INDEX(DataAll!$AP$2:$AP$555,MATCH(LOWER(Data!A465),LOWER(DataAll!$AO$2:$AO$555),0))</f>
        <v>65.7</v>
      </c>
      <c r="N465" cm="1">
        <f t="array" ref="N465">INDEX(DataAll!$AQ$2:$AQ$555,MATCH(LOWER(Data!A465),LOWER(DataAll!$AO$2:$AO$555),0))</f>
        <v>70.02</v>
      </c>
      <c r="O465" cm="1">
        <f t="array" ref="O465">INDEX(DataAll!$AT$2:$AT$555,MATCH(LOWER(Data!A465),LOWER(DataAll!$AS$2:$AS$555),0))</f>
        <v>7.73</v>
      </c>
      <c r="P465" cm="1">
        <f t="array" ref="P465">INDEX(DataAll!$AU$2:$AU$555,MATCH(LOWER(Data!A465),LOWER(DataAll!$AS$2:$AS$555),0))</f>
        <v>6.09</v>
      </c>
      <c r="Q465" cm="1">
        <f t="array" ref="Q465">INDEX(DataAll!$AX$2:$AX$556,MATCH(LOWER(Data!A465),LOWER(DataAll!$AW$2:$AW$556),0))</f>
        <v>20.61</v>
      </c>
      <c r="R465" cm="1">
        <f t="array" ref="R465">INDEX('Longitude and Latitude'!$B$2:$B$579,MATCH(LOWER(Data!A465),LOWER('Longitude and Latitude'!$A$2:$A$579),0))</f>
        <v>-5.3166700000000002</v>
      </c>
      <c r="S465" cm="1">
        <f t="array" ref="S465">INDEX('Longitude and Latitude'!$C$2:$C$579,MATCH(LOWER(Data!A465),LOWER('Longitude and Latitude'!$A$2:$A$579),0))</f>
        <v>122.33333</v>
      </c>
      <c r="T465" t="b">
        <f>IF(EXACT(A465, UPPER(A465)), TRUE, FALSE)</f>
        <v>0</v>
      </c>
    </row>
    <row r="466" spans="1:20" x14ac:dyDescent="0.35">
      <c r="A466" t="s">
        <v>462</v>
      </c>
      <c r="B466">
        <v>74.22</v>
      </c>
      <c r="C466" cm="1">
        <f t="array" ref="C466">INDEX(DataAll!$E$2:$E$555,MATCH(LOWER(Data!A466),LOWER(DataAll!$D$2:$D$555),0))</f>
        <v>77.459999999999994</v>
      </c>
      <c r="D466" cm="1">
        <f t="array" ref="D466">INDEX(DataAll!$H$2:$H$579,MATCH(LOWER(Data!A466),LOWER(DataAll!$G$2:$G$555),0))</f>
        <v>0.52200000000000002</v>
      </c>
      <c r="E466" cm="1">
        <f t="array" ref="E466">INDEX(DataAll!$K$2:$K$579,MATCH(LOWER(Data!A466),LOWER(DataAll!$J$2:$J$555),0))</f>
        <v>20</v>
      </c>
      <c r="F466" cm="1">
        <f t="array" ref="F466">INDEX(DataAll!$N$2:$N$555,MATCH(LOWER(Data!A466),LOWER(DataAll!$M$2:$M$555),0))</f>
        <v>53.28</v>
      </c>
      <c r="G466" cm="1">
        <f t="array" ref="G466">INDEX(DataAll!$Q$2:$Q$555,MATCH(LOWER(Data!A466),LOWER(DataAll!$P$2:$P$555),0))</f>
        <v>11.65</v>
      </c>
      <c r="H466" cm="1">
        <f t="array" ref="H466">INDEX(DataAll!$T$2:$T$555,MATCH(LOWER(Data!A466),LOWER(DataAll!$S$2:$S$555),0))</f>
        <v>0.26600000000000001</v>
      </c>
      <c r="I466" cm="1">
        <f t="array" ref="I466">INDEX(DataAll!$W$2:$W$555,MATCH(LOWER(Data!A466),LOWER(DataAll!$V$2:$V$555),0))</f>
        <v>41.26</v>
      </c>
      <c r="J466" cm="1">
        <f t="array" ref="J466">INDEX(DataAll!$Z$2:$Z$555,MATCH(LOWER(Data!A466),LOWER(DataAll!$Y$2:$Y$555),0))</f>
        <v>2.94</v>
      </c>
      <c r="K466" cm="1">
        <f t="array" ref="K466">INDEX(DataAll!$AM$2:$AM$555,MATCH(LOWER(Data!A466),LOWER(DataAll!$AL$2:$AL$555),0))</f>
        <v>14.76</v>
      </c>
      <c r="L466" cm="1">
        <f t="array" ref="L466">INDEX(DataAll!$AJ$2:$AJ$555,MATCH(LOWER(Data!A466),LOWER(DataAll!$AI$2:$AI$555),0))</f>
        <v>35.159999999999997</v>
      </c>
      <c r="M466" cm="1">
        <f t="array" ref="M466">INDEX(DataAll!$AP$2:$AP$555,MATCH(LOWER(Data!A466),LOWER(DataAll!$AO$2:$AO$555),0))</f>
        <v>65.66</v>
      </c>
      <c r="N466" cm="1">
        <f t="array" ref="N466">INDEX(DataAll!$AQ$2:$AQ$555,MATCH(LOWER(Data!A466),LOWER(DataAll!$AO$2:$AO$555),0))</f>
        <v>69.98</v>
      </c>
      <c r="O466" cm="1">
        <f t="array" ref="O466">INDEX(DataAll!$AT$2:$AT$555,MATCH(LOWER(Data!A466),LOWER(DataAll!$AS$2:$AS$555),0))</f>
        <v>8.0399999999999991</v>
      </c>
      <c r="P466" cm="1">
        <f t="array" ref="P466">INDEX(DataAll!$AU$2:$AU$555,MATCH(LOWER(Data!A466),LOWER(DataAll!$AS$2:$AS$555),0))</f>
        <v>7.23</v>
      </c>
      <c r="Q466" cm="1">
        <f t="array" ref="Q466">INDEX(DataAll!$AX$2:$AX$556,MATCH(LOWER(Data!A466),LOWER(DataAll!$AW$2:$AW$556),0))</f>
        <v>24.34</v>
      </c>
      <c r="R466" cm="1">
        <f t="array" ref="R466">INDEX('Longitude and Latitude'!$B$2:$B$579,MATCH(LOWER(Data!A466),LOWER('Longitude and Latitude'!$A$2:$A$579),0))</f>
        <v>-5.5666700000000002</v>
      </c>
      <c r="S466" cm="1">
        <f t="array" ref="S466">INDEX('Longitude and Latitude'!$C$2:$C$579,MATCH(LOWER(Data!A466),LOWER('Longitude and Latitude'!$A$2:$A$579),0))</f>
        <v>122.7</v>
      </c>
      <c r="T466" t="b">
        <f>IF(EXACT(A466, UPPER(A466)), TRUE, FALSE)</f>
        <v>0</v>
      </c>
    </row>
    <row r="467" spans="1:20" x14ac:dyDescent="0.35">
      <c r="A467" t="s">
        <v>463</v>
      </c>
      <c r="B467">
        <v>94.98</v>
      </c>
      <c r="C467" cm="1">
        <f t="array" ref="C467">INDEX(DataAll!$E$2:$E$555,MATCH(LOWER(Data!A467),LOWER(DataAll!$D$2:$D$555),0))</f>
        <v>81.02</v>
      </c>
      <c r="D467" cm="1">
        <f t="array" ref="D467">INDEX(DataAll!$H$2:$H$579,MATCH(LOWER(Data!A467),LOWER(DataAll!$G$2:$G$555),0))</f>
        <v>0.40899999999999997</v>
      </c>
      <c r="E467" cm="1">
        <f t="array" ref="E467">INDEX(DataAll!$K$2:$K$579,MATCH(LOWER(Data!A467),LOWER(DataAll!$J$2:$J$555),0))</f>
        <v>28.57</v>
      </c>
      <c r="F467" cm="1">
        <f t="array" ref="F467">INDEX(DataAll!$N$2:$N$555,MATCH(LOWER(Data!A467),LOWER(DataAll!$M$2:$M$555),0))</f>
        <v>42.56</v>
      </c>
      <c r="G467" cm="1">
        <f t="array" ref="G467">INDEX(DataAll!$Q$2:$Q$555,MATCH(LOWER(Data!A467),LOWER(DataAll!$P$2:$P$555),0))</f>
        <v>6.44</v>
      </c>
      <c r="H467" cm="1">
        <f t="array" ref="H467">INDEX(DataAll!$T$2:$T$555,MATCH(LOWER(Data!A467),LOWER(DataAll!$S$2:$S$555),0))</f>
        <v>0.252</v>
      </c>
      <c r="I467" cm="1">
        <f t="array" ref="I467">INDEX(DataAll!$W$2:$W$555,MATCH(LOWER(Data!A467),LOWER(DataAll!$V$2:$V$555),0))</f>
        <v>39.26</v>
      </c>
      <c r="J467" cm="1">
        <f t="array" ref="J467">INDEX(DataAll!$Z$2:$Z$555,MATCH(LOWER(Data!A467),LOWER(DataAll!$Y$2:$Y$555),0))</f>
        <v>2.16</v>
      </c>
      <c r="K467" cm="1">
        <f t="array" ref="K467">INDEX(DataAll!$AM$2:$AM$555,MATCH(LOWER(Data!A467),LOWER(DataAll!$AL$2:$AL$555),0))</f>
        <v>4.59</v>
      </c>
      <c r="L467" cm="1">
        <f t="array" ref="L467">INDEX(DataAll!$AJ$2:$AJ$555,MATCH(LOWER(Data!A467),LOWER(DataAll!$AI$2:$AI$555),0))</f>
        <v>12.29</v>
      </c>
      <c r="M467" cm="1">
        <f t="array" ref="M467">INDEX(DataAll!$AP$2:$AP$555,MATCH(LOWER(Data!A467),LOWER(DataAll!$AO$2:$AO$555),0))</f>
        <v>72.040000000000006</v>
      </c>
      <c r="N467" cm="1">
        <f t="array" ref="N467">INDEX(DataAll!$AQ$2:$AQ$555,MATCH(LOWER(Data!A467),LOWER(DataAll!$AO$2:$AO$555),0))</f>
        <v>76.22</v>
      </c>
      <c r="O467" cm="1">
        <f t="array" ref="O467">INDEX(DataAll!$AT$2:$AT$555,MATCH(LOWER(Data!A467),LOWER(DataAll!$AS$2:$AS$555),0))</f>
        <v>12.92</v>
      </c>
      <c r="P467" cm="1">
        <f t="array" ref="P467">INDEX(DataAll!$AU$2:$AU$555,MATCH(LOWER(Data!A467),LOWER(DataAll!$AS$2:$AS$555),0))</f>
        <v>12.11</v>
      </c>
      <c r="Q467" cm="1">
        <f t="array" ref="Q467">INDEX(DataAll!$AX$2:$AX$556,MATCH(LOWER(Data!A467),LOWER(DataAll!$AW$2:$AW$556),0))</f>
        <v>62.01</v>
      </c>
      <c r="R467" cm="1">
        <f t="array" ref="R467">INDEX('Longitude and Latitude'!$B$2:$B$579,MATCH(LOWER(Data!A467),LOWER('Longitude and Latitude'!$A$2:$A$579),0))</f>
        <v>-3.9722010000000001</v>
      </c>
      <c r="S467" cm="1">
        <f t="array" ref="S467">INDEX('Longitude and Latitude'!$C$2:$C$579,MATCH(LOWER(Data!A467),LOWER('Longitude and Latitude'!$A$2:$A$579),0))</f>
        <v>122.5149028</v>
      </c>
      <c r="T467" t="b">
        <f>IF(EXACT(A467, UPPER(A467)), TRUE, FALSE)</f>
        <v>0</v>
      </c>
    </row>
    <row r="468" spans="1:20" x14ac:dyDescent="0.35">
      <c r="A468" t="s">
        <v>464</v>
      </c>
      <c r="B468">
        <v>91.24</v>
      </c>
      <c r="C468" cm="1">
        <f t="array" ref="C468">INDEX(DataAll!$E$2:$E$555,MATCH(LOWER(Data!A468),LOWER(DataAll!$D$2:$D$555),0))</f>
        <v>72.040000000000006</v>
      </c>
      <c r="D468" cm="1">
        <f t="array" ref="D468">INDEX(DataAll!$H$2:$H$579,MATCH(LOWER(Data!A468),LOWER(DataAll!$G$2:$G$555),0))</f>
        <v>0.39400000000000002</v>
      </c>
      <c r="E468" cm="1">
        <f t="array" ref="E468">INDEX(DataAll!$K$2:$K$579,MATCH(LOWER(Data!A468),LOWER(DataAll!$J$2:$J$555),0))</f>
        <v>24</v>
      </c>
      <c r="F468" cm="1">
        <f t="array" ref="F468">INDEX(DataAll!$N$2:$N$555,MATCH(LOWER(Data!A468),LOWER(DataAll!$M$2:$M$555),0))</f>
        <v>51.65</v>
      </c>
      <c r="G468" cm="1">
        <f t="array" ref="G468">INDEX(DataAll!$Q$2:$Q$555,MATCH(LOWER(Data!A468),LOWER(DataAll!$P$2:$P$555),0))</f>
        <v>10.84</v>
      </c>
      <c r="H468" cm="1">
        <f t="array" ref="H468">INDEX(DataAll!$T$2:$T$555,MATCH(LOWER(Data!A468),LOWER(DataAll!$S$2:$S$555),0))</f>
        <v>0.24299999999999999</v>
      </c>
      <c r="I468" cm="1">
        <f t="array" ref="I468">INDEX(DataAll!$W$2:$W$555,MATCH(LOWER(Data!A468),LOWER(DataAll!$V$2:$V$555),0))</f>
        <v>30.98</v>
      </c>
      <c r="J468" cm="1">
        <f t="array" ref="J468">INDEX(DataAll!$Z$2:$Z$555,MATCH(LOWER(Data!A468),LOWER(DataAll!$Y$2:$Y$555),0))</f>
        <v>2.41</v>
      </c>
      <c r="K468" cm="1">
        <f t="array" ref="K468">INDEX(DataAll!$AM$2:$AM$555,MATCH(LOWER(Data!A468),LOWER(DataAll!$AL$2:$AL$555),0))</f>
        <v>7.53</v>
      </c>
      <c r="L468" cm="1">
        <f t="array" ref="L468">INDEX(DataAll!$AJ$2:$AJ$555,MATCH(LOWER(Data!A468),LOWER(DataAll!$AI$2:$AI$555),0))</f>
        <v>15.39</v>
      </c>
      <c r="M468" cm="1">
        <f t="array" ref="M468">INDEX(DataAll!$AP$2:$AP$555,MATCH(LOWER(Data!A468),LOWER(DataAll!$AO$2:$AO$555),0))</f>
        <v>69.41</v>
      </c>
      <c r="N468" cm="1">
        <f t="array" ref="N468">INDEX(DataAll!$AQ$2:$AQ$555,MATCH(LOWER(Data!A468),LOWER(DataAll!$AO$2:$AO$555),0))</f>
        <v>73.650000000000006</v>
      </c>
      <c r="O468" cm="1">
        <f t="array" ref="O468">INDEX(DataAll!$AT$2:$AT$555,MATCH(LOWER(Data!A468),LOWER(DataAll!$AS$2:$AS$555),0))</f>
        <v>11.32</v>
      </c>
      <c r="P468" cm="1">
        <f t="array" ref="P468">INDEX(DataAll!$AU$2:$AU$555,MATCH(LOWER(Data!A468),LOWER(DataAll!$AS$2:$AS$555),0))</f>
        <v>10.85</v>
      </c>
      <c r="Q468" cm="1">
        <f t="array" ref="Q468">INDEX(DataAll!$AX$2:$AX$556,MATCH(LOWER(Data!A468),LOWER(DataAll!$AW$2:$AW$556),0))</f>
        <v>53.55</v>
      </c>
      <c r="R468" cm="1">
        <f t="array" ref="R468">INDEX('Longitude and Latitude'!$B$2:$B$579,MATCH(LOWER(Data!A468),LOWER('Longitude and Latitude'!$A$2:$A$579),0))</f>
        <v>-5.4666699999999997</v>
      </c>
      <c r="S468" cm="1">
        <f t="array" ref="S468">INDEX('Longitude and Latitude'!$C$2:$C$579,MATCH(LOWER(Data!A468),LOWER('Longitude and Latitude'!$A$2:$A$579),0))</f>
        <v>122.633</v>
      </c>
      <c r="T468" t="b">
        <f>IF(EXACT(A468, UPPER(A468)), TRUE, FALSE)</f>
        <v>0</v>
      </c>
    </row>
    <row r="469" spans="1:20" x14ac:dyDescent="0.35">
      <c r="A469" t="s">
        <v>465</v>
      </c>
      <c r="B469">
        <v>88.25</v>
      </c>
      <c r="C469" cm="1">
        <f t="array" ref="C469">INDEX(DataAll!$E$2:$E$555,MATCH(LOWER(Data!A469),LOWER(DataAll!$D$2:$D$555),0))</f>
        <v>71.11</v>
      </c>
      <c r="D469" cm="1">
        <f t="array" ref="D469">INDEX(DataAll!$H$2:$H$579,MATCH(LOWER(Data!A469),LOWER(DataAll!$G$2:$G$555),0))</f>
        <v>0.39100000000000001</v>
      </c>
      <c r="E469" cm="1">
        <f t="array" ref="E469">INDEX(DataAll!$K$2:$K$579,MATCH(LOWER(Data!A469),LOWER(DataAll!$J$2:$J$555),0))</f>
        <v>26.67</v>
      </c>
      <c r="F469" cm="1">
        <f t="array" ref="F469">INDEX(DataAll!$N$2:$N$555,MATCH(LOWER(Data!A469),LOWER(DataAll!$M$2:$M$555),0))</f>
        <v>58.23</v>
      </c>
      <c r="G469" cm="1">
        <f t="array" ref="G469">INDEX(DataAll!$Q$2:$Q$555,MATCH(LOWER(Data!A469),LOWER(DataAll!$P$2:$P$555),0))</f>
        <v>14.97</v>
      </c>
      <c r="H469" cm="1">
        <f t="array" ref="H469">INDEX(DataAll!$T$2:$T$555,MATCH(LOWER(Data!A469),LOWER(DataAll!$S$2:$S$555),0))</f>
        <v>0.32200000000000001</v>
      </c>
      <c r="I469" cm="1">
        <f t="array" ref="I469">INDEX(DataAll!$W$2:$W$555,MATCH(LOWER(Data!A469),LOWER(DataAll!$V$2:$V$555),0))</f>
        <v>26.93</v>
      </c>
      <c r="J469" cm="1">
        <f t="array" ref="J469">INDEX(DataAll!$Z$2:$Z$555,MATCH(LOWER(Data!A469),LOWER(DataAll!$Y$2:$Y$555),0))</f>
        <v>2.2999999999999998</v>
      </c>
      <c r="K469" cm="1">
        <f t="array" ref="K469">INDEX(DataAll!$AM$2:$AM$555,MATCH(LOWER(Data!A469),LOWER(DataAll!$AL$2:$AL$555),0))</f>
        <v>15.15</v>
      </c>
      <c r="L469" cm="1">
        <f t="array" ref="L469">INDEX(DataAll!$AJ$2:$AJ$555,MATCH(LOWER(Data!A469),LOWER(DataAll!$AI$2:$AI$555),0))</f>
        <v>35.85</v>
      </c>
      <c r="M469" cm="1">
        <f t="array" ref="M469">INDEX(DataAll!$AP$2:$AP$555,MATCH(LOWER(Data!A469),LOWER(DataAll!$AO$2:$AO$555),0))</f>
        <v>66.900000000000006</v>
      </c>
      <c r="N469" cm="1">
        <f t="array" ref="N469">INDEX(DataAll!$AQ$2:$AQ$555,MATCH(LOWER(Data!A469),LOWER(DataAll!$AO$2:$AO$555),0))</f>
        <v>70.87</v>
      </c>
      <c r="O469" cm="1">
        <f t="array" ref="O469">INDEX(DataAll!$AT$2:$AT$555,MATCH(LOWER(Data!A469),LOWER(DataAll!$AS$2:$AS$555),0))</f>
        <v>7.74</v>
      </c>
      <c r="P469" cm="1">
        <f t="array" ref="P469">INDEX(DataAll!$AU$2:$AU$555,MATCH(LOWER(Data!A469),LOWER(DataAll!$AS$2:$AS$555),0))</f>
        <v>8.4600000000000009</v>
      </c>
      <c r="Q469" cm="1">
        <f t="array" ref="Q469">INDEX(DataAll!$AX$2:$AX$556,MATCH(LOWER(Data!A469),LOWER(DataAll!$AW$2:$AW$556),0))</f>
        <v>33.86</v>
      </c>
      <c r="R469" cm="1">
        <f t="array" ref="R469">INDEX('Longitude and Latitude'!$B$2:$B$579,MATCH(LOWER(Data!A469),LOWER('Longitude and Latitude'!$A$2:$A$579),0))</f>
        <v>0.69993720000000004</v>
      </c>
      <c r="S469" cm="1">
        <f t="array" ref="S469">INDEX('Longitude and Latitude'!$C$2:$C$579,MATCH(LOWER(Data!A469),LOWER('Longitude and Latitude'!$A$2:$A$579),0))</f>
        <v>122.4467238</v>
      </c>
      <c r="T469" t="b">
        <f>IF(EXACT(A469, UPPER(A469)), TRUE, FALSE)</f>
        <v>1</v>
      </c>
    </row>
    <row r="470" spans="1:20" x14ac:dyDescent="0.35">
      <c r="A470" t="s">
        <v>466</v>
      </c>
      <c r="B470">
        <v>83.17</v>
      </c>
      <c r="C470" cm="1">
        <f t="array" ref="C470">INDEX(DataAll!$E$2:$E$555,MATCH(LOWER(Data!A470),LOWER(DataAll!$D$2:$D$555),0))</f>
        <v>69.459999999999994</v>
      </c>
      <c r="D470" cm="1">
        <f t="array" ref="D470">INDEX(DataAll!$H$2:$H$579,MATCH(LOWER(Data!A470),LOWER(DataAll!$G$2:$G$555),0))</f>
        <v>0.43</v>
      </c>
      <c r="E470" cm="1">
        <f t="array" ref="E470">INDEX(DataAll!$K$2:$K$579,MATCH(LOWER(Data!A470),LOWER(DataAll!$J$2:$J$555),0))</f>
        <v>24</v>
      </c>
      <c r="F470" cm="1">
        <f t="array" ref="F470">INDEX(DataAll!$N$2:$N$555,MATCH(LOWER(Data!A470),LOWER(DataAll!$M$2:$M$555),0))</f>
        <v>63.46</v>
      </c>
      <c r="G470" cm="1">
        <f t="array" ref="G470">INDEX(DataAll!$Q$2:$Q$555,MATCH(LOWER(Data!A470),LOWER(DataAll!$P$2:$P$555),0))</f>
        <v>13.99</v>
      </c>
      <c r="H470" cm="1">
        <f t="array" ref="H470">INDEX(DataAll!$T$2:$T$555,MATCH(LOWER(Data!A470),LOWER(DataAll!$S$2:$S$555),0))</f>
        <v>0.38900000000000001</v>
      </c>
      <c r="I470" cm="1">
        <f t="array" ref="I470">INDEX(DataAll!$W$2:$W$555,MATCH(LOWER(Data!A470),LOWER(DataAll!$V$2:$V$555),0))</f>
        <v>29.55</v>
      </c>
      <c r="J470" cm="1">
        <f t="array" ref="J470">INDEX(DataAll!$Z$2:$Z$555,MATCH(LOWER(Data!A470),LOWER(DataAll!$Y$2:$Y$555),0))</f>
        <v>2.34</v>
      </c>
      <c r="K470" cm="1">
        <f t="array" ref="K470">INDEX(DataAll!$AM$2:$AM$555,MATCH(LOWER(Data!A470),LOWER(DataAll!$AL$2:$AL$555),0))</f>
        <v>18.38</v>
      </c>
      <c r="L470" cm="1">
        <f t="array" ref="L470">INDEX(DataAll!$AJ$2:$AJ$555,MATCH(LOWER(Data!A470),LOWER(DataAll!$AI$2:$AI$555),0))</f>
        <v>33.24</v>
      </c>
      <c r="M470" cm="1">
        <f t="array" ref="M470">INDEX(DataAll!$AP$2:$AP$555,MATCH(LOWER(Data!A470),LOWER(DataAll!$AO$2:$AO$555),0))</f>
        <v>67.989999999999995</v>
      </c>
      <c r="N470" cm="1">
        <f t="array" ref="N470">INDEX(DataAll!$AQ$2:$AQ$555,MATCH(LOWER(Data!A470),LOWER(DataAll!$AO$2:$AO$555),0))</f>
        <v>71.94</v>
      </c>
      <c r="O470" cm="1">
        <f t="array" ref="O470">INDEX(DataAll!$AT$2:$AT$555,MATCH(LOWER(Data!A470),LOWER(DataAll!$AS$2:$AS$555),0))</f>
        <v>6.71</v>
      </c>
      <c r="P470" cm="1">
        <f t="array" ref="P470">INDEX(DataAll!$AU$2:$AU$555,MATCH(LOWER(Data!A470),LOWER(DataAll!$AS$2:$AS$555),0))</f>
        <v>7.66</v>
      </c>
      <c r="Q470" cm="1">
        <f t="array" ref="Q470">INDEX(DataAll!$AX$2:$AX$556,MATCH(LOWER(Data!A470),LOWER(DataAll!$AW$2:$AW$556),0))</f>
        <v>31.36</v>
      </c>
      <c r="R470" cm="1">
        <f t="array" ref="R470">INDEX('Longitude and Latitude'!$B$2:$B$579,MATCH(LOWER(Data!A470),LOWER('Longitude and Latitude'!$A$2:$A$579),0))</f>
        <v>0.70134189999999996</v>
      </c>
      <c r="S470" cm="1">
        <f t="array" ref="S470">INDEX('Longitude and Latitude'!$C$2:$C$579,MATCH(LOWER(Data!A470),LOWER('Longitude and Latitude'!$A$2:$A$579),0))</f>
        <v>122.2653887</v>
      </c>
      <c r="T470" t="b">
        <f>IF(EXACT(A470, UPPER(A470)), TRUE, FALSE)</f>
        <v>0</v>
      </c>
    </row>
    <row r="471" spans="1:20" x14ac:dyDescent="0.35">
      <c r="A471" t="s">
        <v>467</v>
      </c>
      <c r="B471">
        <v>83.6</v>
      </c>
      <c r="C471" cm="1">
        <f t="array" ref="C471">INDEX(DataAll!$E$2:$E$555,MATCH(LOWER(Data!A471),LOWER(DataAll!$D$2:$D$555),0))</f>
        <v>71.11</v>
      </c>
      <c r="D471" cm="1">
        <f t="array" ref="D471">INDEX(DataAll!$H$2:$H$579,MATCH(LOWER(Data!A471),LOWER(DataAll!$G$2:$G$555),0))</f>
        <v>0.39100000000000001</v>
      </c>
      <c r="E471" cm="1">
        <f t="array" ref="E471">INDEX(DataAll!$K$2:$K$579,MATCH(LOWER(Data!A471),LOWER(DataAll!$J$2:$J$555),0))</f>
        <v>26.67</v>
      </c>
      <c r="F471" cm="1">
        <f t="array" ref="F471">INDEX(DataAll!$N$2:$N$555,MATCH(LOWER(Data!A471),LOWER(DataAll!$M$2:$M$555),0))</f>
        <v>58.23</v>
      </c>
      <c r="G471" cm="1">
        <f t="array" ref="G471">INDEX(DataAll!$Q$2:$Q$555,MATCH(LOWER(Data!A471),LOWER(DataAll!$P$2:$P$555),0))</f>
        <v>14.97</v>
      </c>
      <c r="H471" cm="1">
        <f t="array" ref="H471">INDEX(DataAll!$T$2:$T$555,MATCH(LOWER(Data!A471),LOWER(DataAll!$S$2:$S$555),0))</f>
        <v>0.32200000000000001</v>
      </c>
      <c r="I471" cm="1">
        <f t="array" ref="I471">INDEX(DataAll!$W$2:$W$555,MATCH(LOWER(Data!A471),LOWER(DataAll!$V$2:$V$555),0))</f>
        <v>26.93</v>
      </c>
      <c r="J471" cm="1">
        <f t="array" ref="J471">INDEX(DataAll!$Z$2:$Z$555,MATCH(LOWER(Data!A471),LOWER(DataAll!$Y$2:$Y$555),0))</f>
        <v>2.2999999999999998</v>
      </c>
      <c r="K471" cm="1">
        <f t="array" ref="K471">INDEX(DataAll!$AM$2:$AM$555,MATCH(LOWER(Data!A471),LOWER(DataAll!$AL$2:$AL$555),0))</f>
        <v>15.15</v>
      </c>
      <c r="L471" cm="1">
        <f t="array" ref="L471">INDEX(DataAll!$AJ$2:$AJ$555,MATCH(LOWER(Data!A471),LOWER(DataAll!$AI$2:$AI$555),0))</f>
        <v>35.85</v>
      </c>
      <c r="M471" cm="1">
        <f t="array" ref="M471">INDEX(DataAll!$AP$2:$AP$555,MATCH(LOWER(Data!A471),LOWER(DataAll!$AO$2:$AO$555),0))</f>
        <v>66.900000000000006</v>
      </c>
      <c r="N471" cm="1">
        <f t="array" ref="N471">INDEX(DataAll!$AQ$2:$AQ$555,MATCH(LOWER(Data!A471),LOWER(DataAll!$AO$2:$AO$555),0))</f>
        <v>70.87</v>
      </c>
      <c r="O471" cm="1">
        <f t="array" ref="O471">INDEX(DataAll!$AT$2:$AT$555,MATCH(LOWER(Data!A471),LOWER(DataAll!$AS$2:$AS$555),0))</f>
        <v>7.74</v>
      </c>
      <c r="P471" cm="1">
        <f t="array" ref="P471">INDEX(DataAll!$AU$2:$AU$555,MATCH(LOWER(Data!A471),LOWER(DataAll!$AS$2:$AS$555),0))</f>
        <v>8.4600000000000009</v>
      </c>
      <c r="Q471" cm="1">
        <f t="array" ref="Q471">INDEX(DataAll!$AX$2:$AX$556,MATCH(LOWER(Data!A471),LOWER(DataAll!$AW$2:$AW$556),0))</f>
        <v>33.86</v>
      </c>
      <c r="R471" cm="1">
        <f t="array" ref="R471">INDEX('Longitude and Latitude'!$B$2:$B$579,MATCH(LOWER(Data!A471),LOWER('Longitude and Latitude'!$A$2:$A$579),0))</f>
        <v>0.69993720000000004</v>
      </c>
      <c r="S471" cm="1">
        <f t="array" ref="S471">INDEX('Longitude and Latitude'!$C$2:$C$579,MATCH(LOWER(Data!A471),LOWER('Longitude and Latitude'!$A$2:$A$579),0))</f>
        <v>122.4467238</v>
      </c>
      <c r="T471" t="b">
        <f>IF(EXACT(A471, UPPER(A471)), TRUE, FALSE)</f>
        <v>0</v>
      </c>
    </row>
    <row r="472" spans="1:20" x14ac:dyDescent="0.35">
      <c r="A472" t="s">
        <v>468</v>
      </c>
      <c r="B472">
        <v>92.27</v>
      </c>
      <c r="C472" cm="1">
        <f t="array" ref="C472">INDEX(DataAll!$E$2:$E$555,MATCH(LOWER(Data!A472),LOWER(DataAll!$D$2:$D$555),0))</f>
        <v>70.45</v>
      </c>
      <c r="D472" cm="1">
        <f t="array" ref="D472">INDEX(DataAll!$H$2:$H$579,MATCH(LOWER(Data!A472),LOWER(DataAll!$G$2:$G$555),0))</f>
        <v>0.502</v>
      </c>
      <c r="E472" cm="1">
        <f t="array" ref="E472">INDEX(DataAll!$K$2:$K$579,MATCH(LOWER(Data!A472),LOWER(DataAll!$J$2:$J$555),0))</f>
        <v>16</v>
      </c>
      <c r="F472" cm="1">
        <f t="array" ref="F472">INDEX(DataAll!$N$2:$N$555,MATCH(LOWER(Data!A472),LOWER(DataAll!$M$2:$M$555),0))</f>
        <v>56.73</v>
      </c>
      <c r="G472" cm="1">
        <f t="array" ref="G472">INDEX(DataAll!$Q$2:$Q$555,MATCH(LOWER(Data!A472),LOWER(DataAll!$P$2:$P$555),0))</f>
        <v>18.72</v>
      </c>
      <c r="H472" cm="1">
        <f t="array" ref="H472">INDEX(DataAll!$T$2:$T$555,MATCH(LOWER(Data!A472),LOWER(DataAll!$S$2:$S$555),0))</f>
        <v>0.41099999999999998</v>
      </c>
      <c r="I472" cm="1">
        <f t="array" ref="I472">INDEX(DataAll!$W$2:$W$555,MATCH(LOWER(Data!A472),LOWER(DataAll!$V$2:$V$555),0))</f>
        <v>36.35</v>
      </c>
      <c r="J472" cm="1">
        <f t="array" ref="J472">INDEX(DataAll!$Z$2:$Z$555,MATCH(LOWER(Data!A472),LOWER(DataAll!$Y$2:$Y$555),0))</f>
        <v>2.35</v>
      </c>
      <c r="K472" cm="1">
        <f t="array" ref="K472">INDEX(DataAll!$AM$2:$AM$555,MATCH(LOWER(Data!A472),LOWER(DataAll!$AL$2:$AL$555),0))</f>
        <v>17.64</v>
      </c>
      <c r="L472" cm="1">
        <f t="array" ref="L472">INDEX(DataAll!$AJ$2:$AJ$555,MATCH(LOWER(Data!A472),LOWER(DataAll!$AI$2:$AI$555),0))</f>
        <v>42.96</v>
      </c>
      <c r="M472" cm="1">
        <f t="array" ref="M472">INDEX(DataAll!$AP$2:$AP$555,MATCH(LOWER(Data!A472),LOWER(DataAll!$AO$2:$AO$555),0))</f>
        <v>63.07</v>
      </c>
      <c r="N472" cm="1">
        <f t="array" ref="N472">INDEX(DataAll!$AQ$2:$AQ$555,MATCH(LOWER(Data!A472),LOWER(DataAll!$AO$2:$AO$555),0))</f>
        <v>66.92</v>
      </c>
      <c r="O472" cm="1">
        <f t="array" ref="O472">INDEX(DataAll!$AT$2:$AT$555,MATCH(LOWER(Data!A472),LOWER(DataAll!$AS$2:$AS$555),0))</f>
        <v>7.44</v>
      </c>
      <c r="P472" cm="1">
        <f t="array" ref="P472">INDEX(DataAll!$AU$2:$AU$555,MATCH(LOWER(Data!A472),LOWER(DataAll!$AS$2:$AS$555),0))</f>
        <v>7.83</v>
      </c>
      <c r="Q472" cm="1">
        <f t="array" ref="Q472">INDEX(DataAll!$AX$2:$AX$556,MATCH(LOWER(Data!A472),LOWER(DataAll!$AW$2:$AW$556),0))</f>
        <v>25.44</v>
      </c>
      <c r="R472" cm="1">
        <f t="array" ref="R472">INDEX('Longitude and Latitude'!$B$2:$B$579,MATCH(LOWER(Data!A472),LOWER('Longitude and Latitude'!$A$2:$A$579),0))</f>
        <v>0.70552780000000004</v>
      </c>
      <c r="S472" cm="1">
        <f t="array" ref="S472">INDEX('Longitude and Latitude'!$C$2:$C$579,MATCH(LOWER(Data!A472),LOWER('Longitude and Latitude'!$A$2:$A$579),0))</f>
        <v>121.7195459</v>
      </c>
      <c r="T472" t="b">
        <f>IF(EXACT(A472, UPPER(A472)), TRUE, FALSE)</f>
        <v>0</v>
      </c>
    </row>
    <row r="473" spans="1:20" x14ac:dyDescent="0.35">
      <c r="A473" t="s">
        <v>469</v>
      </c>
      <c r="B473">
        <v>88.84</v>
      </c>
      <c r="C473" cm="1">
        <f t="array" ref="C473">INDEX(DataAll!$E$2:$E$555,MATCH(LOWER(Data!A473),LOWER(DataAll!$D$2:$D$555),0))</f>
        <v>53.38</v>
      </c>
      <c r="D473" cm="1">
        <f t="array" ref="D473">INDEX(DataAll!$H$2:$H$579,MATCH(LOWER(Data!A473),LOWER(DataAll!$G$2:$G$555),0))</f>
        <v>0.51600000000000001</v>
      </c>
      <c r="E473" cm="1">
        <f t="array" ref="E473">INDEX(DataAll!$K$2:$K$579,MATCH(LOWER(Data!A473),LOWER(DataAll!$J$2:$J$555),0))</f>
        <v>4</v>
      </c>
      <c r="F473" cm="1">
        <f t="array" ref="F473">INDEX(DataAll!$N$2:$N$555,MATCH(LOWER(Data!A473),LOWER(DataAll!$M$2:$M$555),0))</f>
        <v>56.5</v>
      </c>
      <c r="G473" cm="1">
        <f t="array" ref="G473">INDEX(DataAll!$Q$2:$Q$555,MATCH(LOWER(Data!A473),LOWER(DataAll!$P$2:$P$555),0))</f>
        <v>16.03</v>
      </c>
      <c r="H473" cm="1">
        <f t="array" ref="H473">INDEX(DataAll!$T$2:$T$555,MATCH(LOWER(Data!A473),LOWER(DataAll!$S$2:$S$555),0))</f>
        <v>0.30499999999999999</v>
      </c>
      <c r="I473" cm="1">
        <f t="array" ref="I473">INDEX(DataAll!$W$2:$W$555,MATCH(LOWER(Data!A473),LOWER(DataAll!$V$2:$V$555),0))</f>
        <v>29.94</v>
      </c>
      <c r="J473" cm="1">
        <f t="array" ref="J473">INDEX(DataAll!$Z$2:$Z$555,MATCH(LOWER(Data!A473),LOWER(DataAll!$Y$2:$Y$555),0))</f>
        <v>2.29</v>
      </c>
      <c r="K473" cm="1">
        <f t="array" ref="K473">INDEX(DataAll!$AM$2:$AM$555,MATCH(LOWER(Data!A473),LOWER(DataAll!$AL$2:$AL$555),0))</f>
        <v>15.51</v>
      </c>
      <c r="L473" cm="1">
        <f t="array" ref="L473">INDEX(DataAll!$AJ$2:$AJ$555,MATCH(LOWER(Data!A473),LOWER(DataAll!$AI$2:$AI$555),0))</f>
        <v>37.28</v>
      </c>
      <c r="M473" cm="1">
        <f t="array" ref="M473">INDEX(DataAll!$AP$2:$AP$555,MATCH(LOWER(Data!A473),LOWER(DataAll!$AO$2:$AO$555),0))</f>
        <v>67.31</v>
      </c>
      <c r="N473" cm="1">
        <f t="array" ref="N473">INDEX(DataAll!$AQ$2:$AQ$555,MATCH(LOWER(Data!A473),LOWER(DataAll!$AO$2:$AO$555),0))</f>
        <v>71.27</v>
      </c>
      <c r="O473" cm="1">
        <f t="array" ref="O473">INDEX(DataAll!$AT$2:$AT$555,MATCH(LOWER(Data!A473),LOWER(DataAll!$AS$2:$AS$555),0))</f>
        <v>7.9</v>
      </c>
      <c r="P473" cm="1">
        <f t="array" ref="P473">INDEX(DataAll!$AU$2:$AU$555,MATCH(LOWER(Data!A473),LOWER(DataAll!$AS$2:$AS$555),0))</f>
        <v>8.82</v>
      </c>
      <c r="Q473" cm="1">
        <f t="array" ref="Q473">INDEX(DataAll!$AX$2:$AX$556,MATCH(LOWER(Data!A473),LOWER(DataAll!$AW$2:$AW$556),0))</f>
        <v>34.06</v>
      </c>
      <c r="R473" cm="1">
        <f t="array" ref="R473">INDEX('Longitude and Latitude'!$B$2:$B$579,MATCH(LOWER(Data!A473),LOWER('Longitude and Latitude'!$A$2:$A$579),0))</f>
        <v>0.56578850000000003</v>
      </c>
      <c r="S473" cm="1">
        <f t="array" ref="S473">INDEX('Longitude and Latitude'!$C$2:$C$579,MATCH(LOWER(Data!A473),LOWER('Longitude and Latitude'!$A$2:$A$579),0))</f>
        <v>123.3486147</v>
      </c>
      <c r="T473" t="b">
        <f>IF(EXACT(A473, UPPER(A473)), TRUE, FALSE)</f>
        <v>0</v>
      </c>
    </row>
    <row r="474" spans="1:20" x14ac:dyDescent="0.35">
      <c r="A474" t="s">
        <v>470</v>
      </c>
      <c r="B474">
        <v>82.37</v>
      </c>
      <c r="C474" cm="1">
        <f t="array" ref="C474">INDEX(DataAll!$E$2:$E$555,MATCH(LOWER(Data!A474),LOWER(DataAll!$D$2:$D$555),0))</f>
        <v>69.209999999999994</v>
      </c>
      <c r="D474" cm="1">
        <f t="array" ref="D474">INDEX(DataAll!$H$2:$H$579,MATCH(LOWER(Data!A474),LOWER(DataAll!$G$2:$G$555),0))</f>
        <v>0.32700000000000001</v>
      </c>
      <c r="E474" cm="1">
        <f t="array" ref="E474">INDEX(DataAll!$K$2:$K$579,MATCH(LOWER(Data!A474),LOWER(DataAll!$J$2:$J$555),0))</f>
        <v>24</v>
      </c>
      <c r="F474" cm="1">
        <f t="array" ref="F474">INDEX(DataAll!$N$2:$N$555,MATCH(LOWER(Data!A474),LOWER(DataAll!$M$2:$M$555),0))</f>
        <v>62.07</v>
      </c>
      <c r="G474" cm="1">
        <f t="array" ref="G474">INDEX(DataAll!$Q$2:$Q$555,MATCH(LOWER(Data!A474),LOWER(DataAll!$P$2:$P$555),0))</f>
        <v>18.899999999999999</v>
      </c>
      <c r="H474" cm="1">
        <f t="array" ref="H474">INDEX(DataAll!$T$2:$T$555,MATCH(LOWER(Data!A474),LOWER(DataAll!$S$2:$S$555),0))</f>
        <v>0.32800000000000001</v>
      </c>
      <c r="I474" cm="1">
        <f t="array" ref="I474">INDEX(DataAll!$W$2:$W$555,MATCH(LOWER(Data!A474),LOWER(DataAll!$V$2:$V$555),0))</f>
        <v>27.81</v>
      </c>
      <c r="J474" cm="1">
        <f t="array" ref="J474">INDEX(DataAll!$Z$2:$Z$555,MATCH(LOWER(Data!A474),LOWER(DataAll!$Y$2:$Y$555),0))</f>
        <v>2.4900000000000002</v>
      </c>
      <c r="K474" cm="1">
        <f t="array" ref="K474">INDEX(DataAll!$AM$2:$AM$555,MATCH(LOWER(Data!A474),LOWER(DataAll!$AL$2:$AL$555),0))</f>
        <v>17.03</v>
      </c>
      <c r="L474" cm="1">
        <f t="array" ref="L474">INDEX(DataAll!$AJ$2:$AJ$555,MATCH(LOWER(Data!A474),LOWER(DataAll!$AI$2:$AI$555),0))</f>
        <v>40.369999999999997</v>
      </c>
      <c r="M474" cm="1">
        <f t="array" ref="M474">INDEX(DataAll!$AP$2:$AP$555,MATCH(LOWER(Data!A474),LOWER(DataAll!$AO$2:$AO$555),0))</f>
        <v>64.760000000000005</v>
      </c>
      <c r="N474" cm="1">
        <f t="array" ref="N474">INDEX(DataAll!$AQ$2:$AQ$555,MATCH(LOWER(Data!A474),LOWER(DataAll!$AO$2:$AO$555),0))</f>
        <v>68.680000000000007</v>
      </c>
      <c r="O474" cm="1">
        <f t="array" ref="O474">INDEX(DataAll!$AT$2:$AT$555,MATCH(LOWER(Data!A474),LOWER(DataAll!$AS$2:$AS$555),0))</f>
        <v>6.96</v>
      </c>
      <c r="P474" cm="1">
        <f t="array" ref="P474">INDEX(DataAll!$AU$2:$AU$555,MATCH(LOWER(Data!A474),LOWER(DataAll!$AS$2:$AS$555),0))</f>
        <v>7.47</v>
      </c>
      <c r="Q474" cm="1">
        <f t="array" ref="Q474">INDEX(DataAll!$AX$2:$AX$556,MATCH(LOWER(Data!A474),LOWER(DataAll!$AW$2:$AW$556),0))</f>
        <v>26.11</v>
      </c>
      <c r="R474" cm="1">
        <f t="array" ref="R474">INDEX('Longitude and Latitude'!$B$2:$B$579,MATCH(LOWER(Data!A474),LOWER('Longitude and Latitude'!$A$2:$A$579),0))</f>
        <v>0.92526470000000005</v>
      </c>
      <c r="S474" cm="1">
        <f t="array" ref="S474">INDEX('Longitude and Latitude'!$C$2:$C$579,MATCH(LOWER(Data!A474),LOWER('Longitude and Latitude'!$A$2:$A$579),0))</f>
        <v>122.49200879999999</v>
      </c>
      <c r="T474" t="b">
        <f>IF(EXACT(A474, UPPER(A474)), TRUE, FALSE)</f>
        <v>0</v>
      </c>
    </row>
    <row r="475" spans="1:20" x14ac:dyDescent="0.35">
      <c r="A475" t="s">
        <v>471</v>
      </c>
      <c r="B475">
        <v>87.74</v>
      </c>
      <c r="C475" cm="1">
        <f t="array" ref="C475">INDEX(DataAll!$E$2:$E$555,MATCH(LOWER(Data!A475),LOWER(DataAll!$D$2:$D$555),0))</f>
        <v>72.150000000000006</v>
      </c>
      <c r="D475" cm="1">
        <f t="array" ref="D475">INDEX(DataAll!$H$2:$H$579,MATCH(LOWER(Data!A475),LOWER(DataAll!$G$2:$G$555),0))</f>
        <v>0.36299999999999999</v>
      </c>
      <c r="E475" cm="1">
        <f t="array" ref="E475">INDEX(DataAll!$K$2:$K$579,MATCH(LOWER(Data!A475),LOWER(DataAll!$J$2:$J$555),0))</f>
        <v>24</v>
      </c>
      <c r="F475" cm="1">
        <f t="array" ref="F475">INDEX(DataAll!$N$2:$N$555,MATCH(LOWER(Data!A475),LOWER(DataAll!$M$2:$M$555),0))</f>
        <v>55.95</v>
      </c>
      <c r="G475" cm="1">
        <f t="array" ref="G475">INDEX(DataAll!$Q$2:$Q$555,MATCH(LOWER(Data!A475),LOWER(DataAll!$P$2:$P$555),0))</f>
        <v>10.84</v>
      </c>
      <c r="H475" cm="1">
        <f t="array" ref="H475">INDEX(DataAll!$T$2:$T$555,MATCH(LOWER(Data!A475),LOWER(DataAll!$S$2:$S$555),0))</f>
        <v>0.20899999999999999</v>
      </c>
      <c r="I475" cm="1">
        <f t="array" ref="I475">INDEX(DataAll!$W$2:$W$555,MATCH(LOWER(Data!A475),LOWER(DataAll!$V$2:$V$555),0))</f>
        <v>30.84</v>
      </c>
      <c r="J475" cm="1">
        <f t="array" ref="J475">INDEX(DataAll!$Z$2:$Z$555,MATCH(LOWER(Data!A475),LOWER(DataAll!$Y$2:$Y$555),0))</f>
        <v>2.17</v>
      </c>
      <c r="K475" cm="1">
        <f t="array" ref="K475">INDEX(DataAll!$AM$2:$AM$555,MATCH(LOWER(Data!A475),LOWER(DataAll!$AL$2:$AL$555),0))</f>
        <v>5.64</v>
      </c>
      <c r="L475" cm="1">
        <f t="array" ref="L475">INDEX(DataAll!$AJ$2:$AJ$555,MATCH(LOWER(Data!A475),LOWER(DataAll!$AI$2:$AI$555),0))</f>
        <v>25.83</v>
      </c>
      <c r="M475" cm="1">
        <f t="array" ref="M475">INDEX(DataAll!$AP$2:$AP$555,MATCH(LOWER(Data!A475),LOWER(DataAll!$AO$2:$AO$555),0))</f>
        <v>71.17</v>
      </c>
      <c r="N475" cm="1">
        <f t="array" ref="N475">INDEX(DataAll!$AQ$2:$AQ$555,MATCH(LOWER(Data!A475),LOWER(DataAll!$AO$2:$AO$555),0))</f>
        <v>75.430000000000007</v>
      </c>
      <c r="O475" cm="1">
        <f t="array" ref="O475">INDEX(DataAll!$AT$2:$AT$555,MATCH(LOWER(Data!A475),LOWER(DataAll!$AS$2:$AS$555),0))</f>
        <v>10.35</v>
      </c>
      <c r="P475" cm="1">
        <f t="array" ref="P475">INDEX(DataAll!$AU$2:$AU$555,MATCH(LOWER(Data!A475),LOWER(DataAll!$AS$2:$AS$555),0))</f>
        <v>10.6</v>
      </c>
      <c r="Q475" cm="1">
        <f t="array" ref="Q475">INDEX(DataAll!$AX$2:$AX$556,MATCH(LOWER(Data!A475),LOWER(DataAll!$AW$2:$AW$556),0))</f>
        <v>48.21</v>
      </c>
      <c r="R475" cm="1">
        <f t="array" ref="R475">INDEX('Longitude and Latitude'!$B$2:$B$579,MATCH(LOWER(Data!A475),LOWER('Longitude and Latitude'!$A$2:$A$579),0))</f>
        <v>0.53333330000000001</v>
      </c>
      <c r="S475" cm="1">
        <f t="array" ref="S475">INDEX('Longitude and Latitude'!$C$2:$C$579,MATCH(LOWER(Data!A475),LOWER('Longitude and Latitude'!$A$2:$A$579),0))</f>
        <v>123.0666667</v>
      </c>
      <c r="T475" t="b">
        <f>IF(EXACT(A475, UPPER(A475)), TRUE, FALSE)</f>
        <v>0</v>
      </c>
    </row>
    <row r="476" spans="1:20" x14ac:dyDescent="0.35">
      <c r="A476" t="s">
        <v>472</v>
      </c>
      <c r="B476">
        <v>90.25</v>
      </c>
      <c r="C476" cm="1">
        <f t="array" ref="C476">INDEX(DataAll!$E$2:$E$555,MATCH(LOWER(Data!A476),LOWER(DataAll!$D$2:$D$555),0))</f>
        <v>66.930000000000007</v>
      </c>
      <c r="D476" cm="1">
        <f t="array" ref="D476">INDEX(DataAll!$H$2:$H$579,MATCH(LOWER(Data!A476),LOWER(DataAll!$G$2:$G$555),0))</f>
        <v>0.49399999999999999</v>
      </c>
      <c r="E476" cm="1">
        <f t="array" ref="E476">INDEX(DataAll!$K$2:$K$579,MATCH(LOWER(Data!A476),LOWER(DataAll!$J$2:$J$555),0))</f>
        <v>11.11</v>
      </c>
      <c r="F476" cm="1">
        <f t="array" ref="F476">INDEX(DataAll!$N$2:$N$555,MATCH(LOWER(Data!A476),LOWER(DataAll!$M$2:$M$555),0))</f>
        <v>50.9</v>
      </c>
      <c r="G476" t="e" cm="1">
        <f t="array" ref="G476">INDEX(DataAll!$Q$2:$Q$555,MATCH(LOWER(Data!A476),LOWER(DataAll!$P$2:$P$555),0))</f>
        <v>#N/A</v>
      </c>
      <c r="H476" cm="1">
        <f t="array" ref="H476">INDEX(DataAll!$T$2:$T$555,MATCH(LOWER(Data!A476),LOWER(DataAll!$S$2:$S$555),0))</f>
        <v>0.32900000000000001</v>
      </c>
      <c r="I476" cm="1">
        <f t="array" ref="I476">INDEX(DataAll!$W$2:$W$555,MATCH(LOWER(Data!A476),LOWER(DataAll!$V$2:$V$555),0))</f>
        <v>37.299999999999997</v>
      </c>
      <c r="J476" cm="1">
        <f t="array" ref="J476">INDEX(DataAll!$Z$2:$Z$555,MATCH(LOWER(Data!A476),LOWER(DataAll!$Y$2:$Y$555),0))</f>
        <v>2.58</v>
      </c>
      <c r="K476" cm="1">
        <f t="array" ref="K476">INDEX(DataAll!$AM$2:$AM$555,MATCH(LOWER(Data!A476),LOWER(DataAll!$AL$2:$AL$555),0))</f>
        <v>11.49</v>
      </c>
      <c r="L476" cm="1">
        <f t="array" ref="L476">INDEX(DataAll!$AJ$2:$AJ$555,MATCH(LOWER(Data!A476),LOWER(DataAll!$AI$2:$AI$555),0))</f>
        <v>35.49</v>
      </c>
      <c r="M476" cm="1">
        <f t="array" ref="M476">INDEX(DataAll!$AP$2:$AP$555,MATCH(LOWER(Data!A476),LOWER(DataAll!$AO$2:$AO$555),0))</f>
        <v>64.11</v>
      </c>
      <c r="N476" cm="1">
        <f t="array" ref="N476">INDEX(DataAll!$AQ$2:$AQ$555,MATCH(LOWER(Data!A476),LOWER(DataAll!$AO$2:$AO$555),0))</f>
        <v>68</v>
      </c>
      <c r="O476" cm="1">
        <f t="array" ref="O476">INDEX(DataAll!$AT$2:$AT$555,MATCH(LOWER(Data!A476),LOWER(DataAll!$AS$2:$AS$555),0))</f>
        <v>8.36</v>
      </c>
      <c r="P476" cm="1">
        <f t="array" ref="P476">INDEX(DataAll!$AU$2:$AU$555,MATCH(LOWER(Data!A476),LOWER(DataAll!$AS$2:$AS$555),0))</f>
        <v>7.92</v>
      </c>
      <c r="Q476" cm="1">
        <f t="array" ref="Q476">INDEX(DataAll!$AX$2:$AX$556,MATCH(LOWER(Data!A476),LOWER(DataAll!$AW$2:$AW$556),0))</f>
        <v>34.369999999999997</v>
      </c>
      <c r="R476" cm="1">
        <f t="array" ref="R476">INDEX('Longitude and Latitude'!$B$2:$B$579,MATCH(LOWER(Data!A476),LOWER('Longitude and Latitude'!$A$2:$A$579),0))</f>
        <v>-2.8441371000000002</v>
      </c>
      <c r="S476" cm="1">
        <f t="array" ref="S476">INDEX('Longitude and Latitude'!$C$2:$C$579,MATCH(LOWER(Data!A476),LOWER('Longitude and Latitude'!$A$2:$A$579),0))</f>
        <v>119.23207840000001</v>
      </c>
      <c r="T476" t="b">
        <f>IF(EXACT(A476, UPPER(A476)), TRUE, FALSE)</f>
        <v>1</v>
      </c>
    </row>
    <row r="477" spans="1:20" x14ac:dyDescent="0.35">
      <c r="A477" t="s">
        <v>473</v>
      </c>
      <c r="B477">
        <v>94.68</v>
      </c>
      <c r="C477" cm="1">
        <f t="array" ref="C477">INDEX(DataAll!$E$2:$E$555,MATCH(LOWER(Data!A477),LOWER(DataAll!$D$2:$D$555),0))</f>
        <v>76.28</v>
      </c>
      <c r="D477" cm="1">
        <f t="array" ref="D477">INDEX(DataAll!$H$2:$H$579,MATCH(LOWER(Data!A477),LOWER(DataAll!$G$2:$G$555),0))</f>
        <v>0.41499999999999998</v>
      </c>
      <c r="E477" cm="1">
        <f t="array" ref="E477">INDEX(DataAll!$K$2:$K$579,MATCH(LOWER(Data!A477),LOWER(DataAll!$J$2:$J$555),0))</f>
        <v>20</v>
      </c>
      <c r="F477" cm="1">
        <f t="array" ref="F477">INDEX(DataAll!$N$2:$N$555,MATCH(LOWER(Data!A477),LOWER(DataAll!$M$2:$M$555),0))</f>
        <v>55.4</v>
      </c>
      <c r="G477" cm="1">
        <f t="array" ref="G477">INDEX(DataAll!$Q$2:$Q$555,MATCH(LOWER(Data!A477),LOWER(DataAll!$P$2:$P$555),0))</f>
        <v>6.66</v>
      </c>
      <c r="H477" cm="1">
        <f t="array" ref="H477">INDEX(DataAll!$T$2:$T$555,MATCH(LOWER(Data!A477),LOWER(DataAll!$S$2:$S$555),0))</f>
        <v>0.24299999999999999</v>
      </c>
      <c r="I477" cm="1">
        <f t="array" ref="I477">INDEX(DataAll!$W$2:$W$555,MATCH(LOWER(Data!A477),LOWER(DataAll!$V$2:$V$555),0))</f>
        <v>41.15</v>
      </c>
      <c r="J477" cm="1">
        <f t="array" ref="J477">INDEX(DataAll!$Z$2:$Z$555,MATCH(LOWER(Data!A477),LOWER(DataAll!$Y$2:$Y$555),0))</f>
        <v>2.65</v>
      </c>
      <c r="K477" cm="1">
        <f t="array" ref="K477">INDEX(DataAll!$AM$2:$AM$555,MATCH(LOWER(Data!A477),LOWER(DataAll!$AL$2:$AL$555),0))</f>
        <v>14.54</v>
      </c>
      <c r="L477" cm="1">
        <f t="array" ref="L477">INDEX(DataAll!$AJ$2:$AJ$555,MATCH(LOWER(Data!A477),LOWER(DataAll!$AI$2:$AI$555),0))</f>
        <v>40.11</v>
      </c>
      <c r="M477" cm="1">
        <f t="array" ref="M477">INDEX(DataAll!$AP$2:$AP$555,MATCH(LOWER(Data!A477),LOWER(DataAll!$AO$2:$AO$555),0))</f>
        <v>60.73</v>
      </c>
      <c r="N477" cm="1">
        <f t="array" ref="N477">INDEX(DataAll!$AQ$2:$AQ$555,MATCH(LOWER(Data!A477),LOWER(DataAll!$AO$2:$AO$555),0))</f>
        <v>64.48</v>
      </c>
      <c r="O477" cm="1">
        <f t="array" ref="O477">INDEX(DataAll!$AT$2:$AT$555,MATCH(LOWER(Data!A477),LOWER(DataAll!$AS$2:$AS$555),0))</f>
        <v>9.58</v>
      </c>
      <c r="P477" cm="1">
        <f t="array" ref="P477">INDEX(DataAll!$AU$2:$AU$555,MATCH(LOWER(Data!A477),LOWER(DataAll!$AS$2:$AS$555),0))</f>
        <v>9.0399999999999991</v>
      </c>
      <c r="Q477" cm="1">
        <f t="array" ref="Q477">INDEX(DataAll!$AX$2:$AX$556,MATCH(LOWER(Data!A477),LOWER(DataAll!$AW$2:$AW$556),0))</f>
        <v>42.63</v>
      </c>
      <c r="R477" cm="1">
        <f t="array" ref="R477">INDEX('Longitude and Latitude'!$B$2:$B$579,MATCH(LOWER(Data!A477),LOWER('Longitude and Latitude'!$A$2:$A$579),0))</f>
        <v>-3.0297250999999998</v>
      </c>
      <c r="S477" cm="1">
        <f t="array" ref="S477">INDEX('Longitude and Latitude'!$C$2:$C$579,MATCH(LOWER(Data!A477),LOWER('Longitude and Latitude'!$A$2:$A$579),0))</f>
        <v>118.9062794</v>
      </c>
      <c r="T477" t="b">
        <f>IF(EXACT(A477, UPPER(A477)), TRUE, FALSE)</f>
        <v>0</v>
      </c>
    </row>
    <row r="478" spans="1:20" x14ac:dyDescent="0.35">
      <c r="A478" t="s">
        <v>474</v>
      </c>
      <c r="B478">
        <v>92.14</v>
      </c>
      <c r="C478" cm="1">
        <f t="array" ref="C478">INDEX(DataAll!$E$2:$E$555,MATCH(LOWER(Data!A478),LOWER(DataAll!$D$2:$D$555),0))</f>
        <v>74.87</v>
      </c>
      <c r="D478" cm="1">
        <f t="array" ref="D478">INDEX(DataAll!$H$2:$H$579,MATCH(LOWER(Data!A478),LOWER(DataAll!$G$2:$G$555),0))</f>
        <v>0.43</v>
      </c>
      <c r="E478" cm="1">
        <f t="array" ref="E478">INDEX(DataAll!$K$2:$K$579,MATCH(LOWER(Data!A478),LOWER(DataAll!$J$2:$J$555),0))</f>
        <v>20</v>
      </c>
      <c r="F478" cm="1">
        <f t="array" ref="F478">INDEX(DataAll!$N$2:$N$555,MATCH(LOWER(Data!A478),LOWER(DataAll!$M$2:$M$555),0))</f>
        <v>47.49</v>
      </c>
      <c r="G478" cm="1">
        <f t="array" ref="G478">INDEX(DataAll!$Q$2:$Q$555,MATCH(LOWER(Data!A478),LOWER(DataAll!$P$2:$P$555),0))</f>
        <v>8.65</v>
      </c>
      <c r="H478" cm="1">
        <f t="array" ref="H478">INDEX(DataAll!$T$2:$T$555,MATCH(LOWER(Data!A478),LOWER(DataAll!$S$2:$S$555),0))</f>
        <v>0.32</v>
      </c>
      <c r="I478" cm="1">
        <f t="array" ref="I478">INDEX(DataAll!$W$2:$W$555,MATCH(LOWER(Data!A478),LOWER(DataAll!$V$2:$V$555),0))</f>
        <v>38.119999999999997</v>
      </c>
      <c r="J478" cm="1">
        <f t="array" ref="J478">INDEX(DataAll!$Z$2:$Z$555,MATCH(LOWER(Data!A478),LOWER(DataAll!$Y$2:$Y$555),0))</f>
        <v>2.52</v>
      </c>
      <c r="K478" cm="1">
        <f t="array" ref="K478">INDEX(DataAll!$AM$2:$AM$555,MATCH(LOWER(Data!A478),LOWER(DataAll!$AL$2:$AL$555),0))</f>
        <v>16.079999999999998</v>
      </c>
      <c r="L478" cm="1">
        <f t="array" ref="L478">INDEX(DataAll!$AJ$2:$AJ$555,MATCH(LOWER(Data!A478),LOWER(DataAll!$AI$2:$AI$555),0))</f>
        <v>34.85</v>
      </c>
      <c r="M478" cm="1">
        <f t="array" ref="M478">INDEX(DataAll!$AP$2:$AP$555,MATCH(LOWER(Data!A478),LOWER(DataAll!$AO$2:$AO$555),0))</f>
        <v>61.35</v>
      </c>
      <c r="N478" cm="1">
        <f t="array" ref="N478">INDEX(DataAll!$AQ$2:$AQ$555,MATCH(LOWER(Data!A478),LOWER(DataAll!$AO$2:$AO$555),0))</f>
        <v>65.13</v>
      </c>
      <c r="O478" cm="1">
        <f t="array" ref="O478">INDEX(DataAll!$AT$2:$AT$555,MATCH(LOWER(Data!A478),LOWER(DataAll!$AS$2:$AS$555),0))</f>
        <v>8.0500000000000007</v>
      </c>
      <c r="P478" cm="1">
        <f t="array" ref="P478">INDEX(DataAll!$AU$2:$AU$555,MATCH(LOWER(Data!A478),LOWER(DataAll!$AS$2:$AS$555),0))</f>
        <v>7.4</v>
      </c>
      <c r="Q478" cm="1">
        <f t="array" ref="Q478">INDEX(DataAll!$AX$2:$AX$556,MATCH(LOWER(Data!A478),LOWER(DataAll!$AW$2:$AW$556),0))</f>
        <v>31.78</v>
      </c>
      <c r="R478" cm="1">
        <f t="array" ref="R478">INDEX('Longitude and Latitude'!$B$2:$B$579,MATCH(LOWER(Data!A478),LOWER('Longitude and Latitude'!$A$2:$A$579),0))</f>
        <v>-3.3419322999999999</v>
      </c>
      <c r="S478" cm="1">
        <f t="array" ref="S478">INDEX('Longitude and Latitude'!$C$2:$C$579,MATCH(LOWER(Data!A478),LOWER('Longitude and Latitude'!$A$2:$A$579),0))</f>
        <v>119.13906420000001</v>
      </c>
      <c r="T478" t="b">
        <f>IF(EXACT(A478, UPPER(A478)), TRUE, FALSE)</f>
        <v>0</v>
      </c>
    </row>
    <row r="479" spans="1:20" x14ac:dyDescent="0.35">
      <c r="A479" t="s">
        <v>475</v>
      </c>
      <c r="B479">
        <v>98.42</v>
      </c>
      <c r="C479" cm="1">
        <f t="array" ref="C479">INDEX(DataAll!$E$2:$E$555,MATCH(LOWER(Data!A479),LOWER(DataAll!$D$2:$D$555),0))</f>
        <v>60.95</v>
      </c>
      <c r="D479" cm="1">
        <f t="array" ref="D479">INDEX(DataAll!$H$2:$H$579,MATCH(LOWER(Data!A479),LOWER(DataAll!$G$2:$G$555),0))</f>
        <v>0.48799999999999999</v>
      </c>
      <c r="E479" cm="1">
        <f t="array" ref="E479">INDEX(DataAll!$K$2:$K$579,MATCH(LOWER(Data!A479),LOWER(DataAll!$J$2:$J$555),0))</f>
        <v>13.33</v>
      </c>
      <c r="F479" cm="1">
        <f t="array" ref="F479">INDEX(DataAll!$N$2:$N$555,MATCH(LOWER(Data!A479),LOWER(DataAll!$M$2:$M$555),0))</f>
        <v>50.53</v>
      </c>
      <c r="G479" cm="1">
        <f t="array" ref="G479">INDEX(DataAll!$Q$2:$Q$555,MATCH(LOWER(Data!A479),LOWER(DataAll!$P$2:$P$555),0))</f>
        <v>14.95</v>
      </c>
      <c r="H479" cm="1">
        <f t="array" ref="H479">INDEX(DataAll!$T$2:$T$555,MATCH(LOWER(Data!A479),LOWER(DataAll!$S$2:$S$555),0))</f>
        <v>0.28100000000000003</v>
      </c>
      <c r="I479" cm="1">
        <f t="array" ref="I479">INDEX(DataAll!$W$2:$W$555,MATCH(LOWER(Data!A479),LOWER(DataAll!$V$2:$V$555),0))</f>
        <v>26.67</v>
      </c>
      <c r="J479" cm="1">
        <f t="array" ref="J479">INDEX(DataAll!$Z$2:$Z$555,MATCH(LOWER(Data!A479),LOWER(DataAll!$Y$2:$Y$555),0))</f>
        <v>2.6</v>
      </c>
      <c r="K479" cm="1">
        <f t="array" ref="K479">INDEX(DataAll!$AM$2:$AM$555,MATCH(LOWER(Data!A479),LOWER(DataAll!$AL$2:$AL$555),0))</f>
        <v>14.31</v>
      </c>
      <c r="L479" cm="1">
        <f t="array" ref="L479">INDEX(DataAll!$AJ$2:$AJ$555,MATCH(LOWER(Data!A479),LOWER(DataAll!$AI$2:$AI$555),0))</f>
        <v>27.26</v>
      </c>
      <c r="M479" cm="1">
        <f t="array" ref="M479">INDEX(DataAll!$AP$2:$AP$555,MATCH(LOWER(Data!A479),LOWER(DataAll!$AO$2:$AO$555),0))</f>
        <v>69.52</v>
      </c>
      <c r="N479" cm="1">
        <f t="array" ref="N479">INDEX(DataAll!$AQ$2:$AQ$555,MATCH(LOWER(Data!A479),LOWER(DataAll!$AO$2:$AO$555),0))</f>
        <v>73.489999999999995</v>
      </c>
      <c r="O479" cm="1">
        <f t="array" ref="O479">INDEX(DataAll!$AT$2:$AT$555,MATCH(LOWER(Data!A479),LOWER(DataAll!$AS$2:$AS$555),0))</f>
        <v>8.36</v>
      </c>
      <c r="P479" cm="1">
        <f t="array" ref="P479">INDEX(DataAll!$AU$2:$AU$555,MATCH(LOWER(Data!A479),LOWER(DataAll!$AS$2:$AS$555),0))</f>
        <v>8.09</v>
      </c>
      <c r="Q479" cm="1">
        <f t="array" ref="Q479">INDEX(DataAll!$AX$2:$AX$556,MATCH(LOWER(Data!A479),LOWER(DataAll!$AW$2:$AW$556),0))</f>
        <v>40.380000000000003</v>
      </c>
      <c r="R479" cm="1">
        <f t="array" ref="R479">INDEX('Longitude and Latitude'!$B$2:$B$579,MATCH(LOWER(Data!A479),LOWER('Longitude and Latitude'!$A$2:$A$579),0))</f>
        <v>-2.9601350000000002</v>
      </c>
      <c r="S479" cm="1">
        <f t="array" ref="S479">INDEX('Longitude and Latitude'!$C$2:$C$579,MATCH(LOWER(Data!A479),LOWER('Longitude and Latitude'!$A$2:$A$579),0))</f>
        <v>119.368202</v>
      </c>
      <c r="T479" t="b">
        <f>IF(EXACT(A479, UPPER(A479)), TRUE, FALSE)</f>
        <v>0</v>
      </c>
    </row>
    <row r="480" spans="1:20" x14ac:dyDescent="0.35">
      <c r="A480" t="s">
        <v>476</v>
      </c>
      <c r="B480">
        <v>90.57</v>
      </c>
      <c r="C480" cm="1">
        <f t="array" ref="C480">INDEX(DataAll!$E$2:$E$555,MATCH(LOWER(Data!A480),LOWER(DataAll!$D$2:$D$555),0))</f>
        <v>60.96</v>
      </c>
      <c r="D480" cm="1">
        <f t="array" ref="D480">INDEX(DataAll!$H$2:$H$579,MATCH(LOWER(Data!A480),LOWER(DataAll!$G$2:$G$555),0))</f>
        <v>0.54600000000000004</v>
      </c>
      <c r="E480" cm="1">
        <f t="array" ref="E480">INDEX(DataAll!$K$2:$K$579,MATCH(LOWER(Data!A480),LOWER(DataAll!$J$2:$J$555),0))</f>
        <v>10</v>
      </c>
      <c r="F480" cm="1">
        <f t="array" ref="F480">INDEX(DataAll!$N$2:$N$555,MATCH(LOWER(Data!A480),LOWER(DataAll!$M$2:$M$555),0))</f>
        <v>49.29</v>
      </c>
      <c r="G480" cm="1">
        <f t="array" ref="G480">INDEX(DataAll!$Q$2:$Q$555,MATCH(LOWER(Data!A480),LOWER(DataAll!$P$2:$P$555),0))</f>
        <v>7.35</v>
      </c>
      <c r="H480" cm="1">
        <f t="array" ref="H480">INDEX(DataAll!$T$2:$T$555,MATCH(LOWER(Data!A480),LOWER(DataAll!$S$2:$S$555),0))</f>
        <v>0.33600000000000002</v>
      </c>
      <c r="I480" cm="1">
        <f t="array" ref="I480">INDEX(DataAll!$W$2:$W$555,MATCH(LOWER(Data!A480),LOWER(DataAll!$V$2:$V$555),0))</f>
        <v>30.17</v>
      </c>
      <c r="J480" cm="1">
        <f t="array" ref="J480">INDEX(DataAll!$Z$2:$Z$555,MATCH(LOWER(Data!A480),LOWER(DataAll!$Y$2:$Y$555),0))</f>
        <v>2.57</v>
      </c>
      <c r="K480" cm="1">
        <f t="array" ref="K480">INDEX(DataAll!$AM$2:$AM$555,MATCH(LOWER(Data!A480),LOWER(DataAll!$AL$2:$AL$555),0))</f>
        <v>7.57</v>
      </c>
      <c r="L480" cm="1">
        <f t="array" ref="L480">INDEX(DataAll!$AJ$2:$AJ$555,MATCH(LOWER(Data!A480),LOWER(DataAll!$AI$2:$AI$555),0))</f>
        <v>31.43</v>
      </c>
      <c r="M480" cm="1">
        <f t="array" ref="M480">INDEX(DataAll!$AP$2:$AP$555,MATCH(LOWER(Data!A480),LOWER(DataAll!$AO$2:$AO$555),0))</f>
        <v>66.73</v>
      </c>
      <c r="N480" cm="1">
        <f t="array" ref="N480">INDEX(DataAll!$AQ$2:$AQ$555,MATCH(LOWER(Data!A480),LOWER(DataAll!$AO$2:$AO$555),0))</f>
        <v>70.7</v>
      </c>
      <c r="O480" cm="1">
        <f t="array" ref="O480">INDEX(DataAll!$AT$2:$AT$555,MATCH(LOWER(Data!A480),LOWER(DataAll!$AS$2:$AS$555),0))</f>
        <v>8.7200000000000006</v>
      </c>
      <c r="P480" cm="1">
        <f t="array" ref="P480">INDEX(DataAll!$AU$2:$AU$555,MATCH(LOWER(Data!A480),LOWER(DataAll!$AS$2:$AS$555),0))</f>
        <v>7.88</v>
      </c>
      <c r="Q480" cm="1">
        <f t="array" ref="Q480">INDEX(DataAll!$AX$2:$AX$556,MATCH(LOWER(Data!A480),LOWER(DataAll!$AW$2:$AW$556),0))</f>
        <v>33.29</v>
      </c>
      <c r="R480" cm="1">
        <f t="array" ref="R480">INDEX('Longitude and Latitude'!$B$2:$B$579,MATCH(LOWER(Data!A480),LOWER('Longitude and Latitude'!$A$2:$A$579),0))</f>
        <v>-2.7293364000000002</v>
      </c>
      <c r="S480" cm="1">
        <f t="array" ref="S480">INDEX('Longitude and Latitude'!$C$2:$C$579,MATCH(LOWER(Data!A480),LOWER('Longitude and Latitude'!$A$2:$A$579),0))</f>
        <v>118.92957370000001</v>
      </c>
      <c r="T480" t="b">
        <f>IF(EXACT(A480, UPPER(A480)), TRUE, FALSE)</f>
        <v>0</v>
      </c>
    </row>
    <row r="481" spans="1:20" x14ac:dyDescent="0.35">
      <c r="A481" t="s">
        <v>1064</v>
      </c>
      <c r="B481">
        <v>85.72</v>
      </c>
      <c r="C481" cm="1">
        <f t="array" ref="C481">INDEX(DataAll!$E$2:$E$555,MATCH(LOWER(Data!A481),LOWER(DataAll!$D$2:$D$555),0))</f>
        <v>57.17</v>
      </c>
      <c r="D481" cm="1">
        <f t="array" ref="D481">INDEX(DataAll!$H$2:$H$579,MATCH(LOWER(Data!A481),LOWER(DataAll!$G$2:$G$555),0))</f>
        <v>0.47399999999999998</v>
      </c>
      <c r="E481" cm="1">
        <f t="array" ref="E481">INDEX(DataAll!$K$2:$K$579,MATCH(LOWER(Data!A481),LOWER(DataAll!$J$2:$J$555),0))</f>
        <v>16.670000000000002</v>
      </c>
      <c r="F481" cm="1">
        <f t="array" ref="F481">INDEX(DataAll!$N$2:$N$555,MATCH(LOWER(Data!A481),LOWER(DataAll!$M$2:$M$555),0))</f>
        <v>56.38</v>
      </c>
      <c r="G481" cm="1">
        <f t="array" ref="G481">INDEX(DataAll!$Q$2:$Q$555,MATCH(LOWER(Data!A481),LOWER(DataAll!$P$2:$P$555),0))</f>
        <v>5.48</v>
      </c>
      <c r="H481" cm="1">
        <f t="array" ref="H481">INDEX(DataAll!$T$2:$T$555,MATCH(LOWER(Data!A481),LOWER(DataAll!$S$2:$S$555),0))</f>
        <v>0.39100000000000001</v>
      </c>
      <c r="I481" cm="1">
        <f t="array" ref="I481">INDEX(DataAll!$W$2:$W$555,MATCH(LOWER(Data!A481),LOWER(DataAll!$V$2:$V$555),0))</f>
        <v>19.41</v>
      </c>
      <c r="J481" t="e" cm="1">
        <f t="array" ref="J481">INDEX(DataAll!$Z$2:$Z$555,MATCH(LOWER(Data!A481),LOWER(DataAll!$Y$2:$Y$555),0))</f>
        <v>#N/A</v>
      </c>
      <c r="K481" cm="1">
        <f t="array" ref="K481">INDEX(DataAll!$AM$2:$AM$555,MATCH(LOWER(Data!A481),LOWER(DataAll!$AL$2:$AL$555),0))</f>
        <v>4.79</v>
      </c>
      <c r="L481" cm="1">
        <f t="array" ref="L481">INDEX(DataAll!$AJ$2:$AJ$555,MATCH(LOWER(Data!A481),LOWER(DataAll!$AI$2:$AI$555),0))</f>
        <v>40.11</v>
      </c>
      <c r="M481" cm="1">
        <f t="array" ref="M481">INDEX(DataAll!$AP$2:$AP$555,MATCH(LOWER(Data!A481),LOWER(DataAll!$AO$2:$AO$555),0))</f>
        <v>65.400000000000006</v>
      </c>
      <c r="N481" cm="1">
        <f t="array" ref="N481">INDEX(DataAll!$AQ$2:$AQ$555,MATCH(LOWER(Data!A481),LOWER(DataAll!$AO$2:$AO$555),0))</f>
        <v>69.36</v>
      </c>
      <c r="O481" cm="1">
        <f t="array" ref="O481">INDEX(DataAll!$AT$2:$AT$555,MATCH(LOWER(Data!A481),LOWER(DataAll!$AS$2:$AS$555),0))</f>
        <v>8.3699999999999992</v>
      </c>
      <c r="P481" cm="1">
        <f t="array" ref="P481">INDEX(DataAll!$AU$2:$AU$555,MATCH(LOWER(Data!A481),LOWER(DataAll!$AS$2:$AS$555),0))</f>
        <v>8.1199999999999992</v>
      </c>
      <c r="Q481" cm="1">
        <f t="array" ref="Q481">INDEX(DataAll!$AX$2:$AX$556,MATCH(LOWER(Data!A481),LOWER(DataAll!$AW$2:$AW$556),0))</f>
        <v>34.11</v>
      </c>
      <c r="R481" cm="1">
        <f t="array" ref="R481">INDEX('Longitude and Latitude'!$B$2:$B$579,MATCH(LOWER(Data!A481),LOWER('Longitude and Latitude'!$A$2:$A$579),0))</f>
        <v>-1.5264542000000001</v>
      </c>
      <c r="S481" cm="1">
        <f t="array" ref="S481">INDEX('Longitude and Latitude'!$C$2:$C$579,MATCH(LOWER(Data!A481),LOWER('Longitude and Latitude'!$A$2:$A$579),0))</f>
        <v>119.5107708</v>
      </c>
      <c r="T481" t="b">
        <f>IF(EXACT(A481, UPPER(A481)), TRUE, FALSE)</f>
        <v>0</v>
      </c>
    </row>
    <row r="482" spans="1:20" x14ac:dyDescent="0.35">
      <c r="A482" t="s">
        <v>477</v>
      </c>
      <c r="B482">
        <v>86.4</v>
      </c>
      <c r="C482" cm="1">
        <f t="array" ref="C482">INDEX(DataAll!$E$2:$E$555,MATCH(LOWER(Data!A482),LOWER(DataAll!$D$2:$D$555),0))</f>
        <v>57.26</v>
      </c>
      <c r="D482" cm="1">
        <f t="array" ref="D482">INDEX(DataAll!$H$2:$H$579,MATCH(LOWER(Data!A482),LOWER(DataAll!$G$2:$G$555),0))</f>
        <v>0.49099999999999999</v>
      </c>
      <c r="E482" cm="1">
        <f t="array" ref="E482">INDEX(DataAll!$K$2:$K$579,MATCH(LOWER(Data!A482),LOWER(DataAll!$J$2:$J$555),0))</f>
        <v>12</v>
      </c>
      <c r="F482" cm="1">
        <f t="array" ref="F482">INDEX(DataAll!$N$2:$N$555,MATCH(LOWER(Data!A482),LOWER(DataAll!$M$2:$M$555),0))</f>
        <v>51.31</v>
      </c>
      <c r="G482" cm="1">
        <f t="array" ref="G482">INDEX(DataAll!$Q$2:$Q$555,MATCH(LOWER(Data!A482),LOWER(DataAll!$P$2:$P$555),0))</f>
        <v>7.4</v>
      </c>
      <c r="H482" cm="1">
        <f t="array" ref="H482">INDEX(DataAll!$T$2:$T$555,MATCH(LOWER(Data!A482),LOWER(DataAll!$S$2:$S$555),0))</f>
        <v>0.38900000000000001</v>
      </c>
      <c r="I482" cm="1">
        <f t="array" ref="I482">INDEX(DataAll!$W$2:$W$555,MATCH(LOWER(Data!A482),LOWER(DataAll!$V$2:$V$555),0))</f>
        <v>22.98</v>
      </c>
      <c r="J482" cm="1">
        <f t="array" ref="J482">INDEX(DataAll!$Z$2:$Z$555,MATCH(LOWER(Data!A482),LOWER(DataAll!$Y$2:$Y$555),0))</f>
        <v>2.7</v>
      </c>
      <c r="K482" cm="1">
        <f t="array" ref="K482">INDEX(DataAll!$AM$2:$AM$555,MATCH(LOWER(Data!A482),LOWER(DataAll!$AL$2:$AL$555),0))</f>
        <v>7.32</v>
      </c>
      <c r="L482" cm="1">
        <f t="array" ref="L482">INDEX(DataAll!$AJ$2:$AJ$555,MATCH(LOWER(Data!A482),LOWER(DataAll!$AI$2:$AI$555),0))</f>
        <v>41.43</v>
      </c>
      <c r="M482" cm="1">
        <f t="array" ref="M482">INDEX(DataAll!$AP$2:$AP$555,MATCH(LOWER(Data!A482),LOWER(DataAll!$AO$2:$AO$555),0))</f>
        <v>67.44</v>
      </c>
      <c r="N482" cm="1">
        <f t="array" ref="N482">INDEX(DataAll!$AQ$2:$AQ$555,MATCH(LOWER(Data!A482),LOWER(DataAll!$AO$2:$AO$555),0))</f>
        <v>71.400000000000006</v>
      </c>
      <c r="O482" cm="1">
        <f t="array" ref="O482">INDEX(DataAll!$AT$2:$AT$555,MATCH(LOWER(Data!A482),LOWER(DataAll!$AS$2:$AS$555),0))</f>
        <v>7.97</v>
      </c>
      <c r="P482" cm="1">
        <f t="array" ref="P482">INDEX(DataAll!$AU$2:$AU$555,MATCH(LOWER(Data!A482),LOWER(DataAll!$AS$2:$AS$555),0))</f>
        <v>7.59</v>
      </c>
      <c r="Q482" cm="1">
        <f t="array" ref="Q482">INDEX(DataAll!$AX$2:$AX$556,MATCH(LOWER(Data!A482),LOWER(DataAll!$AW$2:$AW$556),0))</f>
        <v>27.8</v>
      </c>
      <c r="R482" cm="1">
        <f t="array" ref="R482">INDEX('Longitude and Latitude'!$B$2:$B$579,MATCH(LOWER(Data!A482),LOWER('Longitude and Latitude'!$A$2:$A$579),0))</f>
        <v>-2.0901049999999999</v>
      </c>
      <c r="S482" cm="1">
        <f t="array" ref="S482">INDEX('Longitude and Latitude'!$C$2:$C$579,MATCH(LOWER(Data!A482),LOWER('Longitude and Latitude'!$A$2:$A$579),0))</f>
        <v>119.488072</v>
      </c>
      <c r="T482" t="b">
        <f>IF(EXACT(A482, UPPER(A482)), TRUE, FALSE)</f>
        <v>0</v>
      </c>
    </row>
    <row r="483" spans="1:20" x14ac:dyDescent="0.35">
      <c r="A483" t="s">
        <v>478</v>
      </c>
      <c r="B483">
        <v>93.51</v>
      </c>
      <c r="C483" cm="1">
        <f t="array" ref="C483">INDEX(DataAll!$E$2:$E$555,MATCH(LOWER(Data!A483),LOWER(DataAll!$D$2:$D$555),0))</f>
        <v>78.09</v>
      </c>
      <c r="D483" cm="1">
        <f t="array" ref="D483">INDEX(DataAll!$H$2:$H$579,MATCH(LOWER(Data!A483),LOWER(DataAll!$G$2:$G$555),0))</f>
        <v>0.50900000000000001</v>
      </c>
      <c r="E483" cm="1">
        <f t="array" ref="E483">INDEX(DataAll!$K$2:$K$579,MATCH(LOWER(Data!A483),LOWER(DataAll!$J$2:$J$555),0))</f>
        <v>26.67</v>
      </c>
      <c r="F483" cm="1">
        <f t="array" ref="F483">INDEX(DataAll!$N$2:$N$555,MATCH(LOWER(Data!A483),LOWER(DataAll!$M$2:$M$555),0))</f>
        <v>52.77</v>
      </c>
      <c r="G483" t="e" cm="1">
        <f t="array" ref="G483">INDEX(DataAll!$Q$2:$Q$555,MATCH(LOWER(Data!A483),LOWER(DataAll!$P$2:$P$555),0))</f>
        <v>#N/A</v>
      </c>
      <c r="H483" cm="1">
        <f t="array" ref="H483">INDEX(DataAll!$T$2:$T$555,MATCH(LOWER(Data!A483),LOWER(DataAll!$S$2:$S$555),0))</f>
        <v>0.219</v>
      </c>
      <c r="I483" cm="1">
        <f t="array" ref="I483">INDEX(DataAll!$W$2:$W$555,MATCH(LOWER(Data!A483),LOWER(DataAll!$V$2:$V$555),0))</f>
        <v>37.06</v>
      </c>
      <c r="J483" cm="1">
        <f t="array" ref="J483">INDEX(DataAll!$Z$2:$Z$555,MATCH(LOWER(Data!A483),LOWER(DataAll!$Y$2:$Y$555),0))</f>
        <v>2.52</v>
      </c>
      <c r="K483" cm="1">
        <f t="array" ref="K483">INDEX(DataAll!$AM$2:$AM$555,MATCH(LOWER(Data!A483),LOWER(DataAll!$AL$2:$AL$555),0))</f>
        <v>16.420000000000002</v>
      </c>
      <c r="L483" cm="1">
        <f t="array" ref="L483">INDEX(DataAll!$AJ$2:$AJ$555,MATCH(LOWER(Data!A483),LOWER(DataAll!$AI$2:$AI$555),0))</f>
        <v>36.54</v>
      </c>
      <c r="M483" cm="1">
        <f t="array" ref="M483">INDEX(DataAll!$AP$2:$AP$555,MATCH(LOWER(Data!A483),LOWER(DataAll!$AO$2:$AO$555),0))</f>
        <v>64.87</v>
      </c>
      <c r="N483" cm="1">
        <f t="array" ref="N483">INDEX(DataAll!$AQ$2:$AQ$555,MATCH(LOWER(Data!A483),LOWER(DataAll!$AO$2:$AO$555),0))</f>
        <v>68.8</v>
      </c>
      <c r="O483" cm="1">
        <f t="array" ref="O483">INDEX(DataAll!$AT$2:$AT$555,MATCH(LOWER(Data!A483),LOWER(DataAll!$AS$2:$AS$555),0))</f>
        <v>10.31</v>
      </c>
      <c r="P483" cm="1">
        <f t="array" ref="P483">INDEX(DataAll!$AU$2:$AU$555,MATCH(LOWER(Data!A483),LOWER(DataAll!$AS$2:$AS$555),0))</f>
        <v>10.14</v>
      </c>
      <c r="Q483" cm="1">
        <f t="array" ref="Q483">INDEX(DataAll!$AX$2:$AX$556,MATCH(LOWER(Data!A483),LOWER(DataAll!$AW$2:$AW$556),0))</f>
        <v>47.34</v>
      </c>
      <c r="R483" cm="1">
        <f t="array" ref="R483">INDEX('Longitude and Latitude'!$B$2:$B$579,MATCH(LOWER(Data!A483),LOWER('Longitude and Latitude'!$A$2:$A$579),0))</f>
        <v>-3.2384615999999999</v>
      </c>
      <c r="S483" cm="1">
        <f t="array" ref="S483">INDEX('Longitude and Latitude'!$C$2:$C$579,MATCH(LOWER(Data!A483),LOWER('Longitude and Latitude'!$A$2:$A$579),0))</f>
        <v>130.14527340000001</v>
      </c>
      <c r="T483" t="b">
        <f>IF(EXACT(A483, UPPER(A483)), TRUE, FALSE)</f>
        <v>1</v>
      </c>
    </row>
    <row r="484" spans="1:20" x14ac:dyDescent="0.35">
      <c r="A484" t="s">
        <v>1063</v>
      </c>
      <c r="B484">
        <v>87.13</v>
      </c>
      <c r="C484" cm="1">
        <f t="array" ref="C484">INDEX(DataAll!$E$2:$E$555,MATCH(LOWER(Data!A484),LOWER(DataAll!$D$2:$D$555),0))</f>
        <v>77.959999999999994</v>
      </c>
      <c r="D484" cm="1">
        <f t="array" ref="D484">INDEX(DataAll!$H$2:$H$579,MATCH(LOWER(Data!A484),LOWER(DataAll!$G$2:$G$555),0))</f>
        <v>0.495</v>
      </c>
      <c r="E484" cm="1">
        <f t="array" ref="E484">INDEX(DataAll!$K$2:$K$579,MATCH(LOWER(Data!A484),LOWER(DataAll!$J$2:$J$555),0))</f>
        <v>24</v>
      </c>
      <c r="F484" cm="1">
        <f t="array" ref="F484">INDEX(DataAll!$N$2:$N$555,MATCH(LOWER(Data!A484),LOWER(DataAll!$M$2:$M$555),0))</f>
        <v>50.89</v>
      </c>
      <c r="G484" cm="1">
        <f t="array" ref="G484">INDEX(DataAll!$Q$2:$Q$555,MATCH(LOWER(Data!A484),LOWER(DataAll!$P$2:$P$555),0))</f>
        <v>34.049999999999997</v>
      </c>
      <c r="H484" cm="1">
        <f t="array" ref="H484">INDEX(DataAll!$T$2:$T$555,MATCH(LOWER(Data!A484),LOWER(DataAll!$S$2:$S$555),0))</f>
        <v>0.20300000000000001</v>
      </c>
      <c r="I484" cm="1">
        <f t="array" ref="I484">INDEX(DataAll!$W$2:$W$555,MATCH(LOWER(Data!A484),LOWER(DataAll!$V$2:$V$555),0))</f>
        <v>42.79</v>
      </c>
      <c r="J484" t="e" cm="1">
        <f t="array" ref="J484">INDEX(DataAll!$Z$2:$Z$555,MATCH(LOWER(Data!A484),LOWER(DataAll!$Y$2:$Y$555),0))</f>
        <v>#N/A</v>
      </c>
      <c r="K484" cm="1">
        <f t="array" ref="K484">INDEX(DataAll!$AM$2:$AM$555,MATCH(LOWER(Data!A484),LOWER(DataAll!$AL$2:$AL$555),0))</f>
        <v>24.47</v>
      </c>
      <c r="L484" t="e" cm="1">
        <f t="array" ref="L484">INDEX(DataAll!$AJ$2:$AJ$555,MATCH(LOWER(Data!A484),LOWER(DataAll!$AI$2:$AI$555),0))</f>
        <v>#N/A</v>
      </c>
      <c r="M484" t="e" cm="1">
        <f t="array" ref="M484">INDEX(DataAll!$AP$2:$AP$555,MATCH(LOWER(Data!A484),LOWER(DataAll!$AO$2:$AO$555),0))</f>
        <v>#N/A</v>
      </c>
      <c r="N484" t="e" cm="1">
        <f t="array" ref="N484">INDEX(DataAll!$AQ$2:$AQ$555,MATCH(LOWER(Data!A484),LOWER(DataAll!$AO$2:$AO$555),0))</f>
        <v>#N/A</v>
      </c>
      <c r="O484" t="e" cm="1">
        <f t="array" ref="O484">INDEX(DataAll!$AT$2:$AT$555,MATCH(LOWER(Data!A484),LOWER(DataAll!$AS$2:$AS$555),0))</f>
        <v>#N/A</v>
      </c>
      <c r="P484" t="e" cm="1">
        <f t="array" ref="P484">INDEX(DataAll!$AU$2:$AU$555,MATCH(LOWER(Data!A484),LOWER(DataAll!$AS$2:$AS$555),0))</f>
        <v>#N/A</v>
      </c>
      <c r="Q484" cm="1">
        <f t="array" ref="Q484">INDEX(DataAll!$AX$2:$AX$556,MATCH(LOWER(Data!A484),LOWER(DataAll!$AW$2:$AW$556),0))</f>
        <v>43.16</v>
      </c>
      <c r="R484" cm="1">
        <f t="array" ref="R484">INDEX('Longitude and Latitude'!$B$2:$B$579,MATCH(LOWER(Data!A484),LOWER('Longitude and Latitude'!$A$2:$A$579),0))</f>
        <v>-7.5322642000000002</v>
      </c>
      <c r="S484" cm="1">
        <f t="array" ref="S484">INDEX('Longitude and Latitude'!$C$2:$C$579,MATCH(LOWER(Data!A484),LOWER('Longitude and Latitude'!$A$2:$A$579),0))</f>
        <v>131.36111210000001</v>
      </c>
      <c r="T484" t="b">
        <f>IF(EXACT(A484, UPPER(A484)), TRUE, FALSE)</f>
        <v>0</v>
      </c>
    </row>
    <row r="485" spans="1:20" x14ac:dyDescent="0.35">
      <c r="A485" t="s">
        <v>479</v>
      </c>
      <c r="B485">
        <v>96.58</v>
      </c>
      <c r="C485" cm="1">
        <f t="array" ref="C485">INDEX(DataAll!$E$2:$E$555,MATCH(LOWER(Data!A485),LOWER(DataAll!$D$2:$D$555),0))</f>
        <v>69.41</v>
      </c>
      <c r="D485" cm="1">
        <f t="array" ref="D485">INDEX(DataAll!$H$2:$H$579,MATCH(LOWER(Data!A485),LOWER(DataAll!$G$2:$G$555),0))</f>
        <v>0.53900000000000003</v>
      </c>
      <c r="E485" cm="1">
        <f t="array" ref="E485">INDEX(DataAll!$K$2:$K$579,MATCH(LOWER(Data!A485),LOWER(DataAll!$J$2:$J$555),0))</f>
        <v>16.670000000000002</v>
      </c>
      <c r="F485" cm="1">
        <f t="array" ref="F485">INDEX(DataAll!$N$2:$N$555,MATCH(LOWER(Data!A485),LOWER(DataAll!$M$2:$M$555),0))</f>
        <v>61.49</v>
      </c>
      <c r="G485" cm="1">
        <f t="array" ref="G485">INDEX(DataAll!$Q$2:$Q$555,MATCH(LOWER(Data!A485),LOWER(DataAll!$P$2:$P$555),0))</f>
        <v>31.66</v>
      </c>
      <c r="H485" cm="1">
        <f t="array" ref="H485">INDEX(DataAll!$T$2:$T$555,MATCH(LOWER(Data!A485),LOWER(DataAll!$S$2:$S$555),0))</f>
        <v>0.222</v>
      </c>
      <c r="I485" cm="1">
        <f t="array" ref="I485">INDEX(DataAll!$W$2:$W$555,MATCH(LOWER(Data!A485),LOWER(DataAll!$V$2:$V$555),0))</f>
        <v>37.340000000000003</v>
      </c>
      <c r="J485" cm="1">
        <f t="array" ref="J485">INDEX(DataAll!$Z$2:$Z$555,MATCH(LOWER(Data!A485),LOWER(DataAll!$Y$2:$Y$555),0))</f>
        <v>2.36</v>
      </c>
      <c r="K485" cm="1">
        <f t="array" ref="K485">INDEX(DataAll!$AM$2:$AM$555,MATCH(LOWER(Data!A485),LOWER(DataAll!$AL$2:$AL$555),0))</f>
        <v>21.79</v>
      </c>
      <c r="L485" cm="1">
        <f t="array" ref="L485">INDEX(DataAll!$AJ$2:$AJ$555,MATCH(LOWER(Data!A485),LOWER(DataAll!$AI$2:$AI$555),0))</f>
        <v>34.58</v>
      </c>
      <c r="M485" cm="1">
        <f t="array" ref="M485">INDEX(DataAll!$AP$2:$AP$555,MATCH(LOWER(Data!A485),LOWER(DataAll!$AO$2:$AO$555),0))</f>
        <v>63.89</v>
      </c>
      <c r="N485" cm="1">
        <f t="array" ref="N485">INDEX(DataAll!$AQ$2:$AQ$555,MATCH(LOWER(Data!A485),LOWER(DataAll!$AO$2:$AO$555),0))</f>
        <v>67.760000000000005</v>
      </c>
      <c r="O485" cm="1">
        <f t="array" ref="O485">INDEX(DataAll!$AT$2:$AT$555,MATCH(LOWER(Data!A485),LOWER(DataAll!$AS$2:$AS$555),0))</f>
        <v>10.17</v>
      </c>
      <c r="P485" cm="1">
        <f t="array" ref="P485">INDEX(DataAll!$AU$2:$AU$555,MATCH(LOWER(Data!A485),LOWER(DataAll!$AS$2:$AS$555),0))</f>
        <v>9.75</v>
      </c>
      <c r="Q485" cm="1">
        <f t="array" ref="Q485">INDEX(DataAll!$AX$2:$AX$556,MATCH(LOWER(Data!A485),LOWER(DataAll!$AW$2:$AW$556),0))</f>
        <v>39.450000000000003</v>
      </c>
      <c r="R485" cm="1">
        <f t="array" ref="R485">INDEX('Longitude and Latitude'!$B$2:$B$579,MATCH(LOWER(Data!A485),LOWER('Longitude and Latitude'!$A$2:$A$579),0))</f>
        <v>-5.7512454999999996</v>
      </c>
      <c r="S485" cm="1">
        <f t="array" ref="S485">INDEX('Longitude and Latitude'!$C$2:$C$579,MATCH(LOWER(Data!A485),LOWER('Longitude and Latitude'!$A$2:$A$579),0))</f>
        <v>132.72715869999999</v>
      </c>
      <c r="T485" t="b">
        <f>IF(EXACT(A485, UPPER(A485)), TRUE, FALSE)</f>
        <v>0</v>
      </c>
    </row>
    <row r="486" spans="1:20" x14ac:dyDescent="0.35">
      <c r="A486" t="s">
        <v>480</v>
      </c>
      <c r="B486">
        <v>97.9</v>
      </c>
      <c r="C486" cm="1">
        <f t="array" ref="C486">INDEX(DataAll!$E$2:$E$555,MATCH(LOWER(Data!A486),LOWER(DataAll!$D$2:$D$555),0))</f>
        <v>64.95</v>
      </c>
      <c r="D486" cm="1">
        <f t="array" ref="D486">INDEX(DataAll!$H$2:$H$579,MATCH(LOWER(Data!A486),LOWER(DataAll!$G$2:$G$555),0))</f>
        <v>0.56100000000000005</v>
      </c>
      <c r="E486" cm="1">
        <f t="array" ref="E486">INDEX(DataAll!$K$2:$K$579,MATCH(LOWER(Data!A486),LOWER(DataAll!$J$2:$J$555),0))</f>
        <v>12.5</v>
      </c>
      <c r="F486" cm="1">
        <f t="array" ref="F486">INDEX(DataAll!$N$2:$N$555,MATCH(LOWER(Data!A486),LOWER(DataAll!$M$2:$M$555),0))</f>
        <v>57.29</v>
      </c>
      <c r="G486" cm="1">
        <f t="array" ref="G486">INDEX(DataAll!$Q$2:$Q$555,MATCH(LOWER(Data!A486),LOWER(DataAll!$P$2:$P$555),0))</f>
        <v>34.619999999999997</v>
      </c>
      <c r="H486" cm="1">
        <f t="array" ref="H486">INDEX(DataAll!$T$2:$T$555,MATCH(LOWER(Data!A486),LOWER(DataAll!$S$2:$S$555),0))</f>
        <v>0.221</v>
      </c>
      <c r="I486" cm="1">
        <f t="array" ref="I486">INDEX(DataAll!$W$2:$W$555,MATCH(LOWER(Data!A486),LOWER(DataAll!$V$2:$V$555),0))</f>
        <v>34.53</v>
      </c>
      <c r="J486" cm="1">
        <f t="array" ref="J486">INDEX(DataAll!$Z$2:$Z$555,MATCH(LOWER(Data!A486),LOWER(DataAll!$Y$2:$Y$555),0))</f>
        <v>2.3199999999999998</v>
      </c>
      <c r="K486" cm="1">
        <f t="array" ref="K486">INDEX(DataAll!$AM$2:$AM$555,MATCH(LOWER(Data!A486),LOWER(DataAll!$AL$2:$AL$555),0))</f>
        <v>17.84</v>
      </c>
      <c r="L486" cm="1">
        <f t="array" ref="L486">INDEX(DataAll!$AJ$2:$AJ$555,MATCH(LOWER(Data!A486),LOWER(DataAll!$AI$2:$AI$555),0))</f>
        <v>33.29</v>
      </c>
      <c r="M486" cm="1">
        <f t="array" ref="M486">INDEX(DataAll!$AP$2:$AP$555,MATCH(LOWER(Data!A486),LOWER(DataAll!$AO$2:$AO$555),0))</f>
        <v>65.11</v>
      </c>
      <c r="N486" cm="1">
        <f t="array" ref="N486">INDEX(DataAll!$AQ$2:$AQ$555,MATCH(LOWER(Data!A486),LOWER(DataAll!$AO$2:$AO$555),0))</f>
        <v>69.05</v>
      </c>
      <c r="O486" cm="1">
        <f t="array" ref="O486">INDEX(DataAll!$AT$2:$AT$555,MATCH(LOWER(Data!A486),LOWER(DataAll!$AS$2:$AS$555),0))</f>
        <v>10.119999999999999</v>
      </c>
      <c r="P486" cm="1">
        <f t="array" ref="P486">INDEX(DataAll!$AU$2:$AU$555,MATCH(LOWER(Data!A486),LOWER(DataAll!$AS$2:$AS$555),0))</f>
        <v>9.7100000000000009</v>
      </c>
      <c r="Q486" cm="1">
        <f t="array" ref="Q486">INDEX(DataAll!$AX$2:$AX$556,MATCH(LOWER(Data!A486),LOWER(DataAll!$AW$2:$AW$556),0))</f>
        <v>45.3</v>
      </c>
      <c r="R486" cm="1">
        <f t="array" ref="R486">INDEX('Longitude and Latitude'!$B$2:$B$579,MATCH(LOWER(Data!A486),LOWER('Longitude and Latitude'!$A$2:$A$579),0))</f>
        <v>-3.0166501000000001</v>
      </c>
      <c r="S486" cm="1">
        <f t="array" ref="S486">INDEX('Longitude and Latitude'!$C$2:$C$579,MATCH(LOWER(Data!A486),LOWER('Longitude and Latitude'!$A$2:$A$579),0))</f>
        <v>129.48644110000001</v>
      </c>
      <c r="T486" t="b">
        <f>IF(EXACT(A486, UPPER(A486)), TRUE, FALSE)</f>
        <v>0</v>
      </c>
    </row>
    <row r="487" spans="1:20" x14ac:dyDescent="0.35">
      <c r="A487" t="s">
        <v>481</v>
      </c>
      <c r="B487">
        <v>91.17</v>
      </c>
      <c r="C487" cm="1">
        <f t="array" ref="C487">INDEX(DataAll!$E$2:$E$555,MATCH(LOWER(Data!A487),LOWER(DataAll!$D$2:$D$555),0))</f>
        <v>55.56</v>
      </c>
      <c r="D487" cm="1">
        <f t="array" ref="D487">INDEX(DataAll!$H$2:$H$579,MATCH(LOWER(Data!A487),LOWER(DataAll!$G$2:$G$555),0))</f>
        <v>0.55900000000000005</v>
      </c>
      <c r="E487" cm="1">
        <f t="array" ref="E487">INDEX(DataAll!$K$2:$K$579,MATCH(LOWER(Data!A487),LOWER(DataAll!$J$2:$J$555),0))</f>
        <v>8</v>
      </c>
      <c r="F487" cm="1">
        <f t="array" ref="F487">INDEX(DataAll!$N$2:$N$555,MATCH(LOWER(Data!A487),LOWER(DataAll!$M$2:$M$555),0))</f>
        <v>57.34</v>
      </c>
      <c r="G487" cm="1">
        <f t="array" ref="G487">INDEX(DataAll!$Q$2:$Q$555,MATCH(LOWER(Data!A487),LOWER(DataAll!$P$2:$P$555),0))</f>
        <v>28.23</v>
      </c>
      <c r="H487" cm="1">
        <f t="array" ref="H487">INDEX(DataAll!$T$2:$T$555,MATCH(LOWER(Data!A487),LOWER(DataAll!$S$2:$S$555),0))</f>
        <v>0.29899999999999999</v>
      </c>
      <c r="I487" cm="1">
        <f t="array" ref="I487">INDEX(DataAll!$W$2:$W$555,MATCH(LOWER(Data!A487),LOWER(DataAll!$V$2:$V$555),0))</f>
        <v>28.73</v>
      </c>
      <c r="J487" cm="1">
        <f t="array" ref="J487">INDEX(DataAll!$Z$2:$Z$555,MATCH(LOWER(Data!A487),LOWER(DataAll!$Y$2:$Y$555),0))</f>
        <v>2.34</v>
      </c>
      <c r="K487" cm="1">
        <f t="array" ref="K487">INDEX(DataAll!$AM$2:$AM$555,MATCH(LOWER(Data!A487),LOWER(DataAll!$AL$2:$AL$555),0))</f>
        <v>16.53</v>
      </c>
      <c r="L487" cm="1">
        <f t="array" ref="L487">INDEX(DataAll!$AJ$2:$AJ$555,MATCH(LOWER(Data!A487),LOWER(DataAll!$AI$2:$AI$555),0))</f>
        <v>36.9</v>
      </c>
      <c r="M487" cm="1">
        <f t="array" ref="M487">INDEX(DataAll!$AP$2:$AP$555,MATCH(LOWER(Data!A487),LOWER(DataAll!$AO$2:$AO$555),0))</f>
        <v>65.099999999999994</v>
      </c>
      <c r="N487" cm="1">
        <f t="array" ref="N487">INDEX(DataAll!$AQ$2:$AQ$555,MATCH(LOWER(Data!A487),LOWER(DataAll!$AO$2:$AO$555),0))</f>
        <v>69.040000000000006</v>
      </c>
      <c r="O487" cm="1">
        <f t="array" ref="O487">INDEX(DataAll!$AT$2:$AT$555,MATCH(LOWER(Data!A487),LOWER(DataAll!$AS$2:$AS$555),0))</f>
        <v>9.24</v>
      </c>
      <c r="P487" cm="1">
        <f t="array" ref="P487">INDEX(DataAll!$AU$2:$AU$555,MATCH(LOWER(Data!A487),LOWER(DataAll!$AS$2:$AS$555),0))</f>
        <v>8.73</v>
      </c>
      <c r="Q487" cm="1">
        <f t="array" ref="Q487">INDEX(DataAll!$AX$2:$AX$556,MATCH(LOWER(Data!A487),LOWER(DataAll!$AW$2:$AW$556),0))</f>
        <v>36.28</v>
      </c>
      <c r="R487" cm="1">
        <f t="array" ref="R487">INDEX('Longitude and Latitude'!$B$2:$B$579,MATCH(LOWER(Data!A487),LOWER('Longitude and Latitude'!$A$2:$A$579),0))</f>
        <v>-3.3927754000000001</v>
      </c>
      <c r="S487" cm="1">
        <f t="array" ref="S487">INDEX('Longitude and Latitude'!$C$2:$C$579,MATCH(LOWER(Data!A487),LOWER('Longitude and Latitude'!$A$2:$A$579),0))</f>
        <v>126.78195049999999</v>
      </c>
      <c r="T487" t="b">
        <f>IF(EXACT(A487, UPPER(A487)), TRUE, FALSE)</f>
        <v>0</v>
      </c>
    </row>
    <row r="488" spans="1:20" x14ac:dyDescent="0.35">
      <c r="A488" t="s">
        <v>482</v>
      </c>
      <c r="B488">
        <v>89.16</v>
      </c>
      <c r="C488" cm="1">
        <f t="array" ref="C488">INDEX(DataAll!$E$2:$E$555,MATCH(LOWER(Data!A488),LOWER(DataAll!$D$2:$D$555),0))</f>
        <v>63.22</v>
      </c>
      <c r="D488" cm="1">
        <f t="array" ref="D488">INDEX(DataAll!$H$2:$H$579,MATCH(LOWER(Data!A488),LOWER(DataAll!$G$2:$G$555),0))</f>
        <v>0.61399999999999999</v>
      </c>
      <c r="E488" cm="1">
        <f t="array" ref="E488">INDEX(DataAll!$K$2:$K$579,MATCH(LOWER(Data!A488),LOWER(DataAll!$J$2:$J$555),0))</f>
        <v>8</v>
      </c>
      <c r="F488" cm="1">
        <f t="array" ref="F488">INDEX(DataAll!$N$2:$N$555,MATCH(LOWER(Data!A488),LOWER(DataAll!$M$2:$M$555),0))</f>
        <v>47.85</v>
      </c>
      <c r="G488" cm="1">
        <f t="array" ref="G488">INDEX(DataAll!$Q$2:$Q$555,MATCH(LOWER(Data!A488),LOWER(DataAll!$P$2:$P$555),0))</f>
        <v>31.68</v>
      </c>
      <c r="H488" cm="1">
        <f t="array" ref="H488">INDEX(DataAll!$T$2:$T$555,MATCH(LOWER(Data!A488),LOWER(DataAll!$S$2:$S$555),0))</f>
        <v>0.23599999999999999</v>
      </c>
      <c r="I488" cm="1">
        <f t="array" ref="I488">INDEX(DataAll!$W$2:$W$555,MATCH(LOWER(Data!A488),LOWER(DataAll!$V$2:$V$555),0))</f>
        <v>40.909999999999997</v>
      </c>
      <c r="J488" cm="1">
        <f t="array" ref="J488">INDEX(DataAll!$Z$2:$Z$555,MATCH(LOWER(Data!A488),LOWER(DataAll!$Y$2:$Y$555),0))</f>
        <v>2.93</v>
      </c>
      <c r="K488" cm="1">
        <f t="array" ref="K488">INDEX(DataAll!$AM$2:$AM$555,MATCH(LOWER(Data!A488),LOWER(DataAll!$AL$2:$AL$555),0))</f>
        <v>24.21</v>
      </c>
      <c r="L488" cm="1">
        <f t="array" ref="L488">INDEX(DataAll!$AJ$2:$AJ$555,MATCH(LOWER(Data!A488),LOWER(DataAll!$AI$2:$AI$555),0))</f>
        <v>37.1</v>
      </c>
      <c r="M488" cm="1">
        <f t="array" ref="M488">INDEX(DataAll!$AP$2:$AP$555,MATCH(LOWER(Data!A488),LOWER(DataAll!$AO$2:$AO$555),0))</f>
        <v>61.72</v>
      </c>
      <c r="N488" cm="1">
        <f t="array" ref="N488">INDEX(DataAll!$AQ$2:$AQ$555,MATCH(LOWER(Data!A488),LOWER(DataAll!$AO$2:$AO$555),0))</f>
        <v>65.52</v>
      </c>
      <c r="O488" cm="1">
        <f t="array" ref="O488">INDEX(DataAll!$AT$2:$AT$555,MATCH(LOWER(Data!A488),LOWER(DataAll!$AS$2:$AS$555),0))</f>
        <v>9.1</v>
      </c>
      <c r="P488" cm="1">
        <f t="array" ref="P488">INDEX(DataAll!$AU$2:$AU$555,MATCH(LOWER(Data!A488),LOWER(DataAll!$AS$2:$AS$555),0))</f>
        <v>8.83</v>
      </c>
      <c r="Q488" cm="1">
        <f t="array" ref="Q488">INDEX(DataAll!$AX$2:$AX$556,MATCH(LOWER(Data!A488),LOWER(DataAll!$AW$2:$AW$556),0))</f>
        <v>36.08</v>
      </c>
      <c r="R488" cm="1">
        <f t="array" ref="R488">INDEX('Longitude and Latitude'!$B$2:$B$579,MATCH(LOWER(Data!A488),LOWER('Longitude and Latitude'!$A$2:$A$579),0))</f>
        <v>-6.1946501999999999</v>
      </c>
      <c r="S488" cm="1">
        <f t="array" ref="S488">INDEX('Longitude and Latitude'!$C$2:$C$579,MATCH(LOWER(Data!A488),LOWER('Longitude and Latitude'!$A$2:$A$579),0))</f>
        <v>134.55019350000001</v>
      </c>
      <c r="T488" t="b">
        <f>IF(EXACT(A488, UPPER(A488)), TRUE, FALSE)</f>
        <v>0</v>
      </c>
    </row>
    <row r="489" spans="1:20" x14ac:dyDescent="0.35">
      <c r="A489" t="s">
        <v>483</v>
      </c>
      <c r="B489">
        <v>98.63</v>
      </c>
      <c r="C489" cm="1">
        <f t="array" ref="C489">INDEX(DataAll!$E$2:$E$555,MATCH(LOWER(Data!A489),LOWER(DataAll!$D$2:$D$555),0))</f>
        <v>56.39</v>
      </c>
      <c r="D489" cm="1">
        <f t="array" ref="D489">INDEX(DataAll!$H$2:$H$579,MATCH(LOWER(Data!A489),LOWER(DataAll!$G$2:$G$555),0))</f>
        <v>0.61</v>
      </c>
      <c r="E489" cm="1">
        <f t="array" ref="E489">INDEX(DataAll!$K$2:$K$579,MATCH(LOWER(Data!A489),LOWER(DataAll!$J$2:$J$555),0))</f>
        <v>3.33</v>
      </c>
      <c r="F489" cm="1">
        <f t="array" ref="F489">INDEX(DataAll!$N$2:$N$555,MATCH(LOWER(Data!A489),LOWER(DataAll!$M$2:$M$555),0))</f>
        <v>51.08</v>
      </c>
      <c r="G489" cm="1">
        <f t="array" ref="G489">INDEX(DataAll!$Q$2:$Q$555,MATCH(LOWER(Data!A489),LOWER(DataAll!$P$2:$P$555),0))</f>
        <v>32.700000000000003</v>
      </c>
      <c r="H489" cm="1">
        <f t="array" ref="H489">INDEX(DataAll!$T$2:$T$555,MATCH(LOWER(Data!A489),LOWER(DataAll!$S$2:$S$555),0))</f>
        <v>0.22</v>
      </c>
      <c r="I489" cm="1">
        <f t="array" ref="I489">INDEX(DataAll!$W$2:$W$555,MATCH(LOWER(Data!A489),LOWER(DataAll!$V$2:$V$555),0))</f>
        <v>37.659999999999997</v>
      </c>
      <c r="J489" cm="1">
        <f t="array" ref="J489">INDEX(DataAll!$Z$2:$Z$555,MATCH(LOWER(Data!A489),LOWER(DataAll!$Y$2:$Y$555),0))</f>
        <v>2.91</v>
      </c>
      <c r="K489" cm="1">
        <f t="array" ref="K489">INDEX(DataAll!$AM$2:$AM$555,MATCH(LOWER(Data!A489),LOWER(DataAll!$AL$2:$AL$555),0))</f>
        <v>22.39</v>
      </c>
      <c r="L489" cm="1">
        <f t="array" ref="L489">INDEX(DataAll!$AJ$2:$AJ$555,MATCH(LOWER(Data!A489),LOWER(DataAll!$AI$2:$AI$555),0))</f>
        <v>35.32</v>
      </c>
      <c r="M489" cm="1">
        <f t="array" ref="M489">INDEX(DataAll!$AP$2:$AP$555,MATCH(LOWER(Data!A489),LOWER(DataAll!$AO$2:$AO$555),0))</f>
        <v>60.78</v>
      </c>
      <c r="N489" cm="1">
        <f t="array" ref="N489">INDEX(DataAll!$AQ$2:$AQ$555,MATCH(LOWER(Data!A489),LOWER(DataAll!$AO$2:$AO$555),0))</f>
        <v>64.540000000000006</v>
      </c>
      <c r="O489" cm="1">
        <f t="array" ref="O489">INDEX(DataAll!$AT$2:$AT$555,MATCH(LOWER(Data!A489),LOWER(DataAll!$AS$2:$AS$555),0))</f>
        <v>9.34</v>
      </c>
      <c r="P489" cm="1">
        <f t="array" ref="P489">INDEX(DataAll!$AU$2:$AU$555,MATCH(LOWER(Data!A489),LOWER(DataAll!$AS$2:$AS$555),0))</f>
        <v>9.3699999999999992</v>
      </c>
      <c r="Q489" cm="1">
        <f t="array" ref="Q489">INDEX(DataAll!$AX$2:$AX$556,MATCH(LOWER(Data!A489),LOWER(DataAll!$AW$2:$AW$556),0))</f>
        <v>40.69</v>
      </c>
      <c r="R489" cm="1">
        <f t="array" ref="R489">INDEX('Longitude and Latitude'!$B$2:$B$579,MATCH(LOWER(Data!A489),LOWER('Longitude and Latitude'!$A$2:$A$579),0))</f>
        <v>-3.1271575</v>
      </c>
      <c r="S489" cm="1">
        <f t="array" ref="S489">INDEX('Longitude and Latitude'!$C$2:$C$579,MATCH(LOWER(Data!A489),LOWER('Longitude and Latitude'!$A$2:$A$579),0))</f>
        <v>128.40083569999999</v>
      </c>
      <c r="T489" t="b">
        <f>IF(EXACT(A489, UPPER(A489)), TRUE, FALSE)</f>
        <v>0</v>
      </c>
    </row>
    <row r="490" spans="1:20" x14ac:dyDescent="0.35">
      <c r="A490" t="s">
        <v>484</v>
      </c>
      <c r="B490">
        <v>88.88</v>
      </c>
      <c r="C490" cm="1">
        <f t="array" ref="C490">INDEX(DataAll!$E$2:$E$555,MATCH(LOWER(Data!A490),LOWER(DataAll!$D$2:$D$555),0))</f>
        <v>53.45</v>
      </c>
      <c r="D490" cm="1">
        <f t="array" ref="D490">INDEX(DataAll!$H$2:$H$579,MATCH(LOWER(Data!A490),LOWER(DataAll!$G$2:$G$555),0))</f>
        <v>0.64200000000000002</v>
      </c>
      <c r="E490" cm="1">
        <f t="array" ref="E490">INDEX(DataAll!$K$2:$K$579,MATCH(LOWER(Data!A490),LOWER(DataAll!$J$2:$J$555),0))</f>
        <v>4</v>
      </c>
      <c r="F490" cm="1">
        <f t="array" ref="F490">INDEX(DataAll!$N$2:$N$555,MATCH(LOWER(Data!A490),LOWER(DataAll!$M$2:$M$555),0))</f>
        <v>51.3</v>
      </c>
      <c r="G490" cm="1">
        <f t="array" ref="G490">INDEX(DataAll!$Q$2:$Q$555,MATCH(LOWER(Data!A490),LOWER(DataAll!$P$2:$P$555),0))</f>
        <v>31.79</v>
      </c>
      <c r="H490" cm="1">
        <f t="array" ref="H490">INDEX(DataAll!$T$2:$T$555,MATCH(LOWER(Data!A490),LOWER(DataAll!$S$2:$S$555),0))</f>
        <v>0.26700000000000002</v>
      </c>
      <c r="I490" cm="1">
        <f t="array" ref="I490">INDEX(DataAll!$W$2:$W$555,MATCH(LOWER(Data!A490),LOWER(DataAll!$V$2:$V$555),0))</f>
        <v>31.81</v>
      </c>
      <c r="J490" cm="1">
        <f t="array" ref="J490">INDEX(DataAll!$Z$2:$Z$555,MATCH(LOWER(Data!A490),LOWER(DataAll!$Y$2:$Y$555),0))</f>
        <v>2.64</v>
      </c>
      <c r="K490" cm="1">
        <f t="array" ref="K490">INDEX(DataAll!$AM$2:$AM$555,MATCH(LOWER(Data!A490),LOWER(DataAll!$AL$2:$AL$555),0))</f>
        <v>21.08</v>
      </c>
      <c r="L490" cm="1">
        <f t="array" ref="L490">INDEX(DataAll!$AJ$2:$AJ$555,MATCH(LOWER(Data!A490),LOWER(DataAll!$AI$2:$AI$555),0))</f>
        <v>50.49</v>
      </c>
      <c r="M490" cm="1">
        <f t="array" ref="M490">INDEX(DataAll!$AP$2:$AP$555,MATCH(LOWER(Data!A490),LOWER(DataAll!$AO$2:$AO$555),0))</f>
        <v>58.68</v>
      </c>
      <c r="N490" cm="1">
        <f t="array" ref="N490">INDEX(DataAll!$AQ$2:$AQ$555,MATCH(LOWER(Data!A490),LOWER(DataAll!$AO$2:$AO$555),0))</f>
        <v>62.34</v>
      </c>
      <c r="O490" cm="1">
        <f t="array" ref="O490">INDEX(DataAll!$AT$2:$AT$555,MATCH(LOWER(Data!A490),LOWER(DataAll!$AS$2:$AS$555),0))</f>
        <v>9.18</v>
      </c>
      <c r="P490" cm="1">
        <f t="array" ref="P490">INDEX(DataAll!$AU$2:$AU$555,MATCH(LOWER(Data!A490),LOWER(DataAll!$AS$2:$AS$555),0))</f>
        <v>8.1300000000000008</v>
      </c>
      <c r="Q490" cm="1">
        <f t="array" ref="Q490">INDEX(DataAll!$AX$2:$AX$556,MATCH(LOWER(Data!A490),LOWER(DataAll!$AW$2:$AW$556),0))</f>
        <v>29.18</v>
      </c>
      <c r="R490" cm="1">
        <f t="array" ref="R490">INDEX('Longitude and Latitude'!$B$2:$B$579,MATCH(LOWER(Data!A490),LOWER('Longitude and Latitude'!$A$2:$A$579),0))</f>
        <v>-3.4150760999999998</v>
      </c>
      <c r="S490" cm="1">
        <f t="array" ref="S490">INDEX('Longitude and Latitude'!$C$2:$C$579,MATCH(LOWER(Data!A490),LOWER('Longitude and Latitude'!$A$2:$A$579),0))</f>
        <v>130.390488</v>
      </c>
      <c r="T490" t="b">
        <f>IF(EXACT(A490, UPPER(A490)), TRUE, FALSE)</f>
        <v>0</v>
      </c>
    </row>
    <row r="491" spans="1:20" x14ac:dyDescent="0.35">
      <c r="A491" t="s">
        <v>485</v>
      </c>
      <c r="B491">
        <v>90.47</v>
      </c>
      <c r="C491" cm="1">
        <f t="array" ref="C491">INDEX(DataAll!$E$2:$E$555,MATCH(LOWER(Data!A491),LOWER(DataAll!$D$2:$D$555),0))</f>
        <v>57.47</v>
      </c>
      <c r="D491" cm="1">
        <f t="array" ref="D491">INDEX(DataAll!$H$2:$H$579,MATCH(LOWER(Data!A491),LOWER(DataAll!$G$2:$G$555),0))</f>
        <v>0.57299999999999995</v>
      </c>
      <c r="E491" cm="1">
        <f t="array" ref="E491">INDEX(DataAll!$K$2:$K$579,MATCH(LOWER(Data!A491),LOWER(DataAll!$J$2:$J$555),0))</f>
        <v>5</v>
      </c>
      <c r="F491" cm="1">
        <f t="array" ref="F491">INDEX(DataAll!$N$2:$N$555,MATCH(LOWER(Data!A491),LOWER(DataAll!$M$2:$M$555),0))</f>
        <v>44.68</v>
      </c>
      <c r="G491" cm="1">
        <f t="array" ref="G491">INDEX(DataAll!$Q$2:$Q$555,MATCH(LOWER(Data!A491),LOWER(DataAll!$P$2:$P$555),0))</f>
        <v>26.59</v>
      </c>
      <c r="H491" cm="1">
        <f t="array" ref="H491">INDEX(DataAll!$T$2:$T$555,MATCH(LOWER(Data!A491),LOWER(DataAll!$S$2:$S$555),0))</f>
        <v>0.17299999999999999</v>
      </c>
      <c r="I491" cm="1">
        <f t="array" ref="I491">INDEX(DataAll!$W$2:$W$555,MATCH(LOWER(Data!A491),LOWER(DataAll!$V$2:$V$555),0))</f>
        <v>41.38</v>
      </c>
      <c r="J491" cm="1">
        <f t="array" ref="J491">INDEX(DataAll!$Z$2:$Z$555,MATCH(LOWER(Data!A491),LOWER(DataAll!$Y$2:$Y$555),0))</f>
        <v>3.14</v>
      </c>
      <c r="K491" cm="1">
        <f t="array" ref="K491">INDEX(DataAll!$AM$2:$AM$555,MATCH(LOWER(Data!A491),LOWER(DataAll!$AL$2:$AL$555),0))</f>
        <v>28.78</v>
      </c>
      <c r="L491" cm="1">
        <f t="array" ref="L491">INDEX(DataAll!$AJ$2:$AJ$555,MATCH(LOWER(Data!A491),LOWER(DataAll!$AI$2:$AI$555),0))</f>
        <v>43.76</v>
      </c>
      <c r="M491" cm="1">
        <f t="array" ref="M491">INDEX(DataAll!$AP$2:$AP$555,MATCH(LOWER(Data!A491),LOWER(DataAll!$AO$2:$AO$555),0))</f>
        <v>61.54</v>
      </c>
      <c r="N491" cm="1">
        <f t="array" ref="N491">INDEX(DataAll!$AQ$2:$AQ$555,MATCH(LOWER(Data!A491),LOWER(DataAll!$AO$2:$AO$555),0))</f>
        <v>65.33</v>
      </c>
      <c r="O491" cm="1">
        <f t="array" ref="O491">INDEX(DataAll!$AT$2:$AT$555,MATCH(LOWER(Data!A491),LOWER(DataAll!$AS$2:$AS$555),0))</f>
        <v>9.01</v>
      </c>
      <c r="P491" cm="1">
        <f t="array" ref="P491">INDEX(DataAll!$AU$2:$AU$555,MATCH(LOWER(Data!A491),LOWER(DataAll!$AS$2:$AS$555),0))</f>
        <v>8.8699999999999992</v>
      </c>
      <c r="Q491" cm="1">
        <f t="array" ref="Q491">INDEX(DataAll!$AX$2:$AX$556,MATCH(LOWER(Data!A491),LOWER(DataAll!$AW$2:$AW$556),0))</f>
        <v>32.79</v>
      </c>
      <c r="R491" cm="1">
        <f t="array" ref="R491">INDEX('Longitude and Latitude'!$B$2:$B$579,MATCH(LOWER(Data!A491),LOWER('Longitude and Latitude'!$A$2:$A$579),0))</f>
        <v>-7.7851587999999996</v>
      </c>
      <c r="S491" cm="1">
        <f t="array" ref="S491">INDEX('Longitude and Latitude'!$C$2:$C$579,MATCH(LOWER(Data!A491),LOWER('Longitude and Latitude'!$A$2:$A$579),0))</f>
        <v>126.34980969999999</v>
      </c>
      <c r="T491" t="b">
        <f>IF(EXACT(A491, UPPER(A491)), TRUE, FALSE)</f>
        <v>0</v>
      </c>
    </row>
    <row r="492" spans="1:20" x14ac:dyDescent="0.35">
      <c r="A492" t="s">
        <v>486</v>
      </c>
      <c r="B492">
        <v>87.21</v>
      </c>
      <c r="C492" cm="1">
        <f t="array" ref="C492">INDEX(DataAll!$E$2:$E$555,MATCH(LOWER(Data!A492),LOWER(DataAll!$D$2:$D$555),0))</f>
        <v>62.19</v>
      </c>
      <c r="D492" cm="1">
        <f t="array" ref="D492">INDEX(DataAll!$H$2:$H$579,MATCH(LOWER(Data!A492),LOWER(DataAll!$G$2:$G$555),0))</f>
        <v>0.59799999999999998</v>
      </c>
      <c r="E492" cm="1">
        <f t="array" ref="E492">INDEX(DataAll!$K$2:$K$579,MATCH(LOWER(Data!A492),LOWER(DataAll!$J$2:$J$555),0))</f>
        <v>10</v>
      </c>
      <c r="F492" cm="1">
        <f t="array" ref="F492">INDEX(DataAll!$N$2:$N$555,MATCH(LOWER(Data!A492),LOWER(DataAll!$M$2:$M$555),0))</f>
        <v>51.74</v>
      </c>
      <c r="G492" cm="1">
        <f t="array" ref="G492">INDEX(DataAll!$Q$2:$Q$555,MATCH(LOWER(Data!A492),LOWER(DataAll!$P$2:$P$555),0))</f>
        <v>38.869999999999997</v>
      </c>
      <c r="H492" cm="1">
        <f t="array" ref="H492">INDEX(DataAll!$T$2:$T$555,MATCH(LOWER(Data!A492),LOWER(DataAll!$S$2:$S$555),0))</f>
        <v>0.27100000000000002</v>
      </c>
      <c r="I492" cm="1">
        <f t="array" ref="I492">INDEX(DataAll!$W$2:$W$555,MATCH(LOWER(Data!A492),LOWER(DataAll!$V$2:$V$555),0))</f>
        <v>31.75</v>
      </c>
      <c r="J492" cm="1">
        <f t="array" ref="J492">INDEX(DataAll!$Z$2:$Z$555,MATCH(LOWER(Data!A492),LOWER(DataAll!$Y$2:$Y$555),0))</f>
        <v>2.96</v>
      </c>
      <c r="K492" cm="1">
        <f t="array" ref="K492">INDEX(DataAll!$AM$2:$AM$555,MATCH(LOWER(Data!A492),LOWER(DataAll!$AL$2:$AL$555),0))</f>
        <v>15.28</v>
      </c>
      <c r="L492" cm="1">
        <f t="array" ref="L492">INDEX(DataAll!$AJ$2:$AJ$555,MATCH(LOWER(Data!A492),LOWER(DataAll!$AI$2:$AI$555),0))</f>
        <v>37.68</v>
      </c>
      <c r="M492" cm="1">
        <f t="array" ref="M492">INDEX(DataAll!$AP$2:$AP$555,MATCH(LOWER(Data!A492),LOWER(DataAll!$AO$2:$AO$555),0))</f>
        <v>65.040000000000006</v>
      </c>
      <c r="N492" cm="1">
        <f t="array" ref="N492">INDEX(DataAll!$AQ$2:$AQ$555,MATCH(LOWER(Data!A492),LOWER(DataAll!$AO$2:$AO$555),0))</f>
        <v>68.98</v>
      </c>
      <c r="O492" cm="1">
        <f t="array" ref="O492">INDEX(DataAll!$AT$2:$AT$555,MATCH(LOWER(Data!A492),LOWER(DataAll!$AS$2:$AS$555),0))</f>
        <v>8.5</v>
      </c>
      <c r="P492" cm="1">
        <f t="array" ref="P492">INDEX(DataAll!$AU$2:$AU$555,MATCH(LOWER(Data!A492),LOWER(DataAll!$AS$2:$AS$555),0))</f>
        <v>7.97</v>
      </c>
      <c r="Q492" cm="1">
        <f t="array" ref="Q492">INDEX(DataAll!$AX$2:$AX$556,MATCH(LOWER(Data!A492),LOWER(DataAll!$AW$2:$AW$556),0))</f>
        <v>33.96</v>
      </c>
      <c r="R492" cm="1">
        <f t="array" ref="R492">INDEX('Longitude and Latitude'!$B$2:$B$579,MATCH(LOWER(Data!A492),LOWER('Longitude and Latitude'!$A$2:$A$579),0))</f>
        <v>-3.3927754000000001</v>
      </c>
      <c r="S492" cm="1">
        <f t="array" ref="S492">INDEX('Longitude and Latitude'!$C$2:$C$579,MATCH(LOWER(Data!A492),LOWER('Longitude and Latitude'!$A$2:$A$579),0))</f>
        <v>126.78195049999999</v>
      </c>
      <c r="T492" t="b">
        <f>IF(EXACT(A492, UPPER(A492)), TRUE, FALSE)</f>
        <v>0</v>
      </c>
    </row>
    <row r="493" spans="1:20" x14ac:dyDescent="0.35">
      <c r="A493" t="s">
        <v>487</v>
      </c>
      <c r="B493">
        <v>97.86</v>
      </c>
      <c r="C493" cm="1">
        <f t="array" ref="C493">INDEX(DataAll!$E$2:$E$555,MATCH(LOWER(Data!A493),LOWER(DataAll!$D$2:$D$555),0))</f>
        <v>74.709999999999994</v>
      </c>
      <c r="D493" cm="1">
        <f t="array" ref="D493">INDEX(DataAll!$H$2:$H$579,MATCH(LOWER(Data!A493),LOWER(DataAll!$G$2:$G$555),0))</f>
        <v>0.48499999999999999</v>
      </c>
      <c r="E493" cm="1">
        <f t="array" ref="E493">INDEX(DataAll!$K$2:$K$579,MATCH(LOWER(Data!A493),LOWER(DataAll!$J$2:$J$555),0))</f>
        <v>17.14</v>
      </c>
      <c r="F493" cm="1">
        <f t="array" ref="F493">INDEX(DataAll!$N$2:$N$555,MATCH(LOWER(Data!A493),LOWER(DataAll!$M$2:$M$555),0))</f>
        <v>50.58</v>
      </c>
      <c r="G493" cm="1">
        <f t="array" ref="G493">INDEX(DataAll!$Q$2:$Q$555,MATCH(LOWER(Data!A493),LOWER(DataAll!$P$2:$P$555),0))</f>
        <v>24.12</v>
      </c>
      <c r="H493" cm="1">
        <f t="array" ref="H493">INDEX(DataAll!$T$2:$T$555,MATCH(LOWER(Data!A493),LOWER(DataAll!$S$2:$S$555),0))</f>
        <v>0.17</v>
      </c>
      <c r="I493" cm="1">
        <f t="array" ref="I493">INDEX(DataAll!$W$2:$W$555,MATCH(LOWER(Data!A493),LOWER(DataAll!$V$2:$V$555),0))</f>
        <v>41.2</v>
      </c>
      <c r="J493" cm="1">
        <f t="array" ref="J493">INDEX(DataAll!$Z$2:$Z$555,MATCH(LOWER(Data!A493),LOWER(DataAll!$Y$2:$Y$555),0))</f>
        <v>2.2599999999999998</v>
      </c>
      <c r="K493" cm="1">
        <f t="array" ref="K493">INDEX(DataAll!$AM$2:$AM$555,MATCH(LOWER(Data!A493),LOWER(DataAll!$AL$2:$AL$555),0))</f>
        <v>5.25</v>
      </c>
      <c r="L493" cm="1">
        <f t="array" ref="L493">INDEX(DataAll!$AJ$2:$AJ$555,MATCH(LOWER(Data!A493),LOWER(DataAll!$AI$2:$AI$555),0))</f>
        <v>25.14</v>
      </c>
      <c r="M493" cm="1">
        <f t="array" ref="M493">INDEX(DataAll!$AP$2:$AP$555,MATCH(LOWER(Data!A493),LOWER(DataAll!$AO$2:$AO$555),0))</f>
        <v>69.430000000000007</v>
      </c>
      <c r="N493" cm="1">
        <f t="array" ref="N493">INDEX(DataAll!$AQ$2:$AQ$555,MATCH(LOWER(Data!A493),LOWER(DataAll!$AO$2:$AO$555),0))</f>
        <v>73.400000000000006</v>
      </c>
      <c r="O493" cm="1">
        <f t="array" ref="O493">INDEX(DataAll!$AT$2:$AT$555,MATCH(LOWER(Data!A493),LOWER(DataAll!$AS$2:$AS$555),0))</f>
        <v>12.25</v>
      </c>
      <c r="P493" cm="1">
        <f t="array" ref="P493">INDEX(DataAll!$AU$2:$AU$555,MATCH(LOWER(Data!A493),LOWER(DataAll!$AS$2:$AS$555),0))</f>
        <v>12.16</v>
      </c>
      <c r="Q493" cm="1">
        <f t="array" ref="Q493">INDEX(DataAll!$AX$2:$AX$556,MATCH(LOWER(Data!A493),LOWER(DataAll!$AW$2:$AW$556),0))</f>
        <v>66</v>
      </c>
      <c r="R493" cm="1">
        <f t="array" ref="R493">INDEX('Longitude and Latitude'!$B$2:$B$579,MATCH(LOWER(Data!A493),LOWER('Longitude and Latitude'!$A$2:$A$579),0))</f>
        <v>-3.6560700000000002</v>
      </c>
      <c r="S493" cm="1">
        <f t="array" ref="S493">INDEX('Longitude and Latitude'!$C$2:$C$579,MATCH(LOWER(Data!A493),LOWER('Longitude and Latitude'!$A$2:$A$579),0))</f>
        <v>128.16641899999999</v>
      </c>
      <c r="T493" t="b">
        <f>IF(EXACT(A493, UPPER(A493)), TRUE, FALSE)</f>
        <v>0</v>
      </c>
    </row>
    <row r="494" spans="1:20" x14ac:dyDescent="0.35">
      <c r="A494" t="s">
        <v>488</v>
      </c>
      <c r="B494">
        <v>88.56</v>
      </c>
      <c r="C494" cm="1">
        <f t="array" ref="C494">INDEX(DataAll!$E$2:$E$555,MATCH(LOWER(Data!A494),LOWER(DataAll!$D$2:$D$555),0))</f>
        <v>58.53</v>
      </c>
      <c r="D494" cm="1">
        <f t="array" ref="D494">INDEX(DataAll!$H$2:$H$579,MATCH(LOWER(Data!A494),LOWER(DataAll!$G$2:$G$555),0))</f>
        <v>0.56200000000000006</v>
      </c>
      <c r="E494" cm="1">
        <f t="array" ref="E494">INDEX(DataAll!$K$2:$K$579,MATCH(LOWER(Data!A494),LOWER(DataAll!$J$2:$J$555),0))</f>
        <v>10</v>
      </c>
      <c r="F494" cm="1">
        <f t="array" ref="F494">INDEX(DataAll!$N$2:$N$555,MATCH(LOWER(Data!A494),LOWER(DataAll!$M$2:$M$555),0))</f>
        <v>50.01</v>
      </c>
      <c r="G494" cm="1">
        <f t="array" ref="G494">INDEX(DataAll!$Q$2:$Q$555,MATCH(LOWER(Data!A494),LOWER(DataAll!$P$2:$P$555),0))</f>
        <v>29.31</v>
      </c>
      <c r="H494" cm="1">
        <f t="array" ref="H494">INDEX(DataAll!$T$2:$T$555,MATCH(LOWER(Data!A494),LOWER(DataAll!$S$2:$S$555),0))</f>
        <v>0.224</v>
      </c>
      <c r="I494" cm="1">
        <f t="array" ref="I494">INDEX(DataAll!$W$2:$W$555,MATCH(LOWER(Data!A494),LOWER(DataAll!$V$2:$V$555),0))</f>
        <v>26.73</v>
      </c>
      <c r="J494" cm="1">
        <f t="array" ref="J494">INDEX(DataAll!$Z$2:$Z$555,MATCH(LOWER(Data!A494),LOWER(DataAll!$Y$2:$Y$555),0))</f>
        <v>2.4</v>
      </c>
      <c r="K494" cm="1">
        <f t="array" ref="K494">INDEX(DataAll!$AM$2:$AM$555,MATCH(LOWER(Data!A494),LOWER(DataAll!$AL$2:$AL$555),0))</f>
        <v>20.68</v>
      </c>
      <c r="L494" cm="1">
        <f t="array" ref="L494">INDEX(DataAll!$AJ$2:$AJ$555,MATCH(LOWER(Data!A494),LOWER(DataAll!$AI$2:$AI$555),0))</f>
        <v>33.82</v>
      </c>
      <c r="M494" cm="1">
        <f t="array" ref="M494">INDEX(DataAll!$AP$2:$AP$555,MATCH(LOWER(Data!A494),LOWER(DataAll!$AO$2:$AO$555),0))</f>
        <v>64.739999999999995</v>
      </c>
      <c r="N494" cm="1">
        <f t="array" ref="N494">INDEX(DataAll!$AQ$2:$AQ$555,MATCH(LOWER(Data!A494),LOWER(DataAll!$AO$2:$AO$555),0))</f>
        <v>68.66</v>
      </c>
      <c r="O494" cm="1">
        <f t="array" ref="O494">INDEX(DataAll!$AT$2:$AT$555,MATCH(LOWER(Data!A494),LOWER(DataAll!$AS$2:$AS$555),0))</f>
        <v>11.1</v>
      </c>
      <c r="P494" cm="1">
        <f t="array" ref="P494">INDEX(DataAll!$AU$2:$AU$555,MATCH(LOWER(Data!A494),LOWER(DataAll!$AS$2:$AS$555),0))</f>
        <v>10.43</v>
      </c>
      <c r="Q494" cm="1">
        <f t="array" ref="Q494">INDEX(DataAll!$AX$2:$AX$556,MATCH(LOWER(Data!A494),LOWER(DataAll!$AW$2:$AW$556),0))</f>
        <v>47.03</v>
      </c>
      <c r="R494" cm="1">
        <f t="array" ref="R494">INDEX('Longitude and Latitude'!$B$2:$B$579,MATCH(LOWER(Data!A494),LOWER('Longitude and Latitude'!$A$2:$A$579),0))</f>
        <v>-5.6425770000000002</v>
      </c>
      <c r="S494" cm="1">
        <f t="array" ref="S494">INDEX('Longitude and Latitude'!$C$2:$C$579,MATCH(LOWER(Data!A494),LOWER('Longitude and Latitude'!$A$2:$A$579),0))</f>
        <v>132.74299300000001</v>
      </c>
      <c r="T494" t="b">
        <f>IF(EXACT(A494, UPPER(A494)), TRUE, FALSE)</f>
        <v>0</v>
      </c>
    </row>
    <row r="495" spans="1:20" x14ac:dyDescent="0.35">
      <c r="A495" t="s">
        <v>489</v>
      </c>
      <c r="B495">
        <v>90.59</v>
      </c>
      <c r="C495" cm="1">
        <f t="array" ref="C495">INDEX(DataAll!$E$2:$E$555,MATCH(LOWER(Data!A495),LOWER(DataAll!$D$2:$D$555),0))</f>
        <v>79.05</v>
      </c>
      <c r="D495" cm="1">
        <f t="array" ref="D495">INDEX(DataAll!$H$2:$H$579,MATCH(LOWER(Data!A495),LOWER(DataAll!$G$2:$G$555),0))</f>
        <v>0.51900000000000002</v>
      </c>
      <c r="E495" cm="1">
        <f t="array" ref="E495">INDEX(DataAll!$K$2:$K$579,MATCH(LOWER(Data!A495),LOWER(DataAll!$J$2:$J$555),0))</f>
        <v>28.89</v>
      </c>
      <c r="F495" cm="1">
        <f t="array" ref="F495">INDEX(DataAll!$N$2:$N$555,MATCH(LOWER(Data!A495),LOWER(DataAll!$M$2:$M$555),0))</f>
        <v>48.93</v>
      </c>
      <c r="G495" t="e" cm="1">
        <f t="array" ref="G495">INDEX(DataAll!$Q$2:$Q$555,MATCH(LOWER(Data!A495),LOWER(DataAll!$P$2:$P$555),0))</f>
        <v>#N/A</v>
      </c>
      <c r="H495" cm="1">
        <f t="array" ref="H495">INDEX(DataAll!$T$2:$T$555,MATCH(LOWER(Data!A495),LOWER(DataAll!$S$2:$S$555),0))</f>
        <v>0.30299999999999999</v>
      </c>
      <c r="I495" cm="1">
        <f t="array" ref="I495">INDEX(DataAll!$W$2:$W$555,MATCH(LOWER(Data!A495),LOWER(DataAll!$V$2:$V$555),0))</f>
        <v>36.409999999999997</v>
      </c>
      <c r="J495" cm="1">
        <f t="array" ref="J495">INDEX(DataAll!$Z$2:$Z$555,MATCH(LOWER(Data!A495),LOWER(DataAll!$Y$2:$Y$555),0))</f>
        <v>2.4700000000000002</v>
      </c>
      <c r="K495" cm="1">
        <f t="array" ref="K495">INDEX(DataAll!$AM$2:$AM$555,MATCH(LOWER(Data!A495),LOWER(DataAll!$AL$2:$AL$555),0))</f>
        <v>6.46</v>
      </c>
      <c r="L495" cm="1">
        <f t="array" ref="L495">INDEX(DataAll!$AJ$2:$AJ$555,MATCH(LOWER(Data!A495),LOWER(DataAll!$AI$2:$AI$555),0))</f>
        <v>34.58</v>
      </c>
      <c r="M495" cm="1">
        <f t="array" ref="M495">INDEX(DataAll!$AP$2:$AP$555,MATCH(LOWER(Data!A495),LOWER(DataAll!$AO$2:$AO$555),0))</f>
        <v>67.17</v>
      </c>
      <c r="N495" cm="1">
        <f t="array" ref="N495">INDEX(DataAll!$AQ$2:$AQ$555,MATCH(LOWER(Data!A495),LOWER(DataAll!$AO$2:$AO$555),0))</f>
        <v>71.14</v>
      </c>
      <c r="O495" cm="1">
        <f t="array" ref="O495">INDEX(DataAll!$AT$2:$AT$555,MATCH(LOWER(Data!A495),LOWER(DataAll!$AS$2:$AS$555),0))</f>
        <v>9.52</v>
      </c>
      <c r="P495" cm="1">
        <f t="array" ref="P495">INDEX(DataAll!$AU$2:$AU$555,MATCH(LOWER(Data!A495),LOWER(DataAll!$AS$2:$AS$555),0))</f>
        <v>9.01</v>
      </c>
      <c r="Q495" cm="1">
        <f t="array" ref="Q495">INDEX(DataAll!$AX$2:$AX$556,MATCH(LOWER(Data!A495),LOWER(DataAll!$AW$2:$AW$556),0))</f>
        <v>38.450000000000003</v>
      </c>
      <c r="R495" cm="1">
        <f t="array" ref="R495">INDEX('Longitude and Latitude'!$B$2:$B$579,MATCH(LOWER(Data!A495),LOWER('Longitude and Latitude'!$A$2:$A$579),0))</f>
        <v>1.5709993</v>
      </c>
      <c r="S495" cm="1">
        <f t="array" ref="S495">INDEX('Longitude and Latitude'!$C$2:$C$579,MATCH(LOWER(Data!A495),LOWER('Longitude and Latitude'!$A$2:$A$579),0))</f>
        <v>127.80876929999999</v>
      </c>
      <c r="T495" t="b">
        <f>IF(EXACT(A495, UPPER(A495)), TRUE, FALSE)</f>
        <v>1</v>
      </c>
    </row>
    <row r="496" spans="1:20" x14ac:dyDescent="0.35">
      <c r="A496" t="s">
        <v>490</v>
      </c>
      <c r="B496">
        <v>89.12</v>
      </c>
      <c r="C496" cm="1">
        <f t="array" ref="C496">INDEX(DataAll!$E$2:$E$555,MATCH(LOWER(Data!A496),LOWER(DataAll!$D$2:$D$555),0))</f>
        <v>73.55</v>
      </c>
      <c r="D496" cm="1">
        <f t="array" ref="D496">INDEX(DataAll!$H$2:$H$579,MATCH(LOWER(Data!A496),LOWER(DataAll!$G$2:$G$555),0))</f>
        <v>0.53200000000000003</v>
      </c>
      <c r="E496" cm="1">
        <f t="array" ref="E496">INDEX(DataAll!$K$2:$K$579,MATCH(LOWER(Data!A496),LOWER(DataAll!$J$2:$J$555),0))</f>
        <v>24</v>
      </c>
      <c r="F496" cm="1">
        <f t="array" ref="F496">INDEX(DataAll!$N$2:$N$555,MATCH(LOWER(Data!A496),LOWER(DataAll!$M$2:$M$555),0))</f>
        <v>47.56</v>
      </c>
      <c r="G496" cm="1">
        <f t="array" ref="G496">INDEX(DataAll!$Q$2:$Q$555,MATCH(LOWER(Data!A496),LOWER(DataAll!$P$2:$P$555),0))</f>
        <v>37.409999999999997</v>
      </c>
      <c r="H496" cm="1">
        <f t="array" ref="H496">INDEX(DataAll!$T$2:$T$555,MATCH(LOWER(Data!A496),LOWER(DataAll!$S$2:$S$555),0))</f>
        <v>0.33500000000000002</v>
      </c>
      <c r="I496" cm="1">
        <f t="array" ref="I496">INDEX(DataAll!$W$2:$W$555,MATCH(LOWER(Data!A496),LOWER(DataAll!$V$2:$V$555),0))</f>
        <v>33.520000000000003</v>
      </c>
      <c r="J496" cm="1">
        <f t="array" ref="J496">INDEX(DataAll!$Z$2:$Z$555,MATCH(LOWER(Data!A496),LOWER(DataAll!$Y$2:$Y$555),0))</f>
        <v>2.2200000000000002</v>
      </c>
      <c r="K496" cm="1">
        <f t="array" ref="K496">INDEX(DataAll!$AM$2:$AM$555,MATCH(LOWER(Data!A496),LOWER(DataAll!$AL$2:$AL$555),0))</f>
        <v>8.74</v>
      </c>
      <c r="L496" cm="1">
        <f t="array" ref="L496">INDEX(DataAll!$AJ$2:$AJ$555,MATCH(LOWER(Data!A496),LOWER(DataAll!$AI$2:$AI$555),0))</f>
        <v>43.79</v>
      </c>
      <c r="M496" cm="1">
        <f t="array" ref="M496">INDEX(DataAll!$AP$2:$AP$555,MATCH(LOWER(Data!A496),LOWER(DataAll!$AO$2:$AO$555),0))</f>
        <v>64.989999999999995</v>
      </c>
      <c r="N496" cm="1">
        <f t="array" ref="N496">INDEX(DataAll!$AQ$2:$AQ$555,MATCH(LOWER(Data!A496),LOWER(DataAll!$AO$2:$AO$555),0))</f>
        <v>68.930000000000007</v>
      </c>
      <c r="O496" cm="1">
        <f t="array" ref="O496">INDEX(DataAll!$AT$2:$AT$555,MATCH(LOWER(Data!A496),LOWER(DataAll!$AS$2:$AS$555),0))</f>
        <v>9.09</v>
      </c>
      <c r="P496" cm="1">
        <f t="array" ref="P496">INDEX(DataAll!$AU$2:$AU$555,MATCH(LOWER(Data!A496),LOWER(DataAll!$AS$2:$AS$555),0))</f>
        <v>8.41</v>
      </c>
      <c r="Q496" cm="1">
        <f t="array" ref="Q496">INDEX(DataAll!$AX$2:$AX$556,MATCH(LOWER(Data!A496),LOWER(DataAll!$AW$2:$AW$556),0))</f>
        <v>31.09</v>
      </c>
      <c r="R496" cm="1">
        <f t="array" ref="R496">INDEX('Longitude and Latitude'!$B$2:$B$579,MATCH(LOWER(Data!A496),LOWER('Longitude and Latitude'!$A$2:$A$579),0))</f>
        <v>1.3121235</v>
      </c>
      <c r="S496" cm="1">
        <f t="array" ref="S496">INDEX('Longitude and Latitude'!$C$2:$C$579,MATCH(LOWER(Data!A496),LOWER('Longitude and Latitude'!$A$2:$A$579),0))</f>
        <v>128.48499229999999</v>
      </c>
      <c r="T496" t="b">
        <f>IF(EXACT(A496, UPPER(A496)), TRUE, FALSE)</f>
        <v>0</v>
      </c>
    </row>
    <row r="497" spans="1:20" x14ac:dyDescent="0.35">
      <c r="A497" t="s">
        <v>491</v>
      </c>
      <c r="B497">
        <v>90.46</v>
      </c>
      <c r="C497" cm="1">
        <f t="array" ref="C497">INDEX(DataAll!$E$2:$E$555,MATCH(LOWER(Data!A497),LOWER(DataAll!$D$2:$D$555),0))</f>
        <v>53.32</v>
      </c>
      <c r="D497" cm="1">
        <f t="array" ref="D497">INDEX(DataAll!$H$2:$H$579,MATCH(LOWER(Data!A497),LOWER(DataAll!$G$2:$G$555),0))</f>
        <v>0.60599999999999998</v>
      </c>
      <c r="E497" cm="1">
        <f t="array" ref="E497">INDEX(DataAll!$K$2:$K$579,MATCH(LOWER(Data!A497),LOWER(DataAll!$J$2:$J$555),0))</f>
        <v>5</v>
      </c>
      <c r="F497" cm="1">
        <f t="array" ref="F497">INDEX(DataAll!$N$2:$N$555,MATCH(LOWER(Data!A497),LOWER(DataAll!$M$2:$M$555),0))</f>
        <v>43.86</v>
      </c>
      <c r="G497" cm="1">
        <f t="array" ref="G497">INDEX(DataAll!$Q$2:$Q$555,MATCH(LOWER(Data!A497),LOWER(DataAll!$P$2:$P$555),0))</f>
        <v>15.3</v>
      </c>
      <c r="H497" cm="1">
        <f t="array" ref="H497">INDEX(DataAll!$T$2:$T$555,MATCH(LOWER(Data!A497),LOWER(DataAll!$S$2:$S$555),0))</f>
        <v>0.28799999999999998</v>
      </c>
      <c r="I497" cm="1">
        <f t="array" ref="I497">INDEX(DataAll!$W$2:$W$555,MATCH(LOWER(Data!A497),LOWER(DataAll!$V$2:$V$555),0))</f>
        <v>30.86</v>
      </c>
      <c r="J497" cm="1">
        <f t="array" ref="J497">INDEX(DataAll!$Z$2:$Z$555,MATCH(LOWER(Data!A497),LOWER(DataAll!$Y$2:$Y$555),0))</f>
        <v>2.75</v>
      </c>
      <c r="K497" cm="1">
        <f t="array" ref="K497">INDEX(DataAll!$AM$2:$AM$555,MATCH(LOWER(Data!A497),LOWER(DataAll!$AL$2:$AL$555),0))</f>
        <v>11.44</v>
      </c>
      <c r="L497" cm="1">
        <f t="array" ref="L497">INDEX(DataAll!$AJ$2:$AJ$555,MATCH(LOWER(Data!A497),LOWER(DataAll!$AI$2:$AI$555),0))</f>
        <v>38.9</v>
      </c>
      <c r="M497" cm="1">
        <f t="array" ref="M497">INDEX(DataAll!$AP$2:$AP$555,MATCH(LOWER(Data!A497),LOWER(DataAll!$AO$2:$AO$555),0))</f>
        <v>63.18</v>
      </c>
      <c r="N497" cm="1">
        <f t="array" ref="N497">INDEX(DataAll!$AQ$2:$AQ$555,MATCH(LOWER(Data!A497),LOWER(DataAll!$AO$2:$AO$555),0))</f>
        <v>67.03</v>
      </c>
      <c r="O497" cm="1">
        <f t="array" ref="O497">INDEX(DataAll!$AT$2:$AT$555,MATCH(LOWER(Data!A497),LOWER(DataAll!$AS$2:$AS$555),0))</f>
        <v>9.5500000000000007</v>
      </c>
      <c r="P497" cm="1">
        <f t="array" ref="P497">INDEX(DataAll!$AU$2:$AU$555,MATCH(LOWER(Data!A497),LOWER(DataAll!$AS$2:$AS$555),0))</f>
        <v>9.02</v>
      </c>
      <c r="Q497" cm="1">
        <f t="array" ref="Q497">INDEX(DataAll!$AX$2:$AX$556,MATCH(LOWER(Data!A497),LOWER(DataAll!$AW$2:$AW$556),0))</f>
        <v>39.270000000000003</v>
      </c>
      <c r="R497" cm="1">
        <f t="array" ref="R497">INDEX('Longitude and Latitude'!$B$2:$B$579,MATCH(LOWER(Data!A497),LOWER('Longitude and Latitude'!$A$2:$A$579),0))</f>
        <v>1.3121235</v>
      </c>
      <c r="S497" cm="1">
        <f t="array" ref="S497">INDEX('Longitude and Latitude'!$C$2:$C$579,MATCH(LOWER(Data!A497),LOWER('Longitude and Latitude'!$A$2:$A$579),0))</f>
        <v>128.48499229999999</v>
      </c>
      <c r="T497" t="b">
        <f>IF(EXACT(A497, UPPER(A497)), TRUE, FALSE)</f>
        <v>0</v>
      </c>
    </row>
    <row r="498" spans="1:20" x14ac:dyDescent="0.35">
      <c r="A498" t="s">
        <v>492</v>
      </c>
      <c r="B498">
        <v>92.85</v>
      </c>
      <c r="C498" cm="1">
        <f t="array" ref="C498">INDEX(DataAll!$E$2:$E$555,MATCH(LOWER(Data!A498),LOWER(DataAll!$D$2:$D$555),0))</f>
        <v>44.91</v>
      </c>
      <c r="D498" cm="1">
        <f t="array" ref="D498">INDEX(DataAll!$H$2:$H$579,MATCH(LOWER(Data!A498),LOWER(DataAll!$G$2:$G$555),0))</f>
        <v>0.85699999999999998</v>
      </c>
      <c r="F498" cm="1">
        <f t="array" ref="F498">INDEX(DataAll!$N$2:$N$555,MATCH(LOWER(Data!A498),LOWER(DataAll!$M$2:$M$555),0))</f>
        <v>56.72</v>
      </c>
      <c r="G498" cm="1">
        <f t="array" ref="G498">INDEX(DataAll!$Q$2:$Q$555,MATCH(LOWER(Data!A498),LOWER(DataAll!$P$2:$P$555),0))</f>
        <v>44.37</v>
      </c>
      <c r="H498" cm="1">
        <f t="array" ref="H498">INDEX(DataAll!$T$2:$T$555,MATCH(LOWER(Data!A498),LOWER(DataAll!$S$2:$S$555),0))</f>
        <v>0.309</v>
      </c>
      <c r="I498" cm="1">
        <f t="array" ref="I498">INDEX(DataAll!$W$2:$W$555,MATCH(LOWER(Data!A498),LOWER(DataAll!$V$2:$V$555),0))</f>
        <v>28.14</v>
      </c>
      <c r="J498" cm="1">
        <f t="array" ref="J498">INDEX(DataAll!$Z$2:$Z$555,MATCH(LOWER(Data!A498),LOWER(DataAll!$Y$2:$Y$555),0))</f>
        <v>2.5</v>
      </c>
      <c r="K498" cm="1">
        <f t="array" ref="K498">INDEX(DataAll!$AM$2:$AM$555,MATCH(LOWER(Data!A498),LOWER(DataAll!$AL$2:$AL$555),0))</f>
        <v>8.17</v>
      </c>
      <c r="L498" cm="1">
        <f t="array" ref="L498">INDEX(DataAll!$AJ$2:$AJ$555,MATCH(LOWER(Data!A498),LOWER(DataAll!$AI$2:$AI$555),0))</f>
        <v>45.8</v>
      </c>
      <c r="M498" cm="1">
        <f t="array" ref="M498">INDEX(DataAll!$AP$2:$AP$555,MATCH(LOWER(Data!A498),LOWER(DataAll!$AO$2:$AO$555),0))</f>
        <v>62.09</v>
      </c>
      <c r="N498" cm="1">
        <f t="array" ref="N498">INDEX(DataAll!$AQ$2:$AQ$555,MATCH(LOWER(Data!A498),LOWER(DataAll!$AO$2:$AO$555),0))</f>
        <v>65.89</v>
      </c>
      <c r="O498" cm="1">
        <f t="array" ref="O498">INDEX(DataAll!$AT$2:$AT$555,MATCH(LOWER(Data!A498),LOWER(DataAll!$AS$2:$AS$555),0))</f>
        <v>9.39</v>
      </c>
      <c r="P498" cm="1">
        <f t="array" ref="P498">INDEX(DataAll!$AU$2:$AU$555,MATCH(LOWER(Data!A498),LOWER(DataAll!$AS$2:$AS$555),0))</f>
        <v>8.89</v>
      </c>
      <c r="Q498" cm="1">
        <f t="array" ref="Q498">INDEX(DataAll!$AX$2:$AX$556,MATCH(LOWER(Data!A498),LOWER(DataAll!$AW$2:$AW$556),0))</f>
        <v>32.35</v>
      </c>
      <c r="R498" cm="1">
        <f t="array" ref="R498">INDEX('Longitude and Latitude'!$B$2:$B$579,MATCH(LOWER(Data!A498),LOWER('Longitude and Latitude'!$A$2:$A$579),0))</f>
        <v>-1.8666666999999999</v>
      </c>
      <c r="S498" cm="1">
        <f t="array" ref="S498">INDEX('Longitude and Latitude'!$C$2:$C$579,MATCH(LOWER(Data!A498),LOWER('Longitude and Latitude'!$A$2:$A$579),0))</f>
        <v>125.3666667</v>
      </c>
      <c r="T498" t="b">
        <f>IF(EXACT(A498, UPPER(A498)), TRUE, FALSE)</f>
        <v>0</v>
      </c>
    </row>
    <row r="499" spans="1:20" x14ac:dyDescent="0.35">
      <c r="A499" t="s">
        <v>493</v>
      </c>
      <c r="B499">
        <v>87.58</v>
      </c>
      <c r="C499" cm="1">
        <f t="array" ref="C499">INDEX(DataAll!$E$2:$E$555,MATCH(LOWER(Data!A499),LOWER(DataAll!$D$2:$D$555),0))</f>
        <v>47.19</v>
      </c>
      <c r="D499" cm="1">
        <f t="array" ref="D499">INDEX(DataAll!$H$2:$H$579,MATCH(LOWER(Data!A499),LOWER(DataAll!$G$2:$G$555),0))</f>
        <v>0.61499999999999999</v>
      </c>
      <c r="E499" cm="1">
        <f t="array" ref="E499">INDEX(DataAll!$K$2:$K$579,MATCH(LOWER(Data!A499),LOWER(DataAll!$J$2:$J$555),0))</f>
        <v>6.67</v>
      </c>
      <c r="F499" cm="1">
        <f t="array" ref="F499">INDEX(DataAll!$N$2:$N$555,MATCH(LOWER(Data!A499),LOWER(DataAll!$M$2:$M$555),0))</f>
        <v>51.12</v>
      </c>
      <c r="G499" cm="1">
        <f t="array" ref="G499">INDEX(DataAll!$Q$2:$Q$555,MATCH(LOWER(Data!A499),LOWER(DataAll!$P$2:$P$555),0))</f>
        <v>30.48</v>
      </c>
      <c r="H499" cm="1">
        <f t="array" ref="H499">INDEX(DataAll!$T$2:$T$555,MATCH(LOWER(Data!A499),LOWER(DataAll!$S$2:$S$555),0))</f>
        <v>0.35499999999999998</v>
      </c>
      <c r="I499" cm="1">
        <f t="array" ref="I499">INDEX(DataAll!$W$2:$W$555,MATCH(LOWER(Data!A499),LOWER(DataAll!$V$2:$V$555),0))</f>
        <v>21.19</v>
      </c>
      <c r="J499" cm="1">
        <f t="array" ref="J499">INDEX(DataAll!$Z$2:$Z$555,MATCH(LOWER(Data!A499),LOWER(DataAll!$Y$2:$Y$555),0))</f>
        <v>2.86</v>
      </c>
      <c r="K499" cm="1">
        <f t="array" ref="K499">INDEX(DataAll!$AM$2:$AM$555,MATCH(LOWER(Data!A499),LOWER(DataAll!$AL$2:$AL$555),0))</f>
        <v>5.68</v>
      </c>
      <c r="L499" cm="1">
        <f t="array" ref="L499">INDEX(DataAll!$AJ$2:$AJ$555,MATCH(LOWER(Data!A499),LOWER(DataAll!$AI$2:$AI$555),0))</f>
        <v>43.06</v>
      </c>
      <c r="M499" cm="1">
        <f t="array" ref="M499">INDEX(DataAll!$AP$2:$AP$555,MATCH(LOWER(Data!A499),LOWER(DataAll!$AO$2:$AO$555),0))</f>
        <v>64.59</v>
      </c>
      <c r="N499" cm="1">
        <f t="array" ref="N499">INDEX(DataAll!$AQ$2:$AQ$555,MATCH(LOWER(Data!A499),LOWER(DataAll!$AO$2:$AO$555),0))</f>
        <v>68.5</v>
      </c>
      <c r="O499" cm="1">
        <f t="array" ref="O499">INDEX(DataAll!$AT$2:$AT$555,MATCH(LOWER(Data!A499),LOWER(DataAll!$AS$2:$AS$555),0))</f>
        <v>8.5399999999999991</v>
      </c>
      <c r="P499" cm="1">
        <f t="array" ref="P499">INDEX(DataAll!$AU$2:$AU$555,MATCH(LOWER(Data!A499),LOWER(DataAll!$AS$2:$AS$555),0))</f>
        <v>7.82</v>
      </c>
      <c r="Q499" cm="1">
        <f t="array" ref="Q499">INDEX(DataAll!$AX$2:$AX$556,MATCH(LOWER(Data!A499),LOWER(DataAll!$AW$2:$AW$556),0))</f>
        <v>26.53</v>
      </c>
      <c r="R499" cm="1">
        <f t="array" ref="R499">INDEX('Longitude and Latitude'!$B$2:$B$579,MATCH(LOWER(Data!A499),LOWER('Longitude and Latitude'!$A$2:$A$579),0))</f>
        <v>1.3121235</v>
      </c>
      <c r="S499" cm="1">
        <f t="array" ref="S499">INDEX('Longitude and Latitude'!$C$2:$C$579,MATCH(LOWER(Data!A499),LOWER('Longitude and Latitude'!$A$2:$A$579),0))</f>
        <v>128.48499229999999</v>
      </c>
      <c r="T499" t="b">
        <f>IF(EXACT(A499, UPPER(A499)), TRUE, FALSE)</f>
        <v>0</v>
      </c>
    </row>
    <row r="500" spans="1:20" x14ac:dyDescent="0.35">
      <c r="A500" t="s">
        <v>494</v>
      </c>
      <c r="B500">
        <v>90.03</v>
      </c>
      <c r="C500" cm="1">
        <f t="array" ref="C500">INDEX(DataAll!$E$2:$E$555,MATCH(LOWER(Data!A500),LOWER(DataAll!$D$2:$D$555),0))</f>
        <v>68.400000000000006</v>
      </c>
      <c r="D500" cm="1">
        <f t="array" ref="D500">INDEX(DataAll!$H$2:$H$579,MATCH(LOWER(Data!A500),LOWER(DataAll!$G$2:$G$555),0))</f>
        <v>0.56000000000000005</v>
      </c>
      <c r="E500" cm="1">
        <f t="array" ref="E500">INDEX(DataAll!$K$2:$K$579,MATCH(LOWER(Data!A500),LOWER(DataAll!$J$2:$J$555),0))</f>
        <v>20</v>
      </c>
      <c r="F500" cm="1">
        <f t="array" ref="F500">INDEX(DataAll!$N$2:$N$555,MATCH(LOWER(Data!A500),LOWER(DataAll!$M$2:$M$555),0))</f>
        <v>45.45</v>
      </c>
      <c r="G500" cm="1">
        <f t="array" ref="G500">INDEX(DataAll!$Q$2:$Q$555,MATCH(LOWER(Data!A500),LOWER(DataAll!$P$2:$P$555),0))</f>
        <v>31.22</v>
      </c>
      <c r="H500" cm="1">
        <f t="array" ref="H500">INDEX(DataAll!$T$2:$T$555,MATCH(LOWER(Data!A500),LOWER(DataAll!$S$2:$S$555),0))</f>
        <v>0.317</v>
      </c>
      <c r="I500" cm="1">
        <f t="array" ref="I500">INDEX(DataAll!$W$2:$W$555,MATCH(LOWER(Data!A500),LOWER(DataAll!$V$2:$V$555),0))</f>
        <v>29.62</v>
      </c>
      <c r="J500" cm="1">
        <f t="array" ref="J500">INDEX(DataAll!$Z$2:$Z$555,MATCH(LOWER(Data!A500),LOWER(DataAll!$Y$2:$Y$555),0))</f>
        <v>2.48</v>
      </c>
      <c r="K500" cm="1">
        <f t="array" ref="K500">INDEX(DataAll!$AM$2:$AM$555,MATCH(LOWER(Data!A500),LOWER(DataAll!$AL$2:$AL$555),0))</f>
        <v>4.62</v>
      </c>
      <c r="L500" cm="1">
        <f t="array" ref="L500">INDEX(DataAll!$AJ$2:$AJ$555,MATCH(LOWER(Data!A500),LOWER(DataAll!$AI$2:$AI$555),0))</f>
        <v>29.03</v>
      </c>
      <c r="M500" cm="1">
        <f t="array" ref="M500">INDEX(DataAll!$AP$2:$AP$555,MATCH(LOWER(Data!A500),LOWER(DataAll!$AO$2:$AO$555),0))</f>
        <v>68.19</v>
      </c>
      <c r="N500" cm="1">
        <f t="array" ref="N500">INDEX(DataAll!$AQ$2:$AQ$555,MATCH(LOWER(Data!A500),LOWER(DataAll!$AO$2:$AO$555),0))</f>
        <v>72.13</v>
      </c>
      <c r="O500" cm="1">
        <f t="array" ref="O500">INDEX(DataAll!$AT$2:$AT$555,MATCH(LOWER(Data!A500),LOWER(DataAll!$AS$2:$AS$555),0))</f>
        <v>9.2200000000000006</v>
      </c>
      <c r="P500" cm="1">
        <f t="array" ref="P500">INDEX(DataAll!$AU$2:$AU$555,MATCH(LOWER(Data!A500),LOWER(DataAll!$AS$2:$AS$555),0))</f>
        <v>8.25</v>
      </c>
      <c r="Q500" cm="1">
        <f t="array" ref="Q500">INDEX(DataAll!$AX$2:$AX$556,MATCH(LOWER(Data!A500),LOWER(DataAll!$AW$2:$AW$556),0))</f>
        <v>32.200000000000003</v>
      </c>
      <c r="R500" cm="1">
        <f t="array" ref="R500">INDEX('Longitude and Latitude'!$B$2:$B$579,MATCH(LOWER(Data!A500),LOWER('Longitude and Latitude'!$A$2:$A$579),0))</f>
        <v>1.3121235</v>
      </c>
      <c r="S500" cm="1">
        <f t="array" ref="S500">INDEX('Longitude and Latitude'!$C$2:$C$579,MATCH(LOWER(Data!A500),LOWER('Longitude and Latitude'!$A$2:$A$579),0))</f>
        <v>128.48499229999999</v>
      </c>
      <c r="T500" t="b">
        <f>IF(EXACT(A500, UPPER(A500)), TRUE, FALSE)</f>
        <v>0</v>
      </c>
    </row>
    <row r="501" spans="1:20" x14ac:dyDescent="0.35">
      <c r="A501" t="s">
        <v>495</v>
      </c>
      <c r="B501">
        <v>82.59</v>
      </c>
      <c r="C501" cm="1">
        <f t="array" ref="C501">INDEX(DataAll!$E$2:$E$555,MATCH(LOWER(Data!A501),LOWER(DataAll!$D$2:$D$555),0))</f>
        <v>50.05</v>
      </c>
      <c r="D501" cm="1">
        <f t="array" ref="D501">INDEX(DataAll!$H$2:$H$579,MATCH(LOWER(Data!A501),LOWER(DataAll!$G$2:$G$555),0))</f>
        <v>0.59699999999999998</v>
      </c>
      <c r="E501" cm="1">
        <f t="array" ref="E501">INDEX(DataAll!$K$2:$K$579,MATCH(LOWER(Data!A501),LOWER(DataAll!$J$2:$J$555),0))</f>
        <v>5</v>
      </c>
      <c r="F501" cm="1">
        <f t="array" ref="F501">INDEX(DataAll!$N$2:$N$555,MATCH(LOWER(Data!A501),LOWER(DataAll!$M$2:$M$555),0))</f>
        <v>52.42</v>
      </c>
      <c r="G501" cm="1">
        <f t="array" ref="G501">INDEX(DataAll!$Q$2:$Q$555,MATCH(LOWER(Data!A501),LOWER(DataAll!$P$2:$P$555),0))</f>
        <v>32.270000000000003</v>
      </c>
      <c r="H501" cm="1">
        <f t="array" ref="H501">INDEX(DataAll!$T$2:$T$555,MATCH(LOWER(Data!A501),LOWER(DataAll!$S$2:$S$555),0))</f>
        <v>0.316</v>
      </c>
      <c r="I501" cm="1">
        <f t="array" ref="I501">INDEX(DataAll!$W$2:$W$555,MATCH(LOWER(Data!A501),LOWER(DataAll!$V$2:$V$555),0))</f>
        <v>25.63</v>
      </c>
      <c r="J501" cm="1">
        <f t="array" ref="J501">INDEX(DataAll!$Z$2:$Z$555,MATCH(LOWER(Data!A501),LOWER(DataAll!$Y$2:$Y$555),0))</f>
        <v>2.73</v>
      </c>
      <c r="K501" cm="1">
        <f t="array" ref="K501">INDEX(DataAll!$AM$2:$AM$555,MATCH(LOWER(Data!A501),LOWER(DataAll!$AL$2:$AL$555),0))</f>
        <v>12.47</v>
      </c>
      <c r="L501" cm="1">
        <f t="array" ref="L501">INDEX(DataAll!$AJ$2:$AJ$555,MATCH(LOWER(Data!A501),LOWER(DataAll!$AI$2:$AI$555),0))</f>
        <v>28.62</v>
      </c>
      <c r="M501" cm="1">
        <f t="array" ref="M501">INDEX(DataAll!$AP$2:$AP$555,MATCH(LOWER(Data!A501),LOWER(DataAll!$AO$2:$AO$555),0))</f>
        <v>67.97</v>
      </c>
      <c r="N501" cm="1">
        <f t="array" ref="N501">INDEX(DataAll!$AQ$2:$AQ$555,MATCH(LOWER(Data!A501),LOWER(DataAll!$AO$2:$AO$555),0))</f>
        <v>71.92</v>
      </c>
      <c r="O501" cm="1">
        <f t="array" ref="O501">INDEX(DataAll!$AT$2:$AT$555,MATCH(LOWER(Data!A501),LOWER(DataAll!$AS$2:$AS$555),0))</f>
        <v>9.09</v>
      </c>
      <c r="P501" cm="1">
        <f t="array" ref="P501">INDEX(DataAll!$AU$2:$AU$555,MATCH(LOWER(Data!A501),LOWER(DataAll!$AS$2:$AS$555),0))</f>
        <v>8.42</v>
      </c>
      <c r="Q501" cm="1">
        <f t="array" ref="Q501">INDEX(DataAll!$AX$2:$AX$556,MATCH(LOWER(Data!A501),LOWER(DataAll!$AW$2:$AW$556),0))</f>
        <v>30.21</v>
      </c>
      <c r="R501" cm="1">
        <f t="array" ref="R501">INDEX('Longitude and Latitude'!$B$2:$B$579,MATCH(LOWER(Data!A501),LOWER('Longitude and Latitude'!$A$2:$A$579),0))</f>
        <v>1.3121235</v>
      </c>
      <c r="S501" cm="1">
        <f t="array" ref="S501">INDEX('Longitude and Latitude'!$C$2:$C$579,MATCH(LOWER(Data!A501),LOWER('Longitude and Latitude'!$A$2:$A$579),0))</f>
        <v>128.48499229999999</v>
      </c>
      <c r="T501" t="b">
        <f>IF(EXACT(A501, UPPER(A501)), TRUE, FALSE)</f>
        <v>0</v>
      </c>
    </row>
    <row r="502" spans="1:20" x14ac:dyDescent="0.35">
      <c r="A502" t="s">
        <v>496</v>
      </c>
      <c r="B502">
        <v>71.58</v>
      </c>
      <c r="C502" cm="1">
        <f t="array" ref="C502">INDEX(DataAll!$E$2:$E$555,MATCH(LOWER(Data!A502),LOWER(DataAll!$D$2:$D$555),0))</f>
        <v>54.56</v>
      </c>
      <c r="D502" cm="1">
        <f t="array" ref="D502">INDEX(DataAll!$H$2:$H$579,MATCH(LOWER(Data!A502),LOWER(DataAll!$G$2:$G$555),0))</f>
        <v>0.55600000000000005</v>
      </c>
      <c r="E502" cm="1">
        <f t="array" ref="E502">INDEX(DataAll!$K$2:$K$579,MATCH(LOWER(Data!A502),LOWER(DataAll!$J$2:$J$555),0))</f>
        <v>10</v>
      </c>
      <c r="F502" cm="1">
        <f t="array" ref="F502">INDEX(DataAll!$N$2:$N$555,MATCH(LOWER(Data!A502),LOWER(DataAll!$M$2:$M$555),0))</f>
        <v>40.409999999999997</v>
      </c>
      <c r="G502" cm="1">
        <f t="array" ref="G502">INDEX(DataAll!$Q$2:$Q$555,MATCH(LOWER(Data!A502),LOWER(DataAll!$P$2:$P$555),0))</f>
        <v>30.64</v>
      </c>
      <c r="H502" cm="1">
        <f t="array" ref="H502">INDEX(DataAll!$T$2:$T$555,MATCH(LOWER(Data!A502),LOWER(DataAll!$S$2:$S$555),0))</f>
        <v>0.33600000000000002</v>
      </c>
      <c r="I502" cm="1">
        <f t="array" ref="I502">INDEX(DataAll!$W$2:$W$555,MATCH(LOWER(Data!A502),LOWER(DataAll!$V$2:$V$555),0))</f>
        <v>27.13</v>
      </c>
      <c r="J502" cm="1">
        <f t="array" ref="J502">INDEX(DataAll!$Z$2:$Z$555,MATCH(LOWER(Data!A502),LOWER(DataAll!$Y$2:$Y$555),0))</f>
        <v>2.95</v>
      </c>
      <c r="K502" cm="1">
        <f t="array" ref="K502">INDEX(DataAll!$AM$2:$AM$555,MATCH(LOWER(Data!A502),LOWER(DataAll!$AL$2:$AL$555),0))</f>
        <v>5.38</v>
      </c>
      <c r="L502" cm="1">
        <f t="array" ref="L502">INDEX(DataAll!$AJ$2:$AJ$555,MATCH(LOWER(Data!A502),LOWER(DataAll!$AI$2:$AI$555),0))</f>
        <v>35.26</v>
      </c>
      <c r="M502" cm="1">
        <f t="array" ref="M502">INDEX(DataAll!$AP$2:$AP$555,MATCH(LOWER(Data!A502),LOWER(DataAll!$AO$2:$AO$555),0))</f>
        <v>66.16</v>
      </c>
      <c r="N502" cm="1">
        <f t="array" ref="N502">INDEX(DataAll!$AQ$2:$AQ$555,MATCH(LOWER(Data!A502),LOWER(DataAll!$AO$2:$AO$555),0))</f>
        <v>70.150000000000006</v>
      </c>
      <c r="O502" cm="1">
        <f t="array" ref="O502">INDEX(DataAll!$AT$2:$AT$555,MATCH(LOWER(Data!A502),LOWER(DataAll!$AS$2:$AS$555),0))</f>
        <v>8.0299999999999994</v>
      </c>
      <c r="P502" cm="1">
        <f t="array" ref="P502">INDEX(DataAll!$AU$2:$AU$555,MATCH(LOWER(Data!A502),LOWER(DataAll!$AS$2:$AS$555),0))</f>
        <v>7.08</v>
      </c>
      <c r="Q502" cm="1">
        <f t="array" ref="Q502">INDEX(DataAll!$AX$2:$AX$556,MATCH(LOWER(Data!A502),LOWER(DataAll!$AW$2:$AW$556),0))</f>
        <v>26.21</v>
      </c>
      <c r="R502" cm="1">
        <f t="array" ref="R502">INDEX('Longitude and Latitude'!$B$2:$B$579,MATCH(LOWER(Data!A502),LOWER('Longitude and Latitude'!$A$2:$A$579),0))</f>
        <v>2</v>
      </c>
      <c r="S502" cm="1">
        <f t="array" ref="S502">INDEX('Longitude and Latitude'!$C$2:$C$579,MATCH(LOWER(Data!A502),LOWER('Longitude and Latitude'!$A$2:$A$579),0))</f>
        <v>128</v>
      </c>
      <c r="T502" t="b">
        <f>IF(EXACT(A502, UPPER(A502)), TRUE, FALSE)</f>
        <v>0</v>
      </c>
    </row>
    <row r="503" spans="1:20" x14ac:dyDescent="0.35">
      <c r="A503" t="s">
        <v>497</v>
      </c>
      <c r="B503">
        <v>84.51</v>
      </c>
      <c r="C503" cm="1">
        <f t="array" ref="C503">INDEX(DataAll!$E$2:$E$555,MATCH(LOWER(Data!A503),LOWER(DataAll!$D$2:$D$555),0))</f>
        <v>58.6</v>
      </c>
      <c r="D503" cm="1">
        <f t="array" ref="D503">INDEX(DataAll!$H$2:$H$579,MATCH(LOWER(Data!A503),LOWER(DataAll!$G$2:$G$555),0))</f>
        <v>0.61699999999999999</v>
      </c>
      <c r="E503" cm="1">
        <f t="array" ref="E503">INDEX(DataAll!$K$2:$K$579,MATCH(LOWER(Data!A503),LOWER(DataAll!$J$2:$J$555),0))</f>
        <v>25</v>
      </c>
      <c r="F503" cm="1">
        <f t="array" ref="F503">INDEX(DataAll!$N$2:$N$555,MATCH(LOWER(Data!A503),LOWER(DataAll!$M$2:$M$555),0))</f>
        <v>50.34</v>
      </c>
      <c r="G503" cm="1">
        <f t="array" ref="G503">INDEX(DataAll!$Q$2:$Q$555,MATCH(LOWER(Data!A503),LOWER(DataAll!$P$2:$P$555),0))</f>
        <v>39.21</v>
      </c>
      <c r="H503" cm="1">
        <f t="array" ref="H503">INDEX(DataAll!$T$2:$T$555,MATCH(LOWER(Data!A503),LOWER(DataAll!$S$2:$S$555),0))</f>
        <v>0.36199999999999999</v>
      </c>
      <c r="I503" cm="1">
        <f t="array" ref="I503">INDEX(DataAll!$W$2:$W$555,MATCH(LOWER(Data!A503),LOWER(DataAll!$V$2:$V$555),0))</f>
        <v>13</v>
      </c>
      <c r="J503" cm="1">
        <f t="array" ref="J503">INDEX(DataAll!$Z$2:$Z$555,MATCH(LOWER(Data!A503),LOWER(DataAll!$Y$2:$Y$555),0))</f>
        <v>2.41</v>
      </c>
      <c r="K503" cm="1">
        <f t="array" ref="K503">INDEX(DataAll!$AM$2:$AM$555,MATCH(LOWER(Data!A503),LOWER(DataAll!$AL$2:$AL$555),0))</f>
        <v>7.31</v>
      </c>
      <c r="L503" cm="1">
        <f t="array" ref="L503">INDEX(DataAll!$AJ$2:$AJ$555,MATCH(LOWER(Data!A503),LOWER(DataAll!$AI$2:$AI$555),0))</f>
        <v>33.119999999999997</v>
      </c>
      <c r="M503" cm="1">
        <f t="array" ref="M503">INDEX(DataAll!$AP$2:$AP$555,MATCH(LOWER(Data!A503),LOWER(DataAll!$AO$2:$AO$555),0))</f>
        <v>60.95</v>
      </c>
      <c r="N503" cm="1">
        <f t="array" ref="N503">INDEX(DataAll!$AQ$2:$AQ$555,MATCH(LOWER(Data!A503),LOWER(DataAll!$AO$2:$AO$555),0))</f>
        <v>64.72</v>
      </c>
      <c r="O503" cm="1">
        <f t="array" ref="O503">INDEX(DataAll!$AT$2:$AT$555,MATCH(LOWER(Data!A503),LOWER(DataAll!$AS$2:$AS$555),0))</f>
        <v>8.33</v>
      </c>
      <c r="P503" cm="1">
        <f t="array" ref="P503">INDEX(DataAll!$AU$2:$AU$555,MATCH(LOWER(Data!A503),LOWER(DataAll!$AS$2:$AS$555),0))</f>
        <v>7.76</v>
      </c>
      <c r="Q503" cm="1">
        <f t="array" ref="Q503">INDEX(DataAll!$AX$2:$AX$556,MATCH(LOWER(Data!A503),LOWER(DataAll!$AW$2:$AW$556),0))</f>
        <v>22.37</v>
      </c>
      <c r="R503" cm="1">
        <f t="array" ref="R503">INDEX('Longitude and Latitude'!$B$2:$B$579,MATCH(LOWER(Data!A503),LOWER('Longitude and Latitude'!$A$2:$A$579),0))</f>
        <v>-1.8</v>
      </c>
      <c r="S503" cm="1">
        <f t="array" ref="S503">INDEX('Longitude and Latitude'!$C$2:$C$579,MATCH(LOWER(Data!A503),LOWER('Longitude and Latitude'!$A$2:$A$579),0))</f>
        <v>124.8</v>
      </c>
      <c r="T503" t="b">
        <f>IF(EXACT(A503, UPPER(A503)), TRUE, FALSE)</f>
        <v>0</v>
      </c>
    </row>
    <row r="504" spans="1:20" x14ac:dyDescent="0.35">
      <c r="A504" t="s">
        <v>498</v>
      </c>
      <c r="B504">
        <v>92.37</v>
      </c>
      <c r="C504" cm="1">
        <f t="array" ref="C504">INDEX(DataAll!$E$2:$E$555,MATCH(LOWER(Data!A504),LOWER(DataAll!$D$2:$D$555),0))</f>
        <v>74.45</v>
      </c>
      <c r="D504" cm="1">
        <f t="array" ref="D504">INDEX(DataAll!$H$2:$H$579,MATCH(LOWER(Data!A504),LOWER(DataAll!$G$2:$G$555),0))</f>
        <v>0.40600000000000003</v>
      </c>
      <c r="E504" cm="1">
        <f t="array" ref="E504">INDEX(DataAll!$K$2:$K$579,MATCH(LOWER(Data!A504),LOWER(DataAll!$J$2:$J$555),0))</f>
        <v>20</v>
      </c>
      <c r="F504" cm="1">
        <f t="array" ref="F504">INDEX(DataAll!$N$2:$N$555,MATCH(LOWER(Data!A504),LOWER(DataAll!$M$2:$M$555),0))</f>
        <v>49.26</v>
      </c>
      <c r="G504" cm="1">
        <f t="array" ref="G504">INDEX(DataAll!$Q$2:$Q$555,MATCH(LOWER(Data!A504),LOWER(DataAll!$P$2:$P$555),0))</f>
        <v>17.86</v>
      </c>
      <c r="H504" cm="1">
        <f t="array" ref="H504">INDEX(DataAll!$T$2:$T$555,MATCH(LOWER(Data!A504),LOWER(DataAll!$S$2:$S$555),0))</f>
        <v>0.22900000000000001</v>
      </c>
      <c r="I504" cm="1">
        <f t="array" ref="I504">INDEX(DataAll!$W$2:$W$555,MATCH(LOWER(Data!A504),LOWER(DataAll!$V$2:$V$555),0))</f>
        <v>36.520000000000003</v>
      </c>
      <c r="J504" cm="1">
        <f t="array" ref="J504">INDEX(DataAll!$Z$2:$Z$555,MATCH(LOWER(Data!A504),LOWER(DataAll!$Y$2:$Y$555),0))</f>
        <v>2.0699999999999998</v>
      </c>
      <c r="K504" cm="1">
        <f t="array" ref="K504">INDEX(DataAll!$AM$2:$AM$555,MATCH(LOWER(Data!A504),LOWER(DataAll!$AL$2:$AL$555),0))</f>
        <v>3.39</v>
      </c>
      <c r="L504" cm="1">
        <f t="array" ref="L504">INDEX(DataAll!$AJ$2:$AJ$555,MATCH(LOWER(Data!A504),LOWER(DataAll!$AI$2:$AI$555),0))</f>
        <v>26.06</v>
      </c>
      <c r="M504" cm="1">
        <f t="array" ref="M504">INDEX(DataAll!$AP$2:$AP$555,MATCH(LOWER(Data!A504),LOWER(DataAll!$AO$2:$AO$555),0))</f>
        <v>69.760000000000005</v>
      </c>
      <c r="N504" cm="1">
        <f t="array" ref="N504">INDEX(DataAll!$AQ$2:$AQ$555,MATCH(LOWER(Data!A504),LOWER(DataAll!$AO$2:$AO$555),0))</f>
        <v>73.739999999999995</v>
      </c>
      <c r="O504" cm="1">
        <f t="array" ref="O504">INDEX(DataAll!$AT$2:$AT$555,MATCH(LOWER(Data!A504),LOWER(DataAll!$AS$2:$AS$555),0))</f>
        <v>12.34</v>
      </c>
      <c r="P504" cm="1">
        <f t="array" ref="P504">INDEX(DataAll!$AU$2:$AU$555,MATCH(LOWER(Data!A504),LOWER(DataAll!$AS$2:$AS$555),0))</f>
        <v>11.7</v>
      </c>
      <c r="Q504" cm="1">
        <f t="array" ref="Q504">INDEX(DataAll!$AX$2:$AX$556,MATCH(LOWER(Data!A504),LOWER(DataAll!$AW$2:$AW$556),0))</f>
        <v>67.14</v>
      </c>
      <c r="R504" cm="1">
        <f t="array" ref="R504">INDEX('Longitude and Latitude'!$B$2:$B$579,MATCH(LOWER(Data!A504),LOWER('Longitude and Latitude'!$A$2:$A$579),0))</f>
        <v>0.78333330000000001</v>
      </c>
      <c r="S504" cm="1">
        <f t="array" ref="S504">INDEX('Longitude and Latitude'!$C$2:$C$579,MATCH(LOWER(Data!A504),LOWER('Longitude and Latitude'!$A$2:$A$579),0))</f>
        <v>127.3666667</v>
      </c>
      <c r="T504" t="b">
        <f>IF(EXACT(A504, UPPER(A504)), TRUE, FALSE)</f>
        <v>0</v>
      </c>
    </row>
    <row r="505" spans="1:20" x14ac:dyDescent="0.35">
      <c r="A505" t="s">
        <v>499</v>
      </c>
      <c r="B505">
        <v>96.34</v>
      </c>
      <c r="C505" cm="1">
        <f t="array" ref="C505">INDEX(DataAll!$E$2:$E$555,MATCH(LOWER(Data!A505),LOWER(DataAll!$D$2:$D$555),0))</f>
        <v>67.739999999999995</v>
      </c>
      <c r="D505" cm="1">
        <f t="array" ref="D505">INDEX(DataAll!$H$2:$H$579,MATCH(LOWER(Data!A505),LOWER(DataAll!$G$2:$G$555),0))</f>
        <v>0.47099999999999997</v>
      </c>
      <c r="E505" cm="1">
        <f t="array" ref="E505">INDEX(DataAll!$K$2:$K$579,MATCH(LOWER(Data!A505),LOWER(DataAll!$J$2:$J$555),0))</f>
        <v>16</v>
      </c>
      <c r="F505" cm="1">
        <f t="array" ref="F505">INDEX(DataAll!$N$2:$N$555,MATCH(LOWER(Data!A505),LOWER(DataAll!$M$2:$M$555),0))</f>
        <v>50.25</v>
      </c>
      <c r="G505" cm="1">
        <f t="array" ref="G505">INDEX(DataAll!$Q$2:$Q$555,MATCH(LOWER(Data!A505),LOWER(DataAll!$P$2:$P$555),0))</f>
        <v>26.77</v>
      </c>
      <c r="H505" cm="1">
        <f t="array" ref="H505">INDEX(DataAll!$T$2:$T$555,MATCH(LOWER(Data!A505),LOWER(DataAll!$S$2:$S$555),0))</f>
        <v>0.19900000000000001</v>
      </c>
      <c r="I505" cm="1">
        <f t="array" ref="I505">INDEX(DataAll!$W$2:$W$555,MATCH(LOWER(Data!A505),LOWER(DataAll!$V$2:$V$555),0))</f>
        <v>33.19</v>
      </c>
      <c r="J505" cm="1">
        <f t="array" ref="J505">INDEX(DataAll!$Z$2:$Z$555,MATCH(LOWER(Data!A505),LOWER(DataAll!$Y$2:$Y$555),0))</f>
        <v>2.11</v>
      </c>
      <c r="K505" cm="1">
        <f t="array" ref="K505">INDEX(DataAll!$AM$2:$AM$555,MATCH(LOWER(Data!A505),LOWER(DataAll!$AL$2:$AL$555),0))</f>
        <v>6.35</v>
      </c>
      <c r="L505" cm="1">
        <f t="array" ref="L505">INDEX(DataAll!$AJ$2:$AJ$555,MATCH(LOWER(Data!A505),LOWER(DataAll!$AI$2:$AI$555),0))</f>
        <v>27.64</v>
      </c>
      <c r="M505" cm="1">
        <f t="array" ref="M505">INDEX(DataAll!$AP$2:$AP$555,MATCH(LOWER(Data!A505),LOWER(DataAll!$AO$2:$AO$555),0))</f>
        <v>68.180000000000007</v>
      </c>
      <c r="N505" cm="1">
        <f t="array" ref="N505">INDEX(DataAll!$AQ$2:$AQ$555,MATCH(LOWER(Data!A505),LOWER(DataAll!$AO$2:$AO$555),0))</f>
        <v>72.12</v>
      </c>
      <c r="O505" cm="1">
        <f t="array" ref="O505">INDEX(DataAll!$AT$2:$AT$555,MATCH(LOWER(Data!A505),LOWER(DataAll!$AS$2:$AS$555),0))</f>
        <v>10.48</v>
      </c>
      <c r="P505" cm="1">
        <f t="array" ref="P505">INDEX(DataAll!$AU$2:$AU$555,MATCH(LOWER(Data!A505),LOWER(DataAll!$AS$2:$AS$555),0))</f>
        <v>9.81</v>
      </c>
      <c r="Q505" cm="1">
        <f t="array" ref="Q505">INDEX(DataAll!$AX$2:$AX$556,MATCH(LOWER(Data!A505),LOWER(DataAll!$AW$2:$AW$556),0))</f>
        <v>43.94</v>
      </c>
      <c r="R505" cm="1">
        <f t="array" ref="R505">INDEX('Longitude and Latitude'!$B$2:$B$579,MATCH(LOWER(Data!A505),LOWER('Longitude and Latitude'!$A$2:$A$579),0))</f>
        <v>0.68333330000000003</v>
      </c>
      <c r="S505" cm="1">
        <f t="array" ref="S505">INDEX('Longitude and Latitude'!$C$2:$C$579,MATCH(LOWER(Data!A505),LOWER('Longitude and Latitude'!$A$2:$A$579),0))</f>
        <v>127.4</v>
      </c>
      <c r="T505" t="b">
        <f>IF(EXACT(A505, UPPER(A505)), TRUE, FALSE)</f>
        <v>0</v>
      </c>
    </row>
    <row r="506" spans="1:20" x14ac:dyDescent="0.35">
      <c r="A506" t="s">
        <v>500</v>
      </c>
      <c r="B506">
        <v>84.18</v>
      </c>
      <c r="C506" cm="1">
        <f t="array" ref="C506">INDEX(DataAll!$E$2:$E$555,MATCH(LOWER(Data!A506),LOWER(DataAll!$D$2:$D$555),0))</f>
        <v>62.42</v>
      </c>
      <c r="D506" cm="1">
        <f t="array" ref="D506">INDEX(DataAll!$H$2:$H$579,MATCH(LOWER(Data!A506),LOWER(DataAll!$G$2:$G$555),0))</f>
        <v>0.53700000000000003</v>
      </c>
      <c r="E506" cm="1">
        <f t="array" ref="E506">INDEX(DataAll!$K$2:$K$579,MATCH(LOWER(Data!A506),LOWER(DataAll!$J$2:$J$555),0))</f>
        <v>14.29</v>
      </c>
      <c r="F506" cm="1">
        <f t="array" ref="F506">INDEX(DataAll!$N$2:$N$555,MATCH(LOWER(Data!A506),LOWER(DataAll!$M$2:$M$555),0))</f>
        <v>42.4</v>
      </c>
      <c r="G506" t="e" cm="1">
        <f t="array" ref="G506">INDEX(DataAll!$Q$2:$Q$555,MATCH(LOWER(Data!A506),LOWER(DataAll!$P$2:$P$555),0))</f>
        <v>#N/A</v>
      </c>
      <c r="H506" cm="1">
        <f t="array" ref="H506">INDEX(DataAll!$T$2:$T$555,MATCH(LOWER(Data!A506),LOWER(DataAll!$S$2:$S$555),0))</f>
        <v>0.29899999999999999</v>
      </c>
      <c r="I506" cm="1">
        <f t="array" ref="I506">INDEX(DataAll!$W$2:$W$555,MATCH(LOWER(Data!A506),LOWER(DataAll!$V$2:$V$555),0))</f>
        <v>28.46</v>
      </c>
      <c r="J506" cm="1">
        <f t="array" ref="J506">INDEX(DataAll!$Z$2:$Z$555,MATCH(LOWER(Data!A506),LOWER(DataAll!$Y$2:$Y$555),0))</f>
        <v>2.66</v>
      </c>
      <c r="K506" cm="1">
        <f t="array" ref="K506">INDEX(DataAll!$AM$2:$AM$555,MATCH(LOWER(Data!A506),LOWER(DataAll!$AL$2:$AL$555),0))</f>
        <v>20.49</v>
      </c>
      <c r="L506" cm="1">
        <f t="array" ref="L506">INDEX(DataAll!$AJ$2:$AJ$555,MATCH(LOWER(Data!A506),LOWER(DataAll!$AI$2:$AI$555),0))</f>
        <v>47.23</v>
      </c>
      <c r="M506" cm="1">
        <f t="array" ref="M506">INDEX(DataAll!$AP$2:$AP$555,MATCH(LOWER(Data!A506),LOWER(DataAll!$AO$2:$AO$555),0))</f>
        <v>64.88</v>
      </c>
      <c r="N506" cm="1">
        <f t="array" ref="N506">INDEX(DataAll!$AQ$2:$AQ$555,MATCH(LOWER(Data!A506),LOWER(DataAll!$AO$2:$AO$555),0))</f>
        <v>68.81</v>
      </c>
      <c r="O506" cm="1">
        <f t="array" ref="O506">INDEX(DataAll!$AT$2:$AT$555,MATCH(LOWER(Data!A506),LOWER(DataAll!$AS$2:$AS$555),0))</f>
        <v>10.46</v>
      </c>
      <c r="P506" cm="1">
        <f t="array" ref="P506">INDEX(DataAll!$AU$2:$AU$555,MATCH(LOWER(Data!A506),LOWER(DataAll!$AS$2:$AS$555),0))</f>
        <v>7.88</v>
      </c>
      <c r="Q506" cm="1">
        <f t="array" ref="Q506">INDEX(DataAll!$AX$2:$AX$556,MATCH(LOWER(Data!A506),LOWER(DataAll!$AW$2:$AW$556),0))</f>
        <v>49.64</v>
      </c>
      <c r="R506" cm="1">
        <f t="array" ref="R506">INDEX('Longitude and Latitude'!$B$2:$B$579,MATCH(LOWER(Data!A506),LOWER('Longitude and Latitude'!$A$2:$A$579),0))</f>
        <v>-1.3361154</v>
      </c>
      <c r="S506" cm="1">
        <f t="array" ref="S506">INDEX('Longitude and Latitude'!$C$2:$C$579,MATCH(LOWER(Data!A506),LOWER('Longitude and Latitude'!$A$2:$A$579),0))</f>
        <v>133.17471620000001</v>
      </c>
      <c r="T506" t="b">
        <f>IF(EXACT(A506, UPPER(A506)), TRUE, FALSE)</f>
        <v>1</v>
      </c>
    </row>
    <row r="507" spans="1:20" x14ac:dyDescent="0.35">
      <c r="A507" t="s">
        <v>501</v>
      </c>
      <c r="B507">
        <v>83.88</v>
      </c>
      <c r="C507" cm="1">
        <f t="array" ref="C507">INDEX(DataAll!$E$2:$E$555,MATCH(LOWER(Data!A507),LOWER(DataAll!$D$2:$D$555),0))</f>
        <v>59.49</v>
      </c>
      <c r="D507" cm="1">
        <f t="array" ref="D507">INDEX(DataAll!$H$2:$H$579,MATCH(LOWER(Data!A507),LOWER(DataAll!$G$2:$G$555),0))</f>
        <v>0.52400000000000002</v>
      </c>
      <c r="E507" cm="1">
        <f t="array" ref="E507">INDEX(DataAll!$K$2:$K$579,MATCH(LOWER(Data!A507),LOWER(DataAll!$J$2:$J$555),0))</f>
        <v>10</v>
      </c>
      <c r="F507" cm="1">
        <f t="array" ref="F507">INDEX(DataAll!$N$2:$N$555,MATCH(LOWER(Data!A507),LOWER(DataAll!$M$2:$M$555),0))</f>
        <v>41.12</v>
      </c>
      <c r="G507" cm="1">
        <f t="array" ref="G507">INDEX(DataAll!$Q$2:$Q$555,MATCH(LOWER(Data!A507),LOWER(DataAll!$P$2:$P$555),0))</f>
        <v>24.29</v>
      </c>
      <c r="H507" cm="1">
        <f t="array" ref="H507">INDEX(DataAll!$T$2:$T$555,MATCH(LOWER(Data!A507),LOWER(DataAll!$S$2:$S$555),0))</f>
        <v>0.26100000000000001</v>
      </c>
      <c r="I507" cm="1">
        <f t="array" ref="I507">INDEX(DataAll!$W$2:$W$555,MATCH(LOWER(Data!A507),LOWER(DataAll!$V$2:$V$555),0))</f>
        <v>31.26</v>
      </c>
      <c r="J507" cm="1">
        <f t="array" ref="J507">INDEX(DataAll!$Z$2:$Z$555,MATCH(LOWER(Data!A507),LOWER(DataAll!$Y$2:$Y$555),0))</f>
        <v>2.4700000000000002</v>
      </c>
      <c r="K507" cm="1">
        <f t="array" ref="K507">INDEX(DataAll!$AM$2:$AM$555,MATCH(LOWER(Data!A507),LOWER(DataAll!$AL$2:$AL$555),0))</f>
        <v>21.38</v>
      </c>
      <c r="L507" cm="1">
        <f t="array" ref="L507">INDEX(DataAll!$AJ$2:$AJ$555,MATCH(LOWER(Data!A507),LOWER(DataAll!$AI$2:$AI$555),0))</f>
        <v>30.16</v>
      </c>
      <c r="M507" cm="1">
        <f t="array" ref="M507">INDEX(DataAll!$AP$2:$AP$555,MATCH(LOWER(Data!A507),LOWER(DataAll!$AO$2:$AO$555),0))</f>
        <v>67.08</v>
      </c>
      <c r="N507" cm="1">
        <f t="array" ref="N507">INDEX(DataAll!$AQ$2:$AQ$555,MATCH(LOWER(Data!A507),LOWER(DataAll!$AO$2:$AO$555),0))</f>
        <v>71.05</v>
      </c>
      <c r="O507" cm="1">
        <f t="array" ref="O507">INDEX(DataAll!$AT$2:$AT$555,MATCH(LOWER(Data!A507),LOWER(DataAll!$AS$2:$AS$555),0))</f>
        <v>10.81</v>
      </c>
      <c r="P507" cm="1">
        <f t="array" ref="P507">INDEX(DataAll!$AU$2:$AU$555,MATCH(LOWER(Data!A507),LOWER(DataAll!$AS$2:$AS$555),0))</f>
        <v>8.69</v>
      </c>
      <c r="Q507" cm="1">
        <f t="array" ref="Q507">INDEX(DataAll!$AX$2:$AX$556,MATCH(LOWER(Data!A507),LOWER(DataAll!$AW$2:$AW$556),0))</f>
        <v>56.06</v>
      </c>
      <c r="R507" cm="1">
        <f t="array" ref="R507">INDEX('Longitude and Latitude'!$B$2:$B$579,MATCH(LOWER(Data!A507),LOWER('Longitude and Latitude'!$A$2:$A$579),0))</f>
        <v>-2.8852370000000001</v>
      </c>
      <c r="S507" cm="1">
        <f t="array" ref="S507">INDEX('Longitude and Latitude'!$C$2:$C$579,MATCH(LOWER(Data!A507),LOWER('Longitude and Latitude'!$A$2:$A$579),0))</f>
        <v>132.26582819999999</v>
      </c>
      <c r="T507" t="b">
        <f>IF(EXACT(A507, UPPER(A507)), TRUE, FALSE)</f>
        <v>0</v>
      </c>
    </row>
    <row r="508" spans="1:20" x14ac:dyDescent="0.35">
      <c r="A508" t="s">
        <v>502</v>
      </c>
      <c r="B508">
        <v>84.3</v>
      </c>
      <c r="C508" cm="1">
        <f t="array" ref="C508">INDEX(DataAll!$E$2:$E$555,MATCH(LOWER(Data!A508),LOWER(DataAll!$D$2:$D$555),0))</f>
        <v>80.75</v>
      </c>
      <c r="D508" cm="1">
        <f t="array" ref="D508">INDEX(DataAll!$H$2:$H$579,MATCH(LOWER(Data!A508),LOWER(DataAll!$G$2:$G$555),0))</f>
        <v>0.51100000000000001</v>
      </c>
      <c r="E508" cm="1">
        <f t="array" ref="E508">INDEX(DataAll!$K$2:$K$579,MATCH(LOWER(Data!A508),LOWER(DataAll!$J$2:$J$555),0))</f>
        <v>30</v>
      </c>
      <c r="F508" cm="1">
        <f t="array" ref="F508">INDEX(DataAll!$N$2:$N$555,MATCH(LOWER(Data!A508),LOWER(DataAll!$M$2:$M$555),0))</f>
        <v>51.13</v>
      </c>
      <c r="G508" cm="1">
        <f t="array" ref="G508">INDEX(DataAll!$Q$2:$Q$555,MATCH(LOWER(Data!A508),LOWER(DataAll!$P$2:$P$555),0))</f>
        <v>21.91</v>
      </c>
      <c r="H508" cm="1">
        <f t="array" ref="H508">INDEX(DataAll!$T$2:$T$555,MATCH(LOWER(Data!A508),LOWER(DataAll!$S$2:$S$555),0))</f>
        <v>0.247</v>
      </c>
      <c r="I508" cm="1">
        <f t="array" ref="I508">INDEX(DataAll!$W$2:$W$555,MATCH(LOWER(Data!A508),LOWER(DataAll!$V$2:$V$555),0))</f>
        <v>37.5</v>
      </c>
      <c r="J508" cm="1">
        <f t="array" ref="J508">INDEX(DataAll!$Z$2:$Z$555,MATCH(LOWER(Data!A508),LOWER(DataAll!$Y$2:$Y$555),0))</f>
        <v>2.84</v>
      </c>
      <c r="K508" cm="1">
        <f t="array" ref="K508">INDEX(DataAll!$AM$2:$AM$555,MATCH(LOWER(Data!A508),LOWER(DataAll!$AL$2:$AL$555),0))</f>
        <v>14.57</v>
      </c>
      <c r="L508" cm="1">
        <f t="array" ref="L508">INDEX(DataAll!$AJ$2:$AJ$555,MATCH(LOWER(Data!A508),LOWER(DataAll!$AI$2:$AI$555),0))</f>
        <v>44.19</v>
      </c>
      <c r="M508" cm="1">
        <f t="array" ref="M508">INDEX(DataAll!$AP$2:$AP$555,MATCH(LOWER(Data!A508),LOWER(DataAll!$AO$2:$AO$555),0))</f>
        <v>63.74</v>
      </c>
      <c r="N508" cm="1">
        <f t="array" ref="N508">INDEX(DataAll!$AQ$2:$AQ$555,MATCH(LOWER(Data!A508),LOWER(DataAll!$AO$2:$AO$555),0))</f>
        <v>67.61</v>
      </c>
      <c r="O508" cm="1">
        <f t="array" ref="O508">INDEX(DataAll!$AT$2:$AT$555,MATCH(LOWER(Data!A508),LOWER(DataAll!$AS$2:$AS$555),0))</f>
        <v>10.24</v>
      </c>
      <c r="P508" cm="1">
        <f t="array" ref="P508">INDEX(DataAll!$AU$2:$AU$555,MATCH(LOWER(Data!A508),LOWER(DataAll!$AS$2:$AS$555),0))</f>
        <v>7.97</v>
      </c>
      <c r="Q508" cm="1">
        <f t="array" ref="Q508">INDEX(DataAll!$AX$2:$AX$556,MATCH(LOWER(Data!A508),LOWER(DataAll!$AW$2:$AW$556),0))</f>
        <v>46.95</v>
      </c>
      <c r="R508" cm="1">
        <f t="array" ref="R508">INDEX('Longitude and Latitude'!$B$2:$B$579,MATCH(LOWER(Data!A508),LOWER('Longitude and Latitude'!$A$2:$A$579),0))</f>
        <v>-3.6609250000000002</v>
      </c>
      <c r="S508" cm="1">
        <f t="array" ref="S508">INDEX('Longitude and Latitude'!$C$2:$C$579,MATCH(LOWER(Data!A508),LOWER('Longitude and Latitude'!$A$2:$A$579),0))</f>
        <v>133.774506</v>
      </c>
      <c r="T508" t="b">
        <f>IF(EXACT(A508, UPPER(A508)), TRUE, FALSE)</f>
        <v>0</v>
      </c>
    </row>
    <row r="509" spans="1:20" x14ac:dyDescent="0.35">
      <c r="A509" t="s">
        <v>503</v>
      </c>
      <c r="B509">
        <v>79.72</v>
      </c>
      <c r="C509" cm="1">
        <f t="array" ref="C509">INDEX(DataAll!$E$2:$E$555,MATCH(LOWER(Data!A509),LOWER(DataAll!$D$2:$D$555),0))</f>
        <v>52.94</v>
      </c>
      <c r="D509" cm="1">
        <f t="array" ref="D509">INDEX(DataAll!$H$2:$H$579,MATCH(LOWER(Data!A509),LOWER(DataAll!$G$2:$G$555),0))</f>
        <v>0.58699999999999997</v>
      </c>
      <c r="E509" cm="1">
        <f t="array" ref="E509">INDEX(DataAll!$K$2:$K$579,MATCH(LOWER(Data!A509),LOWER(DataAll!$J$2:$J$555),0))</f>
        <v>10</v>
      </c>
      <c r="F509" cm="1">
        <f t="array" ref="F509">INDEX(DataAll!$N$2:$N$555,MATCH(LOWER(Data!A509),LOWER(DataAll!$M$2:$M$555),0))</f>
        <v>38.770000000000003</v>
      </c>
      <c r="G509" cm="1">
        <f t="array" ref="G509">INDEX(DataAll!$Q$2:$Q$555,MATCH(LOWER(Data!A509),LOWER(DataAll!$P$2:$P$555),0))</f>
        <v>28.47</v>
      </c>
      <c r="H509" cm="1">
        <f t="array" ref="H509">INDEX(DataAll!$T$2:$T$555,MATCH(LOWER(Data!A509),LOWER(DataAll!$S$2:$S$555),0))</f>
        <v>0.28999999999999998</v>
      </c>
      <c r="I509" cm="1">
        <f t="array" ref="I509">INDEX(DataAll!$W$2:$W$555,MATCH(LOWER(Data!A509),LOWER(DataAll!$V$2:$V$555),0))</f>
        <v>22.08</v>
      </c>
      <c r="J509" cm="1">
        <f t="array" ref="J509">INDEX(DataAll!$Z$2:$Z$555,MATCH(LOWER(Data!A509),LOWER(DataAll!$Y$2:$Y$555),0))</f>
        <v>4.05</v>
      </c>
      <c r="K509" cm="1">
        <f t="array" ref="K509">INDEX(DataAll!$AM$2:$AM$555,MATCH(LOWER(Data!A509),LOWER(DataAll!$AL$2:$AL$555),0))</f>
        <v>28.9</v>
      </c>
      <c r="L509" cm="1">
        <f t="array" ref="L509">INDEX(DataAll!$AJ$2:$AJ$555,MATCH(LOWER(Data!A509),LOWER(DataAll!$AI$2:$AI$555),0))</f>
        <v>66.69</v>
      </c>
      <c r="M509" cm="1">
        <f t="array" ref="M509">INDEX(DataAll!$AP$2:$AP$555,MATCH(LOWER(Data!A509),LOWER(DataAll!$AO$2:$AO$555),0))</f>
        <v>59.07</v>
      </c>
      <c r="N509" cm="1">
        <f t="array" ref="N509">INDEX(DataAll!$AQ$2:$AQ$555,MATCH(LOWER(Data!A509),LOWER(DataAll!$AO$2:$AO$555),0))</f>
        <v>62.75</v>
      </c>
      <c r="O509" cm="1">
        <f t="array" ref="O509">INDEX(DataAll!$AT$2:$AT$555,MATCH(LOWER(Data!A509),LOWER(DataAll!$AS$2:$AS$555),0))</f>
        <v>9.52</v>
      </c>
      <c r="P509" cm="1">
        <f t="array" ref="P509">INDEX(DataAll!$AU$2:$AU$555,MATCH(LOWER(Data!A509),LOWER(DataAll!$AS$2:$AS$555),0))</f>
        <v>7.27</v>
      </c>
      <c r="Q509" cm="1">
        <f t="array" ref="Q509">INDEX(DataAll!$AX$2:$AX$556,MATCH(LOWER(Data!A509),LOWER(DataAll!$AW$2:$AW$556),0))</f>
        <v>34.29</v>
      </c>
      <c r="R509" cm="1">
        <f t="array" ref="R509">INDEX('Longitude and Latitude'!$B$2:$B$579,MATCH(LOWER(Data!A509),LOWER('Longitude and Latitude'!$A$2:$A$579),0))</f>
        <v>-2.8551698999999999</v>
      </c>
      <c r="S509" cm="1">
        <f t="array" ref="S509">INDEX('Longitude and Latitude'!$C$2:$C$579,MATCH(LOWER(Data!A509),LOWER('Longitude and Latitude'!$A$2:$A$579),0))</f>
        <v>134.32365569999999</v>
      </c>
      <c r="T509" t="b">
        <f>IF(EXACT(A509, UPPER(A509)), TRUE, FALSE)</f>
        <v>0</v>
      </c>
    </row>
    <row r="510" spans="1:20" x14ac:dyDescent="0.35">
      <c r="A510" t="s">
        <v>504</v>
      </c>
      <c r="B510">
        <v>86.5</v>
      </c>
      <c r="C510" cm="1">
        <f t="array" ref="C510">INDEX(DataAll!$E$2:$E$555,MATCH(LOWER(Data!A510),LOWER(DataAll!$D$2:$D$555),0))</f>
        <v>53.82</v>
      </c>
      <c r="D510" cm="1">
        <f t="array" ref="D510">INDEX(DataAll!$H$2:$H$579,MATCH(LOWER(Data!A510),LOWER(DataAll!$G$2:$G$555),0))</f>
        <v>0.56399999999999995</v>
      </c>
      <c r="E510" cm="1">
        <f t="array" ref="E510">INDEX(DataAll!$K$2:$K$579,MATCH(LOWER(Data!A510),LOWER(DataAll!$J$2:$J$555),0))</f>
        <v>10</v>
      </c>
      <c r="F510" cm="1">
        <f t="array" ref="F510">INDEX(DataAll!$N$2:$N$555,MATCH(LOWER(Data!A510),LOWER(DataAll!$M$2:$M$555),0))</f>
        <v>33.42</v>
      </c>
      <c r="G510" cm="1">
        <f t="array" ref="G510">INDEX(DataAll!$Q$2:$Q$555,MATCH(LOWER(Data!A510),LOWER(DataAll!$P$2:$P$555),0))</f>
        <v>21.48</v>
      </c>
      <c r="H510" cm="1">
        <f t="array" ref="H510">INDEX(DataAll!$T$2:$T$555,MATCH(LOWER(Data!A510),LOWER(DataAll!$S$2:$S$555),0))</f>
        <v>0.36499999999999999</v>
      </c>
      <c r="I510" cm="1">
        <f t="array" ref="I510">INDEX(DataAll!$W$2:$W$555,MATCH(LOWER(Data!A510),LOWER(DataAll!$V$2:$V$555),0))</f>
        <v>25.01</v>
      </c>
      <c r="J510" cm="1">
        <f t="array" ref="J510">INDEX(DataAll!$Z$2:$Z$555,MATCH(LOWER(Data!A510),LOWER(DataAll!$Y$2:$Y$555),0))</f>
        <v>2.48</v>
      </c>
      <c r="K510" cm="1">
        <f t="array" ref="K510">INDEX(DataAll!$AM$2:$AM$555,MATCH(LOWER(Data!A510),LOWER(DataAll!$AL$2:$AL$555),0))</f>
        <v>28.24</v>
      </c>
      <c r="L510" cm="1">
        <f t="array" ref="L510">INDEX(DataAll!$AJ$2:$AJ$555,MATCH(LOWER(Data!A510),LOWER(DataAll!$AI$2:$AI$555),0))</f>
        <v>56.95</v>
      </c>
      <c r="M510" cm="1">
        <f t="array" ref="M510">INDEX(DataAll!$AP$2:$AP$555,MATCH(LOWER(Data!A510),LOWER(DataAll!$AO$2:$AO$555),0))</f>
        <v>59.95</v>
      </c>
      <c r="N510" cm="1">
        <f t="array" ref="N510">INDEX(DataAll!$AQ$2:$AQ$555,MATCH(LOWER(Data!A510),LOWER(DataAll!$AO$2:$AO$555),0))</f>
        <v>63.67</v>
      </c>
      <c r="O510" cm="1">
        <f t="array" ref="O510">INDEX(DataAll!$AT$2:$AT$555,MATCH(LOWER(Data!A510),LOWER(DataAll!$AS$2:$AS$555),0))</f>
        <v>9.7100000000000009</v>
      </c>
      <c r="P510" cm="1">
        <f t="array" ref="P510">INDEX(DataAll!$AU$2:$AU$555,MATCH(LOWER(Data!A510),LOWER(DataAll!$AS$2:$AS$555),0))</f>
        <v>8.5</v>
      </c>
      <c r="Q510" cm="1">
        <f t="array" ref="Q510">INDEX(DataAll!$AX$2:$AX$556,MATCH(LOWER(Data!A510),LOWER(DataAll!$AW$2:$AW$556),0))</f>
        <v>45.17</v>
      </c>
      <c r="R510" cm="1">
        <f t="array" ref="R510">INDEX('Longitude and Latitude'!$B$2:$B$579,MATCH(LOWER(Data!A510),LOWER('Longitude and Latitude'!$A$2:$A$579),0))</f>
        <v>-1.9056848</v>
      </c>
      <c r="S510" cm="1">
        <f t="array" ref="S510">INDEX('Longitude and Latitude'!$C$2:$C$579,MATCH(LOWER(Data!A510),LOWER('Longitude and Latitude'!$A$2:$A$579),0))</f>
        <v>133.329466</v>
      </c>
      <c r="T510" t="b">
        <f>IF(EXACT(A510, UPPER(A510)), TRUE, FALSE)</f>
        <v>0</v>
      </c>
    </row>
    <row r="511" spans="1:20" x14ac:dyDescent="0.35">
      <c r="A511" t="s">
        <v>505</v>
      </c>
      <c r="B511">
        <v>84.86</v>
      </c>
      <c r="C511" cm="1">
        <f t="array" ref="C511">INDEX(DataAll!$E$2:$E$555,MATCH(LOWER(Data!A511),LOWER(DataAll!$D$2:$D$555),0))</f>
        <v>74.12</v>
      </c>
      <c r="D511" cm="1">
        <f t="array" ref="D511">INDEX(DataAll!$H$2:$H$579,MATCH(LOWER(Data!A511),LOWER(DataAll!$G$2:$G$555),0))</f>
        <v>0.48499999999999999</v>
      </c>
      <c r="E511" cm="1">
        <f t="array" ref="E511">INDEX(DataAll!$K$2:$K$579,MATCH(LOWER(Data!A511),LOWER(DataAll!$J$2:$J$555),0))</f>
        <v>28</v>
      </c>
      <c r="F511" cm="1">
        <f t="array" ref="F511">INDEX(DataAll!$N$2:$N$555,MATCH(LOWER(Data!A511),LOWER(DataAll!$M$2:$M$555),0))</f>
        <v>45.44</v>
      </c>
      <c r="G511" cm="1">
        <f t="array" ref="G511">INDEX(DataAll!$Q$2:$Q$555,MATCH(LOWER(Data!A511),LOWER(DataAll!$P$2:$P$555),0))</f>
        <v>22.6</v>
      </c>
      <c r="H511" cm="1">
        <f t="array" ref="H511">INDEX(DataAll!$T$2:$T$555,MATCH(LOWER(Data!A511),LOWER(DataAll!$S$2:$S$555),0))</f>
        <v>0.35899999999999999</v>
      </c>
      <c r="I511" cm="1">
        <f t="array" ref="I511">INDEX(DataAll!$W$2:$W$555,MATCH(LOWER(Data!A511),LOWER(DataAll!$V$2:$V$555),0))</f>
        <v>30.44</v>
      </c>
      <c r="J511" cm="1">
        <f t="array" ref="J511">INDEX(DataAll!$Z$2:$Z$555,MATCH(LOWER(Data!A511),LOWER(DataAll!$Y$2:$Y$555),0))</f>
        <v>2.29</v>
      </c>
      <c r="K511" cm="1">
        <f t="array" ref="K511">INDEX(DataAll!$AM$2:$AM$555,MATCH(LOWER(Data!A511),LOWER(DataAll!$AL$2:$AL$555),0))</f>
        <v>18.73</v>
      </c>
      <c r="L511" cm="1">
        <f t="array" ref="L511">INDEX(DataAll!$AJ$2:$AJ$555,MATCH(LOWER(Data!A511),LOWER(DataAll!$AI$2:$AI$555),0))</f>
        <v>28.17</v>
      </c>
      <c r="M511" cm="1">
        <f t="array" ref="M511">INDEX(DataAll!$AP$2:$AP$555,MATCH(LOWER(Data!A511),LOWER(DataAll!$AO$2:$AO$555),0))</f>
        <v>67.62</v>
      </c>
      <c r="N511" cm="1">
        <f t="array" ref="N511">INDEX(DataAll!$AQ$2:$AQ$555,MATCH(LOWER(Data!A511),LOWER(DataAll!$AO$2:$AO$555),0))</f>
        <v>71.569999999999993</v>
      </c>
      <c r="O511" cm="1">
        <f t="array" ref="O511">INDEX(DataAll!$AT$2:$AT$555,MATCH(LOWER(Data!A511),LOWER(DataAll!$AS$2:$AS$555),0))</f>
        <v>11.15</v>
      </c>
      <c r="P511" cm="1">
        <f t="array" ref="P511">INDEX(DataAll!$AU$2:$AU$555,MATCH(LOWER(Data!A511),LOWER(DataAll!$AS$2:$AS$555),0))</f>
        <v>8.5299999999999994</v>
      </c>
      <c r="Q511" cm="1">
        <f t="array" ref="Q511">INDEX(DataAll!$AX$2:$AX$556,MATCH(LOWER(Data!A511),LOWER(DataAll!$AW$2:$AW$556),0))</f>
        <v>42.47</v>
      </c>
      <c r="R511" cm="1">
        <f t="array" ref="R511">INDEX('Longitude and Latitude'!$B$2:$B$579,MATCH(LOWER(Data!A511),LOWER('Longitude and Latitude'!$A$2:$A$579),0))</f>
        <v>-0.86145309999999997</v>
      </c>
      <c r="S511" cm="1">
        <f t="array" ref="S511">INDEX('Longitude and Latitude'!$C$2:$C$579,MATCH(LOWER(Data!A511),LOWER('Longitude and Latitude'!$A$2:$A$579),0))</f>
        <v>134.06204210000001</v>
      </c>
      <c r="T511" t="b">
        <f>IF(EXACT(A511, UPPER(A511)), TRUE, FALSE)</f>
        <v>0</v>
      </c>
    </row>
    <row r="512" spans="1:20" x14ac:dyDescent="0.35">
      <c r="A512" t="s">
        <v>506</v>
      </c>
      <c r="B512">
        <v>83.54</v>
      </c>
      <c r="C512" cm="1">
        <f t="array" ref="C512">INDEX(DataAll!$E$2:$E$555,MATCH(LOWER(Data!A512),LOWER(DataAll!$D$2:$D$555),0))</f>
        <v>69.59</v>
      </c>
      <c r="D512" cm="1">
        <f t="array" ref="D512">INDEX(DataAll!$H$2:$H$579,MATCH(LOWER(Data!A512),LOWER(DataAll!$G$2:$G$555),0))</f>
        <v>0.57599999999999996</v>
      </c>
      <c r="E512" cm="1">
        <f t="array" ref="E512">INDEX(DataAll!$K$2:$K$579,MATCH(LOWER(Data!A512),LOWER(DataAll!$J$2:$J$555),0))</f>
        <v>20</v>
      </c>
      <c r="F512" cm="1">
        <f t="array" ref="F512">INDEX(DataAll!$N$2:$N$555,MATCH(LOWER(Data!A512),LOWER(DataAll!$M$2:$M$555),0))</f>
        <v>47.44</v>
      </c>
      <c r="G512" cm="1">
        <f t="array" ref="G512">INDEX(DataAll!$Q$2:$Q$555,MATCH(LOWER(Data!A512),LOWER(DataAll!$P$2:$P$555),0))</f>
        <v>28.34</v>
      </c>
      <c r="H512" cm="1">
        <f t="array" ref="H512">INDEX(DataAll!$T$2:$T$555,MATCH(LOWER(Data!A512),LOWER(DataAll!$S$2:$S$555),0))</f>
        <v>0.309</v>
      </c>
      <c r="I512" cm="1">
        <f t="array" ref="I512">INDEX(DataAll!$W$2:$W$555,MATCH(LOWER(Data!A512),LOWER(DataAll!$V$2:$V$555),0))</f>
        <v>30.92</v>
      </c>
      <c r="J512" cm="1">
        <f t="array" ref="J512">INDEX(DataAll!$Z$2:$Z$555,MATCH(LOWER(Data!A512),LOWER(DataAll!$Y$2:$Y$555),0))</f>
        <v>3.24</v>
      </c>
      <c r="K512" cm="1">
        <f t="array" ref="K512">INDEX(DataAll!$AM$2:$AM$555,MATCH(LOWER(Data!A512),LOWER(DataAll!$AL$2:$AL$555),0))</f>
        <v>18.11</v>
      </c>
      <c r="L512" cm="1">
        <f t="array" ref="L512">INDEX(DataAll!$AJ$2:$AJ$555,MATCH(LOWER(Data!A512),LOWER(DataAll!$AI$2:$AI$555),0))</f>
        <v>58.98</v>
      </c>
      <c r="M512" cm="1">
        <f t="array" ref="M512">INDEX(DataAll!$AP$2:$AP$555,MATCH(LOWER(Data!A512),LOWER(DataAll!$AO$2:$AO$555),0))</f>
        <v>65.09</v>
      </c>
      <c r="N512" cm="1">
        <f t="array" ref="N512">INDEX(DataAll!$AQ$2:$AQ$555,MATCH(LOWER(Data!A512),LOWER(DataAll!$AO$2:$AO$555),0))</f>
        <v>69.03</v>
      </c>
      <c r="O512" cm="1">
        <f t="array" ref="O512">INDEX(DataAll!$AT$2:$AT$555,MATCH(LOWER(Data!A512),LOWER(DataAll!$AS$2:$AS$555),0))</f>
        <v>9.77</v>
      </c>
      <c r="P512" cm="1">
        <f t="array" ref="P512">INDEX(DataAll!$AU$2:$AU$555,MATCH(LOWER(Data!A512),LOWER(DataAll!$AS$2:$AS$555),0))</f>
        <v>7.62</v>
      </c>
      <c r="Q512" cm="1">
        <f t="array" ref="Q512">INDEX(DataAll!$AX$2:$AX$556,MATCH(LOWER(Data!A512),LOWER(DataAll!$AW$2:$AW$556),0))</f>
        <v>27.04</v>
      </c>
      <c r="R512" cm="1">
        <f t="array" ref="R512">INDEX('Longitude and Latitude'!$B$2:$B$579,MATCH(LOWER(Data!A512),LOWER('Longitude and Latitude'!$A$2:$A$579),0))</f>
        <v>-0.86666670000000001</v>
      </c>
      <c r="S512" cm="1">
        <f t="array" ref="S512">INDEX('Longitude and Latitude'!$C$2:$C$579,MATCH(LOWER(Data!A512),LOWER('Longitude and Latitude'!$A$2:$A$579),0))</f>
        <v>131.25</v>
      </c>
      <c r="T512" t="b">
        <f>IF(EXACT(A512, UPPER(A512)), TRUE, FALSE)</f>
        <v>0</v>
      </c>
    </row>
    <row r="513" spans="1:20" x14ac:dyDescent="0.35">
      <c r="A513" t="s">
        <v>507</v>
      </c>
      <c r="B513">
        <v>86.83</v>
      </c>
      <c r="C513" cm="1">
        <f t="array" ref="C513">INDEX(DataAll!$E$2:$E$555,MATCH(LOWER(Data!A513),LOWER(DataAll!$D$2:$D$555),0))</f>
        <v>59.91</v>
      </c>
      <c r="D513" cm="1">
        <f t="array" ref="D513">INDEX(DataAll!$H$2:$H$579,MATCH(LOWER(Data!A513),LOWER(DataAll!$G$2:$G$555),0))</f>
        <v>0.56499999999999995</v>
      </c>
      <c r="E513" cm="1">
        <f t="array" ref="E513">INDEX(DataAll!$K$2:$K$579,MATCH(LOWER(Data!A513),LOWER(DataAll!$J$2:$J$555),0))</f>
        <v>16</v>
      </c>
      <c r="F513" cm="1">
        <f t="array" ref="F513">INDEX(DataAll!$N$2:$N$555,MATCH(LOWER(Data!A513),LOWER(DataAll!$M$2:$M$555),0))</f>
        <v>44.29</v>
      </c>
      <c r="G513" cm="1">
        <f t="array" ref="G513">INDEX(DataAll!$Q$2:$Q$555,MATCH(LOWER(Data!A513),LOWER(DataAll!$P$2:$P$555),0))</f>
        <v>29.71</v>
      </c>
      <c r="H513" cm="1">
        <f t="array" ref="H513">INDEX(DataAll!$T$2:$T$555,MATCH(LOWER(Data!A513),LOWER(DataAll!$S$2:$S$555),0))</f>
        <v>0.34100000000000003</v>
      </c>
      <c r="I513" cm="1">
        <f t="array" ref="I513">INDEX(DataAll!$W$2:$W$555,MATCH(LOWER(Data!A513),LOWER(DataAll!$V$2:$V$555),0))</f>
        <v>22.32</v>
      </c>
      <c r="J513" cm="1">
        <f t="array" ref="J513">INDEX(DataAll!$Z$2:$Z$555,MATCH(LOWER(Data!A513),LOWER(DataAll!$Y$2:$Y$555),0))</f>
        <v>2.48</v>
      </c>
      <c r="K513" cm="1">
        <f t="array" ref="K513">INDEX(DataAll!$AM$2:$AM$555,MATCH(LOWER(Data!A513),LOWER(DataAll!$AL$2:$AL$555),0))</f>
        <v>26.88</v>
      </c>
      <c r="L513" cm="1">
        <f t="array" ref="L513">INDEX(DataAll!$AJ$2:$AJ$555,MATCH(LOWER(Data!A513),LOWER(DataAll!$AI$2:$AI$555),0))</f>
        <v>41.41</v>
      </c>
      <c r="M513" cm="1">
        <f t="array" ref="M513">INDEX(DataAll!$AP$2:$AP$555,MATCH(LOWER(Data!A513),LOWER(DataAll!$AO$2:$AO$555),0))</f>
        <v>64.98</v>
      </c>
      <c r="N513" cm="1">
        <f t="array" ref="N513">INDEX(DataAll!$AQ$2:$AQ$555,MATCH(LOWER(Data!A513),LOWER(DataAll!$AO$2:$AO$555),0))</f>
        <v>68.91</v>
      </c>
      <c r="O513" cm="1">
        <f t="array" ref="O513">INDEX(DataAll!$AT$2:$AT$555,MATCH(LOWER(Data!A513),LOWER(DataAll!$AS$2:$AS$555),0))</f>
        <v>9.33</v>
      </c>
      <c r="P513" cm="1">
        <f t="array" ref="P513">INDEX(DataAll!$AU$2:$AU$555,MATCH(LOWER(Data!A513),LOWER(DataAll!$AS$2:$AS$555),0))</f>
        <v>8.2799999999999994</v>
      </c>
      <c r="Q513" cm="1">
        <f t="array" ref="Q513">INDEX(DataAll!$AX$2:$AX$556,MATCH(LOWER(Data!A513),LOWER(DataAll!$AW$2:$AW$556),0))</f>
        <v>37.33</v>
      </c>
      <c r="R513" cm="1">
        <f t="array" ref="R513">INDEX('Longitude and Latitude'!$B$2:$B$579,MATCH(LOWER(Data!A513),LOWER('Longitude and Latitude'!$A$2:$A$579),0))</f>
        <v>-0.86666670000000001</v>
      </c>
      <c r="S513" cm="1">
        <f t="array" ref="S513">INDEX('Longitude and Latitude'!$C$2:$C$579,MATCH(LOWER(Data!A513),LOWER('Longitude and Latitude'!$A$2:$A$579),0))</f>
        <v>131.25</v>
      </c>
      <c r="T513" t="b">
        <f>IF(EXACT(A513, UPPER(A513)), TRUE, FALSE)</f>
        <v>0</v>
      </c>
    </row>
    <row r="514" spans="1:20" x14ac:dyDescent="0.35">
      <c r="A514" t="s">
        <v>508</v>
      </c>
      <c r="B514">
        <v>79.02</v>
      </c>
      <c r="C514" cm="1">
        <f t="array" ref="C514">INDEX(DataAll!$E$2:$E$555,MATCH(LOWER(Data!A514),LOWER(DataAll!$D$2:$D$555),0))</f>
        <v>53.96</v>
      </c>
      <c r="D514" cm="1">
        <f t="array" ref="D514">INDEX(DataAll!$H$2:$H$579,MATCH(LOWER(Data!A514),LOWER(DataAll!$G$2:$G$555),0))</f>
        <v>0.622</v>
      </c>
      <c r="E514" cm="1">
        <f t="array" ref="E514">INDEX(DataAll!$K$2:$K$579,MATCH(LOWER(Data!A514),LOWER(DataAll!$J$2:$J$555),0))</f>
        <v>10</v>
      </c>
      <c r="F514" cm="1">
        <f t="array" ref="F514">INDEX(DataAll!$N$2:$N$555,MATCH(LOWER(Data!A514),LOWER(DataAll!$M$2:$M$555),0))</f>
        <v>44.95</v>
      </c>
      <c r="G514" cm="1">
        <f t="array" ref="G514">INDEX(DataAll!$Q$2:$Q$555,MATCH(LOWER(Data!A514),LOWER(DataAll!$P$2:$P$555),0))</f>
        <v>33.619999999999997</v>
      </c>
      <c r="H514" cm="1">
        <f t="array" ref="H514">INDEX(DataAll!$T$2:$T$555,MATCH(LOWER(Data!A514),LOWER(DataAll!$S$2:$S$555),0))</f>
        <v>0.33800000000000002</v>
      </c>
      <c r="I514" cm="1">
        <f t="array" ref="I514">INDEX(DataAll!$W$2:$W$555,MATCH(LOWER(Data!A514),LOWER(DataAll!$V$2:$V$555),0))</f>
        <v>25.16</v>
      </c>
      <c r="J514" cm="1">
        <f t="array" ref="J514">INDEX(DataAll!$Z$2:$Z$555,MATCH(LOWER(Data!A514),LOWER(DataAll!$Y$2:$Y$555),0))</f>
        <v>3.6</v>
      </c>
      <c r="K514" cm="1">
        <f t="array" ref="K514">INDEX(DataAll!$AM$2:$AM$555,MATCH(LOWER(Data!A514),LOWER(DataAll!$AL$2:$AL$555),0))</f>
        <v>16.760000000000002</v>
      </c>
      <c r="L514" cm="1">
        <f t="array" ref="L514">INDEX(DataAll!$AJ$2:$AJ$555,MATCH(LOWER(Data!A514),LOWER(DataAll!$AI$2:$AI$555),0))</f>
        <v>54.74</v>
      </c>
      <c r="M514" cm="1">
        <f t="array" ref="M514">INDEX(DataAll!$AP$2:$AP$555,MATCH(LOWER(Data!A514),LOWER(DataAll!$AO$2:$AO$555),0))</f>
        <v>63.53</v>
      </c>
      <c r="N514" cm="1">
        <f t="array" ref="N514">INDEX(DataAll!$AQ$2:$AQ$555,MATCH(LOWER(Data!A514),LOWER(DataAll!$AO$2:$AO$555),0))</f>
        <v>67.39</v>
      </c>
      <c r="O514" cm="1">
        <f t="array" ref="O514">INDEX(DataAll!$AT$2:$AT$555,MATCH(LOWER(Data!A514),LOWER(DataAll!$AS$2:$AS$555),0))</f>
        <v>9.3800000000000008</v>
      </c>
      <c r="P514" cm="1">
        <f t="array" ref="P514">INDEX(DataAll!$AU$2:$AU$555,MATCH(LOWER(Data!A514),LOWER(DataAll!$AS$2:$AS$555),0))</f>
        <v>7.99</v>
      </c>
      <c r="Q514" cm="1">
        <f t="array" ref="Q514">INDEX(DataAll!$AX$2:$AX$556,MATCH(LOWER(Data!A514),LOWER(DataAll!$AW$2:$AW$556),0))</f>
        <v>30.66</v>
      </c>
      <c r="R514" cm="1">
        <f t="array" ref="R514">INDEX('Longitude and Latitude'!$B$2:$B$579,MATCH(LOWER(Data!A514),LOWER('Longitude and Latitude'!$A$2:$A$579),0))</f>
        <v>-1.0915151000000001</v>
      </c>
      <c r="S514" cm="1">
        <f t="array" ref="S514">INDEX('Longitude and Latitude'!$C$2:$C$579,MATCH(LOWER(Data!A514),LOWER('Longitude and Latitude'!$A$2:$A$579),0))</f>
        <v>130.8778586</v>
      </c>
      <c r="T514" t="b">
        <f>IF(EXACT(A514, UPPER(A514)), TRUE, FALSE)</f>
        <v>0</v>
      </c>
    </row>
    <row r="515" spans="1:20" x14ac:dyDescent="0.35">
      <c r="A515" t="s">
        <v>509</v>
      </c>
      <c r="B515">
        <v>70.180000000000007</v>
      </c>
      <c r="C515" cm="1">
        <f t="array" ref="C515">INDEX(DataAll!$E$2:$E$555,MATCH(LOWER(Data!A515),LOWER(DataAll!$D$2:$D$555),0))</f>
        <v>40.03</v>
      </c>
      <c r="D515" cm="1">
        <f t="array" ref="D515">INDEX(DataAll!$H$2:$H$579,MATCH(LOWER(Data!A515),LOWER(DataAll!$G$2:$G$555),0))</f>
        <v>0.84199999999999997</v>
      </c>
      <c r="F515" cm="1">
        <f t="array" ref="F515">INDEX(DataAll!$N$2:$N$555,MATCH(LOWER(Data!A515),LOWER(DataAll!$M$2:$M$555),0))</f>
        <v>51.69</v>
      </c>
      <c r="G515" cm="1">
        <f t="array" ref="G515">INDEX(DataAll!$Q$2:$Q$555,MATCH(LOWER(Data!A515),LOWER(DataAll!$P$2:$P$555),0))</f>
        <v>34.92</v>
      </c>
      <c r="H515" cm="1">
        <f t="array" ref="H515">INDEX(DataAll!$T$2:$T$555,MATCH(LOWER(Data!A515),LOWER(DataAll!$S$2:$S$555),0))</f>
        <v>0.27</v>
      </c>
      <c r="I515" cm="1">
        <f t="array" ref="I515">INDEX(DataAll!$W$2:$W$555,MATCH(LOWER(Data!A515),LOWER(DataAll!$V$2:$V$555),0))</f>
        <v>37.57</v>
      </c>
      <c r="J515" cm="1">
        <f t="array" ref="J515">INDEX(DataAll!$Z$2:$Z$555,MATCH(LOWER(Data!A515),LOWER(DataAll!$Y$2:$Y$555),0))</f>
        <v>4.08</v>
      </c>
      <c r="K515" cm="1">
        <f t="array" ref="K515">INDEX(DataAll!$AM$2:$AM$555,MATCH(LOWER(Data!A515),LOWER(DataAll!$AL$2:$AL$555),0))</f>
        <v>31.23</v>
      </c>
      <c r="L515" cm="1">
        <f t="array" ref="L515">INDEX(DataAll!$AJ$2:$AJ$555,MATCH(LOWER(Data!A515),LOWER(DataAll!$AI$2:$AI$555),0))</f>
        <v>71.14</v>
      </c>
      <c r="M515" cm="1">
        <f t="array" ref="M515">INDEX(DataAll!$AP$2:$AP$555,MATCH(LOWER(Data!A515),LOWER(DataAll!$AO$2:$AO$555),0))</f>
        <v>59.34</v>
      </c>
      <c r="N515" cm="1">
        <f t="array" ref="N515">INDEX(DataAll!$AQ$2:$AQ$555,MATCH(LOWER(Data!A515),LOWER(DataAll!$AO$2:$AO$555),0))</f>
        <v>63.03</v>
      </c>
      <c r="O515" cm="1">
        <f t="array" ref="O515">INDEX(DataAll!$AT$2:$AT$555,MATCH(LOWER(Data!A515),LOWER(DataAll!$AS$2:$AS$555),0))</f>
        <v>7.89</v>
      </c>
      <c r="P515" cm="1">
        <f t="array" ref="P515">INDEX(DataAll!$AU$2:$AU$555,MATCH(LOWER(Data!A515),LOWER(DataAll!$AS$2:$AS$555),0))</f>
        <v>5.4</v>
      </c>
      <c r="Q515" cm="1">
        <f t="array" ref="Q515">INDEX(DataAll!$AX$2:$AX$556,MATCH(LOWER(Data!A515),LOWER(DataAll!$AW$2:$AW$556),0))</f>
        <v>36.619999999999997</v>
      </c>
      <c r="R515" cm="1">
        <f t="array" ref="R515">INDEX('Longitude and Latitude'!$B$2:$B$579,MATCH(LOWER(Data!A515),LOWER('Longitude and Latitude'!$A$2:$A$579),0))</f>
        <v>-0.60514999999999997</v>
      </c>
      <c r="S515" cm="1">
        <f t="array" ref="S515">INDEX('Longitude and Latitude'!$C$2:$C$579,MATCH(LOWER(Data!A515),LOWER('Longitude and Latitude'!$A$2:$A$579),0))</f>
        <v>132.48962</v>
      </c>
      <c r="T515" t="b">
        <f>IF(EXACT(A515, UPPER(A515)), TRUE, FALSE)</f>
        <v>0</v>
      </c>
    </row>
    <row r="516" spans="1:20" x14ac:dyDescent="0.35">
      <c r="A516" t="s">
        <v>510</v>
      </c>
      <c r="B516">
        <v>79.02</v>
      </c>
      <c r="C516" cm="1">
        <f t="array" ref="C516">INDEX(DataAll!$E$2:$E$555,MATCH(LOWER(Data!A516),LOWER(DataAll!$D$2:$D$555),0))</f>
        <v>45.08</v>
      </c>
      <c r="D516" cm="1">
        <f t="array" ref="D516">INDEX(DataAll!$H$2:$H$579,MATCH(LOWER(Data!A516),LOWER(DataAll!$G$2:$G$555),0))</f>
        <v>0.80300000000000005</v>
      </c>
      <c r="F516" cm="1">
        <f t="array" ref="F516">INDEX(DataAll!$N$2:$N$555,MATCH(LOWER(Data!A516),LOWER(DataAll!$M$2:$M$555),0))</f>
        <v>48.12</v>
      </c>
      <c r="G516" cm="1">
        <f t="array" ref="G516">INDEX(DataAll!$Q$2:$Q$555,MATCH(LOWER(Data!A516),LOWER(DataAll!$P$2:$P$555),0))</f>
        <v>18.13</v>
      </c>
      <c r="H516" cm="1">
        <f t="array" ref="H516">INDEX(DataAll!$T$2:$T$555,MATCH(LOWER(Data!A516),LOWER(DataAll!$S$2:$S$555),0))</f>
        <v>0.20599999999999999</v>
      </c>
      <c r="I516" cm="1">
        <f t="array" ref="I516">INDEX(DataAll!$W$2:$W$555,MATCH(LOWER(Data!A516),LOWER(DataAll!$V$2:$V$555),0))</f>
        <v>31.03</v>
      </c>
      <c r="J516" cm="1">
        <f t="array" ref="J516">INDEX(DataAll!$Z$2:$Z$555,MATCH(LOWER(Data!A516),LOWER(DataAll!$Y$2:$Y$555),0))</f>
        <v>3.49</v>
      </c>
      <c r="K516" cm="1">
        <f t="array" ref="K516">INDEX(DataAll!$AM$2:$AM$555,MATCH(LOWER(Data!A516),LOWER(DataAll!$AL$2:$AL$555),0))</f>
        <v>30.28</v>
      </c>
      <c r="L516" cm="1">
        <f t="array" ref="L516">INDEX(DataAll!$AJ$2:$AJ$555,MATCH(LOWER(Data!A516),LOWER(DataAll!$AI$2:$AI$555),0))</f>
        <v>71.14</v>
      </c>
      <c r="M516" cm="1">
        <f t="array" ref="M516">INDEX(DataAll!$AP$2:$AP$555,MATCH(LOWER(Data!A516),LOWER(DataAll!$AO$2:$AO$555),0))</f>
        <v>63.92</v>
      </c>
      <c r="N516" cm="1">
        <f t="array" ref="N516">INDEX(DataAll!$AQ$2:$AQ$555,MATCH(LOWER(Data!A516),LOWER(DataAll!$AO$2:$AO$555),0))</f>
        <v>67.8</v>
      </c>
      <c r="O516" cm="1">
        <f t="array" ref="O516">INDEX(DataAll!$AT$2:$AT$555,MATCH(LOWER(Data!A516),LOWER(DataAll!$AS$2:$AS$555),0))</f>
        <v>9.43</v>
      </c>
      <c r="P516" cm="1">
        <f t="array" ref="P516">INDEX(DataAll!$AU$2:$AU$555,MATCH(LOWER(Data!A516),LOWER(DataAll!$AS$2:$AS$555),0))</f>
        <v>6.93</v>
      </c>
      <c r="Q516" cm="1">
        <f t="array" ref="Q516">INDEX(DataAll!$AX$2:$AX$556,MATCH(LOWER(Data!A516),LOWER(DataAll!$AW$2:$AW$556),0))</f>
        <v>48.34</v>
      </c>
      <c r="R516" cm="1">
        <f t="array" ref="R516">INDEX('Longitude and Latitude'!$B$2:$B$579,MATCH(LOWER(Data!A516),LOWER('Longitude and Latitude'!$A$2:$A$579),0))</f>
        <v>-1.2155</v>
      </c>
      <c r="S516" cm="1">
        <f t="array" ref="S516">INDEX('Longitude and Latitude'!$C$2:$C$579,MATCH(LOWER(Data!A516),LOWER('Longitude and Latitude'!$A$2:$A$579),0))</f>
        <v>132.35092</v>
      </c>
      <c r="T516" t="b">
        <f>IF(EXACT(A516, UPPER(A516)), TRUE, FALSE)</f>
        <v>0</v>
      </c>
    </row>
    <row r="517" spans="1:20" x14ac:dyDescent="0.35">
      <c r="A517" t="s">
        <v>511</v>
      </c>
      <c r="B517">
        <v>66.819999999999993</v>
      </c>
      <c r="C517" cm="1">
        <f t="array" ref="C517">INDEX(DataAll!$E$2:$E$555,MATCH(LOWER(Data!A517),LOWER(DataAll!$D$2:$D$555),0))</f>
        <v>63.86</v>
      </c>
      <c r="D517" cm="1">
        <f t="array" ref="D517">INDEX(DataAll!$H$2:$H$579,MATCH(LOWER(Data!A517),LOWER(DataAll!$G$2:$G$555),0))</f>
        <v>0.48</v>
      </c>
      <c r="E517" cm="1">
        <f t="array" ref="E517">INDEX(DataAll!$K$2:$K$579,MATCH(LOWER(Data!A517),LOWER(DataAll!$J$2:$J$555),0))</f>
        <v>20</v>
      </c>
      <c r="F517" cm="1">
        <f t="array" ref="F517">INDEX(DataAll!$N$2:$N$555,MATCH(LOWER(Data!A517),LOWER(DataAll!$M$2:$M$555),0))</f>
        <v>32.090000000000003</v>
      </c>
      <c r="G517" cm="1">
        <f t="array" ref="G517">INDEX(DataAll!$Q$2:$Q$555,MATCH(LOWER(Data!A517),LOWER(DataAll!$P$2:$P$555),0))</f>
        <v>27</v>
      </c>
      <c r="H517" cm="1">
        <f t="array" ref="H517">INDEX(DataAll!$T$2:$T$555,MATCH(LOWER(Data!A517),LOWER(DataAll!$S$2:$S$555),0))</f>
        <v>0.38400000000000001</v>
      </c>
      <c r="I517" cm="1">
        <f t="array" ref="I517">INDEX(DataAll!$W$2:$W$555,MATCH(LOWER(Data!A517),LOWER(DataAll!$V$2:$V$555),0))</f>
        <v>66.33</v>
      </c>
      <c r="J517" cm="1">
        <f t="array" ref="J517">INDEX(DataAll!$Z$2:$Z$555,MATCH(LOWER(Data!A517),LOWER(DataAll!$Y$2:$Y$555),0))</f>
        <v>2.62</v>
      </c>
      <c r="K517" cm="1">
        <f t="array" ref="K517">INDEX(DataAll!$AM$2:$AM$555,MATCH(LOWER(Data!A517),LOWER(DataAll!$AL$2:$AL$555),0))</f>
        <v>27.8</v>
      </c>
      <c r="L517" cm="1">
        <f t="array" ref="L517">INDEX(DataAll!$AJ$2:$AJ$555,MATCH(LOWER(Data!A517),LOWER(DataAll!$AI$2:$AI$555),0))</f>
        <v>54.99</v>
      </c>
      <c r="M517" cm="1">
        <f t="array" ref="M517">INDEX(DataAll!$AP$2:$AP$555,MATCH(LOWER(Data!A517),LOWER(DataAll!$AO$2:$AO$555),0))</f>
        <v>66.14</v>
      </c>
      <c r="N517" cm="1">
        <f t="array" ref="N517">INDEX(DataAll!$AQ$2:$AQ$555,MATCH(LOWER(Data!A517),LOWER(DataAll!$AO$2:$AO$555),0))</f>
        <v>70.13</v>
      </c>
      <c r="O517" cm="1">
        <f t="array" ref="O517">INDEX(DataAll!$AT$2:$AT$555,MATCH(LOWER(Data!A517),LOWER(DataAll!$AS$2:$AS$555),0))</f>
        <v>9.75</v>
      </c>
      <c r="P517" cm="1">
        <f t="array" ref="P517">INDEX(DataAll!$AU$2:$AU$555,MATCH(LOWER(Data!A517),LOWER(DataAll!$AS$2:$AS$555),0))</f>
        <v>6.31</v>
      </c>
      <c r="Q517" cm="1">
        <f t="array" ref="Q517">INDEX(DataAll!$AX$2:$AX$556,MATCH(LOWER(Data!A517),LOWER(DataAll!$AW$2:$AW$556),0))</f>
        <v>40.840000000000003</v>
      </c>
      <c r="R517" cm="1">
        <f t="array" ref="R517">INDEX('Longitude and Latitude'!$B$2:$B$579,MATCH(LOWER(Data!A517),LOWER('Longitude and Latitude'!$A$2:$A$579),0))</f>
        <v>-1.0798000000000001</v>
      </c>
      <c r="S517" cm="1">
        <f t="array" ref="S517">INDEX('Longitude and Latitude'!$C$2:$C$579,MATCH(LOWER(Data!A517),LOWER('Longitude and Latitude'!$A$2:$A$579),0))</f>
        <v>133.96728999999999</v>
      </c>
      <c r="T517" t="b">
        <f>IF(EXACT(A517, UPPER(A517)), TRUE, FALSE)</f>
        <v>0</v>
      </c>
    </row>
    <row r="518" spans="1:20" x14ac:dyDescent="0.35">
      <c r="A518" t="s">
        <v>512</v>
      </c>
      <c r="B518">
        <v>78.94</v>
      </c>
      <c r="C518" cm="1">
        <f t="array" ref="C518">INDEX(DataAll!$E$2:$E$555,MATCH(LOWER(Data!A518),LOWER(DataAll!$D$2:$D$555),0))</f>
        <v>38.21</v>
      </c>
      <c r="D518" cm="1">
        <f t="array" ref="D518">INDEX(DataAll!$H$2:$H$579,MATCH(LOWER(Data!A518),LOWER(DataAll!$G$2:$G$555),0))</f>
        <v>0.65100000000000002</v>
      </c>
      <c r="E518" cm="1">
        <f t="array" ref="E518">INDEX(DataAll!$K$2:$K$579,MATCH(LOWER(Data!A518),LOWER(DataAll!$J$2:$J$555),0))</f>
        <v>5</v>
      </c>
      <c r="F518" cm="1">
        <f t="array" ref="F518">INDEX(DataAll!$N$2:$N$555,MATCH(LOWER(Data!A518),LOWER(DataAll!$M$2:$M$555),0))</f>
        <v>25.97</v>
      </c>
      <c r="G518" cm="1">
        <f t="array" ref="G518">INDEX(DataAll!$Q$2:$Q$555,MATCH(LOWER(Data!A518),LOWER(DataAll!$P$2:$P$555),0))</f>
        <v>48.23</v>
      </c>
      <c r="H518" cm="1">
        <f t="array" ref="H518">INDEX(DataAll!$T$2:$T$555,MATCH(LOWER(Data!A518),LOWER(DataAll!$S$2:$S$555),0))</f>
        <v>0.39700000000000002</v>
      </c>
      <c r="I518" cm="1">
        <f t="array" ref="I518">INDEX(DataAll!$W$2:$W$555,MATCH(LOWER(Data!A518),LOWER(DataAll!$V$2:$V$555),0))</f>
        <v>25.07</v>
      </c>
      <c r="J518" cm="1">
        <f t="array" ref="J518">INDEX(DataAll!$Z$2:$Z$555,MATCH(LOWER(Data!A518),LOWER(DataAll!$Y$2:$Y$555),0))</f>
        <v>2.85</v>
      </c>
      <c r="K518" cm="1">
        <f t="array" ref="K518">INDEX(DataAll!$AM$2:$AM$555,MATCH(LOWER(Data!A518),LOWER(DataAll!$AL$2:$AL$555),0))</f>
        <v>32.29</v>
      </c>
      <c r="L518" cm="1">
        <f t="array" ref="L518">INDEX(DataAll!$AJ$2:$AJ$555,MATCH(LOWER(Data!A518),LOWER(DataAll!$AI$2:$AI$555),0))</f>
        <v>54.54</v>
      </c>
      <c r="M518" cm="1">
        <f t="array" ref="M518">INDEX(DataAll!$AP$2:$AP$555,MATCH(LOWER(Data!A518),LOWER(DataAll!$AO$2:$AO$555),0))</f>
        <v>65.77</v>
      </c>
      <c r="N518" cm="1">
        <f t="array" ref="N518">INDEX(DataAll!$AQ$2:$AQ$555,MATCH(LOWER(Data!A518),LOWER(DataAll!$AO$2:$AO$555),0))</f>
        <v>69.739999999999995</v>
      </c>
      <c r="O518" cm="1">
        <f t="array" ref="O518">INDEX(DataAll!$AT$2:$AT$555,MATCH(LOWER(Data!A518),LOWER(DataAll!$AS$2:$AS$555),0))</f>
        <v>9.06</v>
      </c>
      <c r="P518" cm="1">
        <f t="array" ref="P518">INDEX(DataAll!$AU$2:$AU$555,MATCH(LOWER(Data!A518),LOWER(DataAll!$AS$2:$AS$555),0))</f>
        <v>4.91</v>
      </c>
      <c r="Q518" cm="1">
        <f t="array" ref="Q518">INDEX(DataAll!$AX$2:$AX$556,MATCH(LOWER(Data!A518),LOWER(DataAll!$AW$2:$AW$556),0))</f>
        <v>20.32</v>
      </c>
      <c r="R518" cm="1">
        <f t="array" ref="R518">INDEX('Longitude and Latitude'!$B$2:$B$579,MATCH(LOWER(Data!A518),LOWER('Longitude and Latitude'!$A$2:$A$579),0))</f>
        <v>-0.93523000000000001</v>
      </c>
      <c r="S518" cm="1">
        <f t="array" ref="S518">INDEX('Longitude and Latitude'!$C$2:$C$579,MATCH(LOWER(Data!A518),LOWER('Longitude and Latitude'!$A$2:$A$579),0))</f>
        <v>133.89587</v>
      </c>
      <c r="T518" t="b">
        <f>IF(EXACT(A518, UPPER(A518)), TRUE, FALSE)</f>
        <v>0</v>
      </c>
    </row>
    <row r="519" spans="1:20" x14ac:dyDescent="0.35">
      <c r="A519" t="s">
        <v>513</v>
      </c>
      <c r="B519">
        <v>92.14</v>
      </c>
      <c r="C519" cm="1">
        <f t="array" ref="C519">INDEX(DataAll!$E$2:$E$555,MATCH(LOWER(Data!A519),LOWER(DataAll!$D$2:$D$555),0))</f>
        <v>69.89</v>
      </c>
      <c r="D519" cm="1">
        <f t="array" ref="D519">INDEX(DataAll!$H$2:$H$579,MATCH(LOWER(Data!A519),LOWER(DataAll!$G$2:$G$555),0))</f>
        <v>0.45200000000000001</v>
      </c>
      <c r="E519" cm="1">
        <f t="array" ref="E519">INDEX(DataAll!$K$2:$K$579,MATCH(LOWER(Data!A519),LOWER(DataAll!$J$2:$J$555),0))</f>
        <v>23.33</v>
      </c>
      <c r="F519" cm="1">
        <f t="array" ref="F519">INDEX(DataAll!$N$2:$N$555,MATCH(LOWER(Data!A519),LOWER(DataAll!$M$2:$M$555),0))</f>
        <v>41.99</v>
      </c>
      <c r="G519" cm="1">
        <f t="array" ref="G519">INDEX(DataAll!$Q$2:$Q$555,MATCH(LOWER(Data!A519),LOWER(DataAll!$P$2:$P$555),0))</f>
        <v>17.21</v>
      </c>
      <c r="H519" cm="1">
        <f t="array" ref="H519">INDEX(DataAll!$T$2:$T$555,MATCH(LOWER(Data!A519),LOWER(DataAll!$S$2:$S$555),0))</f>
        <v>0.23499999999999999</v>
      </c>
      <c r="I519" cm="1">
        <f t="array" ref="I519">INDEX(DataAll!$W$2:$W$555,MATCH(LOWER(Data!A519),LOWER(DataAll!$V$2:$V$555),0))</f>
        <v>26.35</v>
      </c>
      <c r="J519" cm="1">
        <f t="array" ref="J519">INDEX(DataAll!$Z$2:$Z$555,MATCH(LOWER(Data!A519),LOWER(DataAll!$Y$2:$Y$555),0))</f>
        <v>2.2000000000000002</v>
      </c>
      <c r="K519" cm="1">
        <f t="array" ref="K519">INDEX(DataAll!$AM$2:$AM$555,MATCH(LOWER(Data!A519),LOWER(DataAll!$AL$2:$AL$555),0))</f>
        <v>14.41</v>
      </c>
      <c r="L519" cm="1">
        <f t="array" ref="L519">INDEX(DataAll!$AJ$2:$AJ$555,MATCH(LOWER(Data!A519),LOWER(DataAll!$AI$2:$AI$555),0))</f>
        <v>26.93</v>
      </c>
      <c r="M519" cm="1">
        <f t="array" ref="M519">INDEX(DataAll!$AP$2:$AP$555,MATCH(LOWER(Data!A519),LOWER(DataAll!$AO$2:$AO$555),0))</f>
        <v>69.97</v>
      </c>
      <c r="N519" cm="1">
        <f t="array" ref="N519">INDEX(DataAll!$AQ$2:$AQ$555,MATCH(LOWER(Data!A519),LOWER(DataAll!$AO$2:$AO$555),0))</f>
        <v>73.959999999999994</v>
      </c>
      <c r="O519" cm="1">
        <f t="array" ref="O519">INDEX(DataAll!$AT$2:$AT$555,MATCH(LOWER(Data!A519),LOWER(DataAll!$AS$2:$AS$555),0))</f>
        <v>11.58</v>
      </c>
      <c r="P519" cm="1">
        <f t="array" ref="P519">INDEX(DataAll!$AU$2:$AU$555,MATCH(LOWER(Data!A519),LOWER(DataAll!$AS$2:$AS$555),0))</f>
        <v>11.47</v>
      </c>
      <c r="Q519" cm="1">
        <f t="array" ref="Q519">INDEX(DataAll!$AX$2:$AX$556,MATCH(LOWER(Data!A519),LOWER(DataAll!$AW$2:$AW$556),0))</f>
        <v>70.97</v>
      </c>
      <c r="R519" cm="1">
        <f t="array" ref="R519">INDEX('Longitude and Latitude'!$B$2:$B$579,MATCH(LOWER(Data!A519),LOWER('Longitude and Latitude'!$A$2:$A$579),0))</f>
        <v>-0.86666670000000001</v>
      </c>
      <c r="S519" cm="1">
        <f t="array" ref="S519">INDEX('Longitude and Latitude'!$C$2:$C$579,MATCH(LOWER(Data!A519),LOWER('Longitude and Latitude'!$A$2:$A$579),0))</f>
        <v>131.25</v>
      </c>
      <c r="T519" t="b">
        <f>IF(EXACT(A519, UPPER(A519)), TRUE, FALSE)</f>
        <v>0</v>
      </c>
    </row>
    <row r="520" spans="1:20" x14ac:dyDescent="0.35">
      <c r="A520" t="s">
        <v>514</v>
      </c>
      <c r="B520" t="s">
        <v>548</v>
      </c>
      <c r="C520" t="e" cm="1">
        <f t="array" ref="C520">INDEX(DataAll!$E$2:$E$555,MATCH(LOWER(Data!A520),LOWER(DataAll!$D$2:$D$555),0))</f>
        <v>#N/A</v>
      </c>
      <c r="D520" t="str" cm="1">
        <f t="array" ref="D520">INDEX(DataAll!$H$2:$H$579,MATCH(LOWER(Data!A520),LOWER(DataAll!$G$2:$G$555),0))</f>
        <v>-</v>
      </c>
      <c r="E520" t="e" cm="1">
        <f t="array" ref="E520">INDEX(DataAll!$K$2:$K$579,MATCH(LOWER(Data!A520),LOWER(DataAll!$J$2:$J$555),0))</f>
        <v>#N/A</v>
      </c>
      <c r="F520" t="e" cm="1">
        <f t="array" ref="F520">INDEX(DataAll!$N$2:$N$555,MATCH(LOWER(Data!A520),LOWER(DataAll!$M$2:$M$555),0))</f>
        <v>#N/A</v>
      </c>
      <c r="G520" t="e" cm="1">
        <f t="array" ref="G520">INDEX(DataAll!$Q$2:$Q$555,MATCH(LOWER(Data!A520),LOWER(DataAll!$P$2:$P$555),0))</f>
        <v>#N/A</v>
      </c>
      <c r="H520" t="str" cm="1">
        <f t="array" ref="H520">INDEX(DataAll!$T$2:$T$555,MATCH(LOWER(Data!A520),LOWER(DataAll!$S$2:$S$555),0))</f>
        <v>-</v>
      </c>
      <c r="I520" t="e" cm="1">
        <f t="array" ref="I520">INDEX(DataAll!$W$2:$W$555,MATCH(LOWER(Data!A520),LOWER(DataAll!$V$2:$V$555),0))</f>
        <v>#N/A</v>
      </c>
      <c r="J520" t="e" cm="1">
        <f t="array" ref="J520">INDEX(DataAll!$Z$2:$Z$555,MATCH(LOWER(Data!A520),LOWER(DataAll!$Y$2:$Y$555),0))</f>
        <v>#N/A</v>
      </c>
      <c r="K520" t="str" cm="1">
        <f t="array" ref="K520">INDEX(DataAll!$AM$2:$AM$555,MATCH(LOWER(Data!A520),LOWER(DataAll!$AL$2:$AL$555),0))</f>
        <v>-</v>
      </c>
      <c r="L520" t="e" cm="1">
        <f t="array" ref="L520">INDEX(DataAll!$AJ$2:$AJ$555,MATCH(LOWER(Data!A520),LOWER(DataAll!$AI$2:$AI$555),0))</f>
        <v>#N/A</v>
      </c>
      <c r="M520" t="str" cm="1">
        <f t="array" ref="M520">INDEX(DataAll!$AP$2:$AP$555,MATCH(LOWER(Data!A520),LOWER(DataAll!$AO$2:$AO$555),0))</f>
        <v>-</v>
      </c>
      <c r="N520" t="str" cm="1">
        <f t="array" ref="N520">INDEX(DataAll!$AQ$2:$AQ$555,MATCH(LOWER(Data!A520),LOWER(DataAll!$AO$2:$AO$555),0))</f>
        <v>-</v>
      </c>
      <c r="O520" t="str" cm="1">
        <f t="array" ref="O520">INDEX(DataAll!$AT$2:$AT$555,MATCH(LOWER(Data!A520),LOWER(DataAll!$AS$2:$AS$555),0))</f>
        <v>-</v>
      </c>
      <c r="P520" t="str" cm="1">
        <f t="array" ref="P520">INDEX(DataAll!$AU$2:$AU$555,MATCH(LOWER(Data!A520),LOWER(DataAll!$AS$2:$AS$555),0))</f>
        <v>-</v>
      </c>
      <c r="Q520" t="str" cm="1">
        <f t="array" ref="Q520">INDEX(DataAll!$AX$2:$AX$556,MATCH(LOWER(Data!A520),LOWER(DataAll!$AW$2:$AW$556),0))</f>
        <v>-</v>
      </c>
      <c r="R520" cm="1">
        <f t="array" ref="R520">INDEX('Longitude and Latitude'!$B$2:$B$579,MATCH(LOWER(Data!A520),LOWER('Longitude and Latitude'!$A$2:$A$579),0))</f>
        <v>-3.8833299999999999</v>
      </c>
      <c r="S520" cm="1">
        <f t="array" ref="S520">INDEX('Longitude and Latitude'!$C$2:$C$579,MATCH(LOWER(Data!A520),LOWER('Longitude and Latitude'!$A$2:$A$579),0))</f>
        <v>139.16667000000001</v>
      </c>
      <c r="T520" t="b">
        <f>IF(EXACT(A520, UPPER(A520)), TRUE, FALSE)</f>
        <v>1</v>
      </c>
    </row>
    <row r="521" spans="1:20" x14ac:dyDescent="0.35">
      <c r="A521" t="s">
        <v>508</v>
      </c>
      <c r="C521" cm="1">
        <f t="array" ref="C521">INDEX(DataAll!$E$2:$E$555,MATCH(LOWER(Data!A521),LOWER(DataAll!$D$2:$D$555),0))</f>
        <v>53.96</v>
      </c>
      <c r="D521" cm="1">
        <f t="array" ref="D521">INDEX(DataAll!$H$2:$H$579,MATCH(LOWER(Data!A521),LOWER(DataAll!$G$2:$G$555),0))</f>
        <v>0.622</v>
      </c>
      <c r="E521" cm="1">
        <f t="array" ref="E521">INDEX(DataAll!$K$2:$K$579,MATCH(LOWER(Data!A521),LOWER(DataAll!$J$2:$J$555),0))</f>
        <v>10</v>
      </c>
      <c r="F521" cm="1">
        <f t="array" ref="F521">INDEX(DataAll!$N$2:$N$555,MATCH(LOWER(Data!A521),LOWER(DataAll!$M$2:$M$555),0))</f>
        <v>44.95</v>
      </c>
      <c r="G521" cm="1">
        <f t="array" ref="G521">INDEX(DataAll!$Q$2:$Q$555,MATCH(LOWER(Data!A521),LOWER(DataAll!$P$2:$P$555),0))</f>
        <v>33.619999999999997</v>
      </c>
      <c r="H521" cm="1">
        <f t="array" ref="H521">INDEX(DataAll!$T$2:$T$555,MATCH(LOWER(Data!A521),LOWER(DataAll!$S$2:$S$555),0))</f>
        <v>0.33800000000000002</v>
      </c>
      <c r="I521" cm="1">
        <f t="array" ref="I521">INDEX(DataAll!$W$2:$W$555,MATCH(LOWER(Data!A521),LOWER(DataAll!$V$2:$V$555),0))</f>
        <v>25.16</v>
      </c>
      <c r="J521" cm="1">
        <f t="array" ref="J521">INDEX(DataAll!$Z$2:$Z$555,MATCH(LOWER(Data!A521),LOWER(DataAll!$Y$2:$Y$555),0))</f>
        <v>3.6</v>
      </c>
      <c r="K521" cm="1">
        <f t="array" ref="K521">INDEX(DataAll!$AM$2:$AM$555,MATCH(LOWER(Data!A521),LOWER(DataAll!$AL$2:$AL$555),0))</f>
        <v>16.760000000000002</v>
      </c>
      <c r="L521" cm="1">
        <f t="array" ref="L521">INDEX(DataAll!$AJ$2:$AJ$555,MATCH(LOWER(Data!A521),LOWER(DataAll!$AI$2:$AI$555),0))</f>
        <v>54.74</v>
      </c>
      <c r="M521" cm="1">
        <f t="array" ref="M521">INDEX(DataAll!$AP$2:$AP$555,MATCH(LOWER(Data!A521),LOWER(DataAll!$AO$2:$AO$555),0))</f>
        <v>63.53</v>
      </c>
      <c r="N521" cm="1">
        <f t="array" ref="N521">INDEX(DataAll!$AQ$2:$AQ$555,MATCH(LOWER(Data!A521),LOWER(DataAll!$AO$2:$AO$555),0))</f>
        <v>67.39</v>
      </c>
      <c r="O521" cm="1">
        <f t="array" ref="O521">INDEX(DataAll!$AT$2:$AT$555,MATCH(LOWER(Data!A521),LOWER(DataAll!$AS$2:$AS$555),0))</f>
        <v>9.3800000000000008</v>
      </c>
      <c r="P521" cm="1">
        <f t="array" ref="P521">INDEX(DataAll!$AU$2:$AU$555,MATCH(LOWER(Data!A521),LOWER(DataAll!$AS$2:$AS$555),0))</f>
        <v>7.99</v>
      </c>
      <c r="Q521" cm="1">
        <f t="array" ref="Q521">INDEX(DataAll!$AX$2:$AX$556,MATCH(LOWER(Data!A521),LOWER(DataAll!$AW$2:$AW$556),0))</f>
        <v>30.66</v>
      </c>
      <c r="R521" cm="1">
        <f t="array" ref="R521">INDEX('Longitude and Latitude'!$B$2:$B$579,MATCH(LOWER(Data!A521),LOWER('Longitude and Latitude'!$A$2:$A$579),0))</f>
        <v>-1.0915151000000001</v>
      </c>
      <c r="S521" cm="1">
        <f t="array" ref="S521">INDEX('Longitude and Latitude'!$C$2:$C$579,MATCH(LOWER(Data!A521),LOWER('Longitude and Latitude'!$A$2:$A$579),0))</f>
        <v>130.8778586</v>
      </c>
      <c r="T521" t="b">
        <f>IF(EXACT(A521, UPPER(A521)), TRUE, FALSE)</f>
        <v>0</v>
      </c>
    </row>
    <row r="522" spans="1:20" x14ac:dyDescent="0.35">
      <c r="A522" t="s">
        <v>507</v>
      </c>
      <c r="C522" cm="1">
        <f t="array" ref="C522">INDEX(DataAll!$E$2:$E$555,MATCH(LOWER(Data!A522),LOWER(DataAll!$D$2:$D$555),0))</f>
        <v>59.91</v>
      </c>
      <c r="D522" cm="1">
        <f t="array" ref="D522">INDEX(DataAll!$H$2:$H$579,MATCH(LOWER(Data!A522),LOWER(DataAll!$G$2:$G$555),0))</f>
        <v>0.56499999999999995</v>
      </c>
      <c r="E522" cm="1">
        <f t="array" ref="E522">INDEX(DataAll!$K$2:$K$579,MATCH(LOWER(Data!A522),LOWER(DataAll!$J$2:$J$555),0))</f>
        <v>16</v>
      </c>
      <c r="F522" cm="1">
        <f t="array" ref="F522">INDEX(DataAll!$N$2:$N$555,MATCH(LOWER(Data!A522),LOWER(DataAll!$M$2:$M$555),0))</f>
        <v>44.29</v>
      </c>
      <c r="G522" cm="1">
        <f t="array" ref="G522">INDEX(DataAll!$Q$2:$Q$555,MATCH(LOWER(Data!A522),LOWER(DataAll!$P$2:$P$555),0))</f>
        <v>29.71</v>
      </c>
      <c r="H522" cm="1">
        <f t="array" ref="H522">INDEX(DataAll!$T$2:$T$555,MATCH(LOWER(Data!A522),LOWER(DataAll!$S$2:$S$555),0))</f>
        <v>0.34100000000000003</v>
      </c>
      <c r="I522" cm="1">
        <f t="array" ref="I522">INDEX(DataAll!$W$2:$W$555,MATCH(LOWER(Data!A522),LOWER(DataAll!$V$2:$V$555),0))</f>
        <v>22.32</v>
      </c>
      <c r="J522" cm="1">
        <f t="array" ref="J522">INDEX(DataAll!$Z$2:$Z$555,MATCH(LOWER(Data!A522),LOWER(DataAll!$Y$2:$Y$555),0))</f>
        <v>2.48</v>
      </c>
      <c r="K522" cm="1">
        <f t="array" ref="K522">INDEX(DataAll!$AM$2:$AM$555,MATCH(LOWER(Data!A522),LOWER(DataAll!$AL$2:$AL$555),0))</f>
        <v>26.88</v>
      </c>
      <c r="L522" cm="1">
        <f t="array" ref="L522">INDEX(DataAll!$AJ$2:$AJ$555,MATCH(LOWER(Data!A522),LOWER(DataAll!$AI$2:$AI$555),0))</f>
        <v>41.41</v>
      </c>
      <c r="M522" cm="1">
        <f t="array" ref="M522">INDEX(DataAll!$AP$2:$AP$555,MATCH(LOWER(Data!A522),LOWER(DataAll!$AO$2:$AO$555),0))</f>
        <v>64.98</v>
      </c>
      <c r="N522" cm="1">
        <f t="array" ref="N522">INDEX(DataAll!$AQ$2:$AQ$555,MATCH(LOWER(Data!A522),LOWER(DataAll!$AO$2:$AO$555),0))</f>
        <v>68.91</v>
      </c>
      <c r="O522" cm="1">
        <f t="array" ref="O522">INDEX(DataAll!$AT$2:$AT$555,MATCH(LOWER(Data!A522),LOWER(DataAll!$AS$2:$AS$555),0))</f>
        <v>9.33</v>
      </c>
      <c r="P522" cm="1">
        <f t="array" ref="P522">INDEX(DataAll!$AU$2:$AU$555,MATCH(LOWER(Data!A522),LOWER(DataAll!$AS$2:$AS$555),0))</f>
        <v>8.2799999999999994</v>
      </c>
      <c r="Q522" cm="1">
        <f t="array" ref="Q522">INDEX(DataAll!$AX$2:$AX$556,MATCH(LOWER(Data!A522),LOWER(DataAll!$AW$2:$AW$556),0))</f>
        <v>37.33</v>
      </c>
      <c r="R522" cm="1">
        <f t="array" ref="R522">INDEX('Longitude and Latitude'!$B$2:$B$579,MATCH(LOWER(Data!A522),LOWER('Longitude and Latitude'!$A$2:$A$579),0))</f>
        <v>-0.86666670000000001</v>
      </c>
      <c r="S522" cm="1">
        <f t="array" ref="S522">INDEX('Longitude and Latitude'!$C$2:$C$579,MATCH(LOWER(Data!A522),LOWER('Longitude and Latitude'!$A$2:$A$579),0))</f>
        <v>131.25</v>
      </c>
      <c r="T522" t="b">
        <f>IF(EXACT(A522, UPPER(A522)), TRUE, FALSE)</f>
        <v>0</v>
      </c>
    </row>
    <row r="523" spans="1:20" x14ac:dyDescent="0.35">
      <c r="A523" t="s">
        <v>506</v>
      </c>
      <c r="C523" cm="1">
        <f t="array" ref="C523">INDEX(DataAll!$E$2:$E$555,MATCH(LOWER(Data!A523),LOWER(DataAll!$D$2:$D$555),0))</f>
        <v>69.59</v>
      </c>
      <c r="D523" cm="1">
        <f t="array" ref="D523">INDEX(DataAll!$H$2:$H$579,MATCH(LOWER(Data!A523),LOWER(DataAll!$G$2:$G$555),0))</f>
        <v>0.57599999999999996</v>
      </c>
      <c r="E523" cm="1">
        <f t="array" ref="E523">INDEX(DataAll!$K$2:$K$579,MATCH(LOWER(Data!A523),LOWER(DataAll!$J$2:$J$555),0))</f>
        <v>20</v>
      </c>
      <c r="F523" cm="1">
        <f t="array" ref="F523">INDEX(DataAll!$N$2:$N$555,MATCH(LOWER(Data!A523),LOWER(DataAll!$M$2:$M$555),0))</f>
        <v>47.44</v>
      </c>
      <c r="G523" cm="1">
        <f t="array" ref="G523">INDEX(DataAll!$Q$2:$Q$555,MATCH(LOWER(Data!A523),LOWER(DataAll!$P$2:$P$555),0))</f>
        <v>28.34</v>
      </c>
      <c r="H523" cm="1">
        <f t="array" ref="H523">INDEX(DataAll!$T$2:$T$555,MATCH(LOWER(Data!A523),LOWER(DataAll!$S$2:$S$555),0))</f>
        <v>0.309</v>
      </c>
      <c r="I523" cm="1">
        <f t="array" ref="I523">INDEX(DataAll!$W$2:$W$555,MATCH(LOWER(Data!A523),LOWER(DataAll!$V$2:$V$555),0))</f>
        <v>30.92</v>
      </c>
      <c r="J523" cm="1">
        <f t="array" ref="J523">INDEX(DataAll!$Z$2:$Z$555,MATCH(LOWER(Data!A523),LOWER(DataAll!$Y$2:$Y$555),0))</f>
        <v>3.24</v>
      </c>
      <c r="K523" cm="1">
        <f t="array" ref="K523">INDEX(DataAll!$AM$2:$AM$555,MATCH(LOWER(Data!A523),LOWER(DataAll!$AL$2:$AL$555),0))</f>
        <v>18.11</v>
      </c>
      <c r="L523" cm="1">
        <f t="array" ref="L523">INDEX(DataAll!$AJ$2:$AJ$555,MATCH(LOWER(Data!A523),LOWER(DataAll!$AI$2:$AI$555),0))</f>
        <v>58.98</v>
      </c>
      <c r="M523" cm="1">
        <f t="array" ref="M523">INDEX(DataAll!$AP$2:$AP$555,MATCH(LOWER(Data!A523),LOWER(DataAll!$AO$2:$AO$555),0))</f>
        <v>65.09</v>
      </c>
      <c r="N523" cm="1">
        <f t="array" ref="N523">INDEX(DataAll!$AQ$2:$AQ$555,MATCH(LOWER(Data!A523),LOWER(DataAll!$AO$2:$AO$555),0))</f>
        <v>69.03</v>
      </c>
      <c r="O523" cm="1">
        <f t="array" ref="O523">INDEX(DataAll!$AT$2:$AT$555,MATCH(LOWER(Data!A523),LOWER(DataAll!$AS$2:$AS$555),0))</f>
        <v>9.77</v>
      </c>
      <c r="P523" cm="1">
        <f t="array" ref="P523">INDEX(DataAll!$AU$2:$AU$555,MATCH(LOWER(Data!A523),LOWER(DataAll!$AS$2:$AS$555),0))</f>
        <v>7.62</v>
      </c>
      <c r="Q523" cm="1">
        <f t="array" ref="Q523">INDEX(DataAll!$AX$2:$AX$556,MATCH(LOWER(Data!A523),LOWER(DataAll!$AW$2:$AW$556),0))</f>
        <v>27.04</v>
      </c>
      <c r="R523" cm="1">
        <f t="array" ref="R523">INDEX('Longitude and Latitude'!$B$2:$B$579,MATCH(LOWER(Data!A523),LOWER('Longitude and Latitude'!$A$2:$A$579),0))</f>
        <v>-0.86666670000000001</v>
      </c>
      <c r="S523" cm="1">
        <f t="array" ref="S523">INDEX('Longitude and Latitude'!$C$2:$C$579,MATCH(LOWER(Data!A523),LOWER('Longitude and Latitude'!$A$2:$A$579),0))</f>
        <v>131.25</v>
      </c>
      <c r="T523" t="b">
        <f>IF(EXACT(A523, UPPER(A523)), TRUE, FALSE)</f>
        <v>0</v>
      </c>
    </row>
    <row r="524" spans="1:20" x14ac:dyDescent="0.35">
      <c r="A524" t="s">
        <v>510</v>
      </c>
      <c r="C524" cm="1">
        <f t="array" ref="C524">INDEX(DataAll!$E$2:$E$555,MATCH(LOWER(Data!A524),LOWER(DataAll!$D$2:$D$555),0))</f>
        <v>45.08</v>
      </c>
      <c r="D524" cm="1">
        <f t="array" ref="D524">INDEX(DataAll!$H$2:$H$579,MATCH(LOWER(Data!A524),LOWER(DataAll!$G$2:$G$555),0))</f>
        <v>0.80300000000000005</v>
      </c>
      <c r="F524" cm="1">
        <f t="array" ref="F524">INDEX(DataAll!$N$2:$N$555,MATCH(LOWER(Data!A524),LOWER(DataAll!$M$2:$M$555),0))</f>
        <v>48.12</v>
      </c>
      <c r="G524" cm="1">
        <f t="array" ref="G524">INDEX(DataAll!$Q$2:$Q$555,MATCH(LOWER(Data!A524),LOWER(DataAll!$P$2:$P$555),0))</f>
        <v>18.13</v>
      </c>
      <c r="H524" cm="1">
        <f t="array" ref="H524">INDEX(DataAll!$T$2:$T$555,MATCH(LOWER(Data!A524),LOWER(DataAll!$S$2:$S$555),0))</f>
        <v>0.20599999999999999</v>
      </c>
      <c r="I524" cm="1">
        <f t="array" ref="I524">INDEX(DataAll!$W$2:$W$555,MATCH(LOWER(Data!A524),LOWER(DataAll!$V$2:$V$555),0))</f>
        <v>31.03</v>
      </c>
      <c r="J524" cm="1">
        <f t="array" ref="J524">INDEX(DataAll!$Z$2:$Z$555,MATCH(LOWER(Data!A524),LOWER(DataAll!$Y$2:$Y$555),0))</f>
        <v>3.49</v>
      </c>
      <c r="K524" cm="1">
        <f t="array" ref="K524">INDEX(DataAll!$AM$2:$AM$555,MATCH(LOWER(Data!A524),LOWER(DataAll!$AL$2:$AL$555),0))</f>
        <v>30.28</v>
      </c>
      <c r="L524" cm="1">
        <f t="array" ref="L524">INDEX(DataAll!$AJ$2:$AJ$555,MATCH(LOWER(Data!A524),LOWER(DataAll!$AI$2:$AI$555),0))</f>
        <v>71.14</v>
      </c>
      <c r="M524" cm="1">
        <f t="array" ref="M524">INDEX(DataAll!$AP$2:$AP$555,MATCH(LOWER(Data!A524),LOWER(DataAll!$AO$2:$AO$555),0))</f>
        <v>63.92</v>
      </c>
      <c r="N524" cm="1">
        <f t="array" ref="N524">INDEX(DataAll!$AQ$2:$AQ$555,MATCH(LOWER(Data!A524),LOWER(DataAll!$AO$2:$AO$555),0))</f>
        <v>67.8</v>
      </c>
      <c r="O524" cm="1">
        <f t="array" ref="O524">INDEX(DataAll!$AT$2:$AT$555,MATCH(LOWER(Data!A524),LOWER(DataAll!$AS$2:$AS$555),0))</f>
        <v>9.43</v>
      </c>
      <c r="P524" cm="1">
        <f t="array" ref="P524">INDEX(DataAll!$AU$2:$AU$555,MATCH(LOWER(Data!A524),LOWER(DataAll!$AS$2:$AS$555),0))</f>
        <v>6.93</v>
      </c>
      <c r="Q524" cm="1">
        <f t="array" ref="Q524">INDEX(DataAll!$AX$2:$AX$556,MATCH(LOWER(Data!A524),LOWER(DataAll!$AW$2:$AW$556),0))</f>
        <v>48.34</v>
      </c>
      <c r="R524" cm="1">
        <f t="array" ref="R524">INDEX('Longitude and Latitude'!$B$2:$B$579,MATCH(LOWER(Data!A524),LOWER('Longitude and Latitude'!$A$2:$A$579),0))</f>
        <v>-1.2155</v>
      </c>
      <c r="S524" cm="1">
        <f t="array" ref="S524">INDEX('Longitude and Latitude'!$C$2:$C$579,MATCH(LOWER(Data!A524),LOWER('Longitude and Latitude'!$A$2:$A$579),0))</f>
        <v>132.35092</v>
      </c>
      <c r="T524" t="b">
        <f>IF(EXACT(A524, UPPER(A524)), TRUE, FALSE)</f>
        <v>0</v>
      </c>
    </row>
    <row r="525" spans="1:20" x14ac:dyDescent="0.35">
      <c r="A525" t="s">
        <v>509</v>
      </c>
      <c r="C525" cm="1">
        <f t="array" ref="C525">INDEX(DataAll!$E$2:$E$555,MATCH(LOWER(Data!A525),LOWER(DataAll!$D$2:$D$555),0))</f>
        <v>40.03</v>
      </c>
      <c r="D525" cm="1">
        <f t="array" ref="D525">INDEX(DataAll!$H$2:$H$579,MATCH(LOWER(Data!A525),LOWER(DataAll!$G$2:$G$555),0))</f>
        <v>0.84199999999999997</v>
      </c>
      <c r="F525" cm="1">
        <f t="array" ref="F525">INDEX(DataAll!$N$2:$N$555,MATCH(LOWER(Data!A525),LOWER(DataAll!$M$2:$M$555),0))</f>
        <v>51.69</v>
      </c>
      <c r="G525" cm="1">
        <f t="array" ref="G525">INDEX(DataAll!$Q$2:$Q$555,MATCH(LOWER(Data!A525),LOWER(DataAll!$P$2:$P$555),0))</f>
        <v>34.92</v>
      </c>
      <c r="H525" cm="1">
        <f t="array" ref="H525">INDEX(DataAll!$T$2:$T$555,MATCH(LOWER(Data!A525),LOWER(DataAll!$S$2:$S$555),0))</f>
        <v>0.27</v>
      </c>
      <c r="I525" cm="1">
        <f t="array" ref="I525">INDEX(DataAll!$W$2:$W$555,MATCH(LOWER(Data!A525),LOWER(DataAll!$V$2:$V$555),0))</f>
        <v>37.57</v>
      </c>
      <c r="J525" cm="1">
        <f t="array" ref="J525">INDEX(DataAll!$Z$2:$Z$555,MATCH(LOWER(Data!A525),LOWER(DataAll!$Y$2:$Y$555),0))</f>
        <v>4.08</v>
      </c>
      <c r="K525" cm="1">
        <f t="array" ref="K525">INDEX(DataAll!$AM$2:$AM$555,MATCH(LOWER(Data!A525),LOWER(DataAll!$AL$2:$AL$555),0))</f>
        <v>31.23</v>
      </c>
      <c r="L525" cm="1">
        <f t="array" ref="L525">INDEX(DataAll!$AJ$2:$AJ$555,MATCH(LOWER(Data!A525),LOWER(DataAll!$AI$2:$AI$555),0))</f>
        <v>71.14</v>
      </c>
      <c r="M525" cm="1">
        <f t="array" ref="M525">INDEX(DataAll!$AP$2:$AP$555,MATCH(LOWER(Data!A525),LOWER(DataAll!$AO$2:$AO$555),0))</f>
        <v>59.34</v>
      </c>
      <c r="N525" cm="1">
        <f t="array" ref="N525">INDEX(DataAll!$AQ$2:$AQ$555,MATCH(LOWER(Data!A525),LOWER(DataAll!$AO$2:$AO$555),0))</f>
        <v>63.03</v>
      </c>
      <c r="O525" cm="1">
        <f t="array" ref="O525">INDEX(DataAll!$AT$2:$AT$555,MATCH(LOWER(Data!A525),LOWER(DataAll!$AS$2:$AS$555),0))</f>
        <v>7.89</v>
      </c>
      <c r="P525" cm="1">
        <f t="array" ref="P525">INDEX(DataAll!$AU$2:$AU$555,MATCH(LOWER(Data!A525),LOWER(DataAll!$AS$2:$AS$555),0))</f>
        <v>5.4</v>
      </c>
      <c r="Q525" cm="1">
        <f t="array" ref="Q525">INDEX(DataAll!$AX$2:$AX$556,MATCH(LOWER(Data!A525),LOWER(DataAll!$AW$2:$AW$556),0))</f>
        <v>36.619999999999997</v>
      </c>
      <c r="R525" cm="1">
        <f t="array" ref="R525">INDEX('Longitude and Latitude'!$B$2:$B$579,MATCH(LOWER(Data!A525),LOWER('Longitude and Latitude'!$A$2:$A$579),0))</f>
        <v>-0.60514999999999997</v>
      </c>
      <c r="S525" cm="1">
        <f t="array" ref="S525">INDEX('Longitude and Latitude'!$C$2:$C$579,MATCH(LOWER(Data!A525),LOWER('Longitude and Latitude'!$A$2:$A$579),0))</f>
        <v>132.48962</v>
      </c>
      <c r="T525" t="b">
        <f>IF(EXACT(A525, UPPER(A525)), TRUE, FALSE)</f>
        <v>0</v>
      </c>
    </row>
    <row r="526" spans="1:20" x14ac:dyDescent="0.35">
      <c r="A526" t="s">
        <v>513</v>
      </c>
      <c r="C526" cm="1">
        <f t="array" ref="C526">INDEX(DataAll!$E$2:$E$555,MATCH(LOWER(Data!A526),LOWER(DataAll!$D$2:$D$555),0))</f>
        <v>69.89</v>
      </c>
      <c r="D526" cm="1">
        <f t="array" ref="D526">INDEX(DataAll!$H$2:$H$579,MATCH(LOWER(Data!A526),LOWER(DataAll!$G$2:$G$555),0))</f>
        <v>0.45200000000000001</v>
      </c>
      <c r="E526" cm="1">
        <f t="array" ref="E526">INDEX(DataAll!$K$2:$K$579,MATCH(LOWER(Data!A526),LOWER(DataAll!$J$2:$J$555),0))</f>
        <v>23.33</v>
      </c>
      <c r="F526" cm="1">
        <f t="array" ref="F526">INDEX(DataAll!$N$2:$N$555,MATCH(LOWER(Data!A526),LOWER(DataAll!$M$2:$M$555),0))</f>
        <v>41.99</v>
      </c>
      <c r="G526" cm="1">
        <f t="array" ref="G526">INDEX(DataAll!$Q$2:$Q$555,MATCH(LOWER(Data!A526),LOWER(DataAll!$P$2:$P$555),0))</f>
        <v>17.21</v>
      </c>
      <c r="H526" cm="1">
        <f t="array" ref="H526">INDEX(DataAll!$T$2:$T$555,MATCH(LOWER(Data!A526),LOWER(DataAll!$S$2:$S$555),0))</f>
        <v>0.23499999999999999</v>
      </c>
      <c r="I526" cm="1">
        <f t="array" ref="I526">INDEX(DataAll!$W$2:$W$555,MATCH(LOWER(Data!A526),LOWER(DataAll!$V$2:$V$555),0))</f>
        <v>26.35</v>
      </c>
      <c r="J526" cm="1">
        <f t="array" ref="J526">INDEX(DataAll!$Z$2:$Z$555,MATCH(LOWER(Data!A526),LOWER(DataAll!$Y$2:$Y$555),0))</f>
        <v>2.2000000000000002</v>
      </c>
      <c r="K526" cm="1">
        <f t="array" ref="K526">INDEX(DataAll!$AM$2:$AM$555,MATCH(LOWER(Data!A526),LOWER(DataAll!$AL$2:$AL$555),0))</f>
        <v>14.41</v>
      </c>
      <c r="L526" cm="1">
        <f t="array" ref="L526">INDEX(DataAll!$AJ$2:$AJ$555,MATCH(LOWER(Data!A526),LOWER(DataAll!$AI$2:$AI$555),0))</f>
        <v>26.93</v>
      </c>
      <c r="M526" cm="1">
        <f t="array" ref="M526">INDEX(DataAll!$AP$2:$AP$555,MATCH(LOWER(Data!A526),LOWER(DataAll!$AO$2:$AO$555),0))</f>
        <v>69.97</v>
      </c>
      <c r="N526" cm="1">
        <f t="array" ref="N526">INDEX(DataAll!$AQ$2:$AQ$555,MATCH(LOWER(Data!A526),LOWER(DataAll!$AO$2:$AO$555),0))</f>
        <v>73.959999999999994</v>
      </c>
      <c r="O526" cm="1">
        <f t="array" ref="O526">INDEX(DataAll!$AT$2:$AT$555,MATCH(LOWER(Data!A526),LOWER(DataAll!$AS$2:$AS$555),0))</f>
        <v>11.58</v>
      </c>
      <c r="P526" cm="1">
        <f t="array" ref="P526">INDEX(DataAll!$AU$2:$AU$555,MATCH(LOWER(Data!A526),LOWER(DataAll!$AS$2:$AS$555),0))</f>
        <v>11.47</v>
      </c>
      <c r="Q526" cm="1">
        <f t="array" ref="Q526">INDEX(DataAll!$AX$2:$AX$556,MATCH(LOWER(Data!A526),LOWER(DataAll!$AW$2:$AW$556),0))</f>
        <v>70.97</v>
      </c>
      <c r="R526" cm="1">
        <f t="array" ref="R526">INDEX('Longitude and Latitude'!$B$2:$B$579,MATCH(LOWER(Data!A526),LOWER('Longitude and Latitude'!$A$2:$A$579),0))</f>
        <v>-0.86666670000000001</v>
      </c>
      <c r="S526" cm="1">
        <f t="array" ref="S526">INDEX('Longitude and Latitude'!$C$2:$C$579,MATCH(LOWER(Data!A526),LOWER('Longitude and Latitude'!$A$2:$A$579),0))</f>
        <v>131.25</v>
      </c>
      <c r="T526" t="b">
        <f>IF(EXACT(A526, UPPER(A526)), TRUE, FALSE)</f>
        <v>0</v>
      </c>
    </row>
    <row r="527" spans="1:20" x14ac:dyDescent="0.35">
      <c r="A527" t="s">
        <v>515</v>
      </c>
      <c r="B527">
        <v>81.64</v>
      </c>
      <c r="C527" cm="1">
        <f t="array" ref="C527">INDEX(DataAll!$E$2:$E$555,MATCH(LOWER(Data!A527),LOWER(DataAll!$D$2:$D$555),0))</f>
        <v>65.7</v>
      </c>
      <c r="D527" cm="1">
        <f t="array" ref="D527">INDEX(DataAll!$H$2:$H$579,MATCH(LOWER(Data!A527),LOWER(DataAll!$G$2:$G$555),0))</f>
        <v>0.51800000000000002</v>
      </c>
      <c r="E527" cm="1">
        <f t="array" ref="E527">INDEX(DataAll!$K$2:$K$579,MATCH(LOWER(Data!A527),LOWER(DataAll!$J$2:$J$555),0))</f>
        <v>12.73</v>
      </c>
      <c r="F527" cm="1">
        <f t="array" ref="F527">INDEX(DataAll!$N$2:$N$555,MATCH(LOWER(Data!A527),LOWER(DataAll!$M$2:$M$555),0))</f>
        <v>35.770000000000003</v>
      </c>
      <c r="G527" t="e" cm="1">
        <f t="array" ref="G527">INDEX(DataAll!$Q$2:$Q$555,MATCH(LOWER(Data!A527),LOWER(DataAll!$P$2:$P$555),0))</f>
        <v>#N/A</v>
      </c>
      <c r="H527" cm="1">
        <f t="array" ref="H527">INDEX(DataAll!$T$2:$T$555,MATCH(LOWER(Data!A527),LOWER(DataAll!$S$2:$S$555),0))</f>
        <v>0.27800000000000002</v>
      </c>
      <c r="I527" cm="1">
        <f t="array" ref="I527">INDEX(DataAll!$W$2:$W$555,MATCH(LOWER(Data!A527),LOWER(DataAll!$V$2:$V$555),0))</f>
        <v>36.840000000000003</v>
      </c>
      <c r="J527" cm="1">
        <f t="array" ref="J527">INDEX(DataAll!$Z$2:$Z$555,MATCH(LOWER(Data!A527),LOWER(DataAll!$Y$2:$Y$555),0))</f>
        <v>2.76</v>
      </c>
      <c r="K527" cm="1">
        <f t="array" ref="K527">INDEX(DataAll!$AM$2:$AM$555,MATCH(LOWER(Data!A527),LOWER(DataAll!$AL$2:$AL$555),0))</f>
        <v>26.03</v>
      </c>
      <c r="L527" cm="1">
        <f t="array" ref="L527">INDEX(DataAll!$AJ$2:$AJ$555,MATCH(LOWER(Data!A527),LOWER(DataAll!$AI$2:$AI$555),0))</f>
        <v>49.04</v>
      </c>
      <c r="M527" cm="1">
        <f t="array" ref="M527">INDEX(DataAll!$AP$2:$AP$555,MATCH(LOWER(Data!A527),LOWER(DataAll!$AO$2:$AO$555),0))</f>
        <v>64.53</v>
      </c>
      <c r="N527" cm="1">
        <f t="array" ref="N527">INDEX(DataAll!$AQ$2:$AQ$555,MATCH(LOWER(Data!A527),LOWER(DataAll!$AO$2:$AO$555),0))</f>
        <v>68.45</v>
      </c>
      <c r="O527" cm="1">
        <f t="array" ref="O527">INDEX(DataAll!$AT$2:$AT$555,MATCH(LOWER(Data!A527),LOWER(DataAll!$AS$2:$AS$555),0))</f>
        <v>7.62</v>
      </c>
      <c r="P527" cm="1">
        <f t="array" ref="P527">INDEX(DataAll!$AU$2:$AU$555,MATCH(LOWER(Data!A527),LOWER(DataAll!$AS$2:$AS$555),0))</f>
        <v>6.45</v>
      </c>
      <c r="Q527" cm="1">
        <f t="array" ref="Q527">INDEX(DataAll!$AX$2:$AX$556,MATCH(LOWER(Data!A527),LOWER(DataAll!$AW$2:$AW$556),0))</f>
        <v>32.700000000000003</v>
      </c>
      <c r="R527" cm="1">
        <f t="array" ref="R527">INDEX('Longitude and Latitude'!$B$2:$B$579,MATCH(LOWER(Data!A527),LOWER('Longitude and Latitude'!$A$2:$A$579),0))</f>
        <v>-4.0004480999999998</v>
      </c>
      <c r="S527" cm="1">
        <f t="array" ref="S527">INDEX('Longitude and Latitude'!$C$2:$C$579,MATCH(LOWER(Data!A527),LOWER('Longitude and Latitude'!$A$2:$A$579),0))</f>
        <v>138.79951220000001</v>
      </c>
      <c r="T527" t="b">
        <f>IF(EXACT(A527, UPPER(A527)), TRUE, FALSE)</f>
        <v>1</v>
      </c>
    </row>
    <row r="528" spans="1:20" x14ac:dyDescent="0.35">
      <c r="A528" t="s">
        <v>516</v>
      </c>
      <c r="B528">
        <v>89.64</v>
      </c>
      <c r="C528" cm="1">
        <f t="array" ref="C528">INDEX(DataAll!$E$2:$E$555,MATCH(LOWER(Data!A528),LOWER(DataAll!$D$2:$D$555),0))</f>
        <v>58.74</v>
      </c>
      <c r="D528" cm="1">
        <f t="array" ref="D528">INDEX(DataAll!$H$2:$H$579,MATCH(LOWER(Data!A528),LOWER(DataAll!$G$2:$G$555),0))</f>
        <v>0.496</v>
      </c>
      <c r="E528" cm="1">
        <f t="array" ref="E528">INDEX(DataAll!$K$2:$K$579,MATCH(LOWER(Data!A528),LOWER(DataAll!$J$2:$J$555),0))</f>
        <v>6.67</v>
      </c>
      <c r="F528" cm="1">
        <f t="array" ref="F528">INDEX(DataAll!$N$2:$N$555,MATCH(LOWER(Data!A528),LOWER(DataAll!$M$2:$M$555),0))</f>
        <v>42.12</v>
      </c>
      <c r="G528" cm="1">
        <f t="array" ref="G528">INDEX(DataAll!$Q$2:$Q$555,MATCH(LOWER(Data!A528),LOWER(DataAll!$P$2:$P$555),0))</f>
        <v>23.02</v>
      </c>
      <c r="H528" cm="1">
        <f t="array" ref="H528">INDEX(DataAll!$T$2:$T$555,MATCH(LOWER(Data!A528),LOWER(DataAll!$S$2:$S$555),0))</f>
        <v>0.28699999999999998</v>
      </c>
      <c r="I528" cm="1">
        <f t="array" ref="I528">INDEX(DataAll!$W$2:$W$555,MATCH(LOWER(Data!A528),LOWER(DataAll!$V$2:$V$555),0))</f>
        <v>37.26</v>
      </c>
      <c r="J528" cm="1">
        <f t="array" ref="J528">INDEX(DataAll!$Z$2:$Z$555,MATCH(LOWER(Data!A528),LOWER(DataAll!$Y$2:$Y$555),0))</f>
        <v>2.74</v>
      </c>
      <c r="K528" cm="1">
        <f t="array" ref="K528">INDEX(DataAll!$AM$2:$AM$555,MATCH(LOWER(Data!A528),LOWER(DataAll!$AL$2:$AL$555),0))</f>
        <v>10.01</v>
      </c>
      <c r="L528" cm="1">
        <f t="array" ref="L528">INDEX(DataAll!$AJ$2:$AJ$555,MATCH(LOWER(Data!A528),LOWER(DataAll!$AI$2:$AI$555),0))</f>
        <v>31.15</v>
      </c>
      <c r="M528" cm="1">
        <f t="array" ref="M528">INDEX(DataAll!$AP$2:$AP$555,MATCH(LOWER(Data!A528),LOWER(DataAll!$AO$2:$AO$555),0))</f>
        <v>65.66</v>
      </c>
      <c r="N528" cm="1">
        <f t="array" ref="N528">INDEX(DataAll!$AQ$2:$AQ$555,MATCH(LOWER(Data!A528),LOWER(DataAll!$AO$2:$AO$555),0))</f>
        <v>69.63</v>
      </c>
      <c r="O528" cm="1">
        <f t="array" ref="O528">INDEX(DataAll!$AT$2:$AT$555,MATCH(LOWER(Data!A528),LOWER(DataAll!$AS$2:$AS$555),0))</f>
        <v>9.27</v>
      </c>
      <c r="P528" cm="1">
        <f t="array" ref="P528">INDEX(DataAll!$AU$2:$AU$555,MATCH(LOWER(Data!A528),LOWER(DataAll!$AS$2:$AS$555),0))</f>
        <v>9</v>
      </c>
      <c r="Q528" cm="1">
        <f t="array" ref="Q528">INDEX(DataAll!$AX$2:$AX$556,MATCH(LOWER(Data!A528),LOWER(DataAll!$AW$2:$AW$556),0))</f>
        <v>52.55</v>
      </c>
      <c r="R528" cm="1">
        <f t="array" ref="R528">INDEX('Longitude and Latitude'!$B$2:$B$579,MATCH(LOWER(Data!A528),LOWER('Longitude and Latitude'!$A$2:$A$579),0))</f>
        <v>-2.5329999999999999</v>
      </c>
      <c r="S528" cm="1">
        <f t="array" ref="S528">INDEX('Longitude and Latitude'!$C$2:$C$579,MATCH(LOWER(Data!A528),LOWER('Longitude and Latitude'!$A$2:$A$579),0))</f>
        <v>140.71700000000001</v>
      </c>
      <c r="T528" t="b">
        <f>IF(EXACT(A528, UPPER(A528)), TRUE, FALSE)</f>
        <v>0</v>
      </c>
    </row>
    <row r="529" spans="1:20" x14ac:dyDescent="0.35">
      <c r="A529" t="s">
        <v>517</v>
      </c>
      <c r="B529">
        <v>85.8</v>
      </c>
      <c r="C529" cm="1">
        <f t="array" ref="C529">INDEX(DataAll!$E$2:$E$555,MATCH(LOWER(Data!A529),LOWER(DataAll!$D$2:$D$555),0))</f>
        <v>65.63</v>
      </c>
      <c r="D529" cm="1">
        <f t="array" ref="D529">INDEX(DataAll!$H$2:$H$579,MATCH(LOWER(Data!A529),LOWER(DataAll!$G$2:$G$555),0))</f>
        <v>0.50900000000000001</v>
      </c>
      <c r="E529" cm="1">
        <f t="array" ref="E529">INDEX(DataAll!$K$2:$K$579,MATCH(LOWER(Data!A529),LOWER(DataAll!$J$2:$J$555),0))</f>
        <v>10</v>
      </c>
      <c r="F529" cm="1">
        <f t="array" ref="F529">INDEX(DataAll!$N$2:$N$555,MATCH(LOWER(Data!A529),LOWER(DataAll!$M$2:$M$555),0))</f>
        <v>49.21</v>
      </c>
      <c r="G529" cm="1">
        <f t="array" ref="G529">INDEX(DataAll!$Q$2:$Q$555,MATCH(LOWER(Data!A529),LOWER(DataAll!$P$2:$P$555),0))</f>
        <v>30.07</v>
      </c>
      <c r="H529" cm="1">
        <f t="array" ref="H529">INDEX(DataAll!$T$2:$T$555,MATCH(LOWER(Data!A529),LOWER(DataAll!$S$2:$S$555),0))</f>
        <v>0.23</v>
      </c>
      <c r="I529" cm="1">
        <f t="array" ref="I529">INDEX(DataAll!$W$2:$W$555,MATCH(LOWER(Data!A529),LOWER(DataAll!$V$2:$V$555),0))</f>
        <v>47.71</v>
      </c>
      <c r="J529" cm="1">
        <f t="array" ref="J529">INDEX(DataAll!$Z$2:$Z$555,MATCH(LOWER(Data!A529),LOWER(DataAll!$Y$2:$Y$555),0))</f>
        <v>2.39</v>
      </c>
      <c r="K529" cm="1">
        <f t="array" ref="K529">INDEX(DataAll!$AM$2:$AM$555,MATCH(LOWER(Data!A529),LOWER(DataAll!$AL$2:$AL$555),0))</f>
        <v>34.71</v>
      </c>
      <c r="L529" cm="1">
        <f t="array" ref="L529">INDEX(DataAll!$AJ$2:$AJ$555,MATCH(LOWER(Data!A529),LOWER(DataAll!$AI$2:$AI$555),0))</f>
        <v>41.48</v>
      </c>
      <c r="M529" cm="1">
        <f t="array" ref="M529">INDEX(DataAll!$AP$2:$AP$555,MATCH(LOWER(Data!A529),LOWER(DataAll!$AO$2:$AO$555),0))</f>
        <v>58.71</v>
      </c>
      <c r="N529" cm="1">
        <f t="array" ref="N529">INDEX(DataAll!$AQ$2:$AQ$555,MATCH(LOWER(Data!A529),LOWER(DataAll!$AO$2:$AO$555),0))</f>
        <v>62.38</v>
      </c>
      <c r="O529" cm="1">
        <f t="array" ref="O529">INDEX(DataAll!$AT$2:$AT$555,MATCH(LOWER(Data!A529),LOWER(DataAll!$AS$2:$AS$555),0))</f>
        <v>7.15</v>
      </c>
      <c r="P529" cm="1">
        <f t="array" ref="P529">INDEX(DataAll!$AU$2:$AU$555,MATCH(LOWER(Data!A529),LOWER(DataAll!$AS$2:$AS$555),0))</f>
        <v>5.32</v>
      </c>
      <c r="Q529" cm="1">
        <f t="array" ref="Q529">INDEX(DataAll!$AX$2:$AX$556,MATCH(LOWER(Data!A529),LOWER(DataAll!$AW$2:$AW$556),0))</f>
        <v>31.94</v>
      </c>
      <c r="R529" cm="1">
        <f t="array" ref="R529">INDEX('Longitude and Latitude'!$B$2:$B$579,MATCH(LOWER(Data!A529),LOWER('Longitude and Latitude'!$A$2:$A$579),0))</f>
        <v>-3.5095461999999999</v>
      </c>
      <c r="S529" cm="1">
        <f t="array" ref="S529">INDEX('Longitude and Latitude'!$C$2:$C$579,MATCH(LOWER(Data!A529),LOWER('Longitude and Latitude'!$A$2:$A$579),0))</f>
        <v>135.75209849999999</v>
      </c>
      <c r="T529" t="b">
        <f>IF(EXACT(A529, UPPER(A529)), TRUE, FALSE)</f>
        <v>0</v>
      </c>
    </row>
    <row r="530" spans="1:20" x14ac:dyDescent="0.35">
      <c r="A530" t="s">
        <v>518</v>
      </c>
      <c r="B530">
        <v>91.61</v>
      </c>
      <c r="C530" cm="1">
        <f t="array" ref="C530">INDEX(DataAll!$E$2:$E$555,MATCH(LOWER(Data!A530),LOWER(DataAll!$D$2:$D$555),0))</f>
        <v>70.2</v>
      </c>
      <c r="D530" cm="1">
        <f t="array" ref="D530">INDEX(DataAll!$H$2:$H$579,MATCH(LOWER(Data!A530),LOWER(DataAll!$G$2:$G$555),0))</f>
        <v>0.47799999999999998</v>
      </c>
      <c r="E530" cm="1">
        <f t="array" ref="E530">INDEX(DataAll!$K$2:$K$579,MATCH(LOWER(Data!A530),LOWER(DataAll!$J$2:$J$555),0))</f>
        <v>16</v>
      </c>
      <c r="F530" cm="1">
        <f t="array" ref="F530">INDEX(DataAll!$N$2:$N$555,MATCH(LOWER(Data!A530),LOWER(DataAll!$M$2:$M$555),0))</f>
        <v>39.869999999999997</v>
      </c>
      <c r="G530" cm="1">
        <f t="array" ref="G530">INDEX(DataAll!$Q$2:$Q$555,MATCH(LOWER(Data!A530),LOWER(DataAll!$P$2:$P$555),0))</f>
        <v>22.44</v>
      </c>
      <c r="H530" cm="1">
        <f t="array" ref="H530">INDEX(DataAll!$T$2:$T$555,MATCH(LOWER(Data!A530),LOWER(DataAll!$S$2:$S$555),0))</f>
        <v>0.23499999999999999</v>
      </c>
      <c r="I530" cm="1">
        <f t="array" ref="I530">INDEX(DataAll!$W$2:$W$555,MATCH(LOWER(Data!A530),LOWER(DataAll!$V$2:$V$555),0))</f>
        <v>34.29</v>
      </c>
      <c r="J530" cm="1">
        <f t="array" ref="J530">INDEX(DataAll!$Z$2:$Z$555,MATCH(LOWER(Data!A530),LOWER(DataAll!$Y$2:$Y$555),0))</f>
        <v>2.83</v>
      </c>
      <c r="K530" cm="1">
        <f t="array" ref="K530">INDEX(DataAll!$AM$2:$AM$555,MATCH(LOWER(Data!A530),LOWER(DataAll!$AL$2:$AL$555),0))</f>
        <v>11.45</v>
      </c>
      <c r="L530" cm="1">
        <f t="array" ref="L530">INDEX(DataAll!$AJ$2:$AJ$555,MATCH(LOWER(Data!A530),LOWER(DataAll!$AI$2:$AI$555),0))</f>
        <v>36.97</v>
      </c>
      <c r="M530" cm="1">
        <f t="array" ref="M530">INDEX(DataAll!$AP$2:$AP$555,MATCH(LOWER(Data!A530),LOWER(DataAll!$AO$2:$AO$555),0))</f>
        <v>65.84</v>
      </c>
      <c r="N530" cm="1">
        <f t="array" ref="N530">INDEX(DataAll!$AQ$2:$AQ$555,MATCH(LOWER(Data!A530),LOWER(DataAll!$AO$2:$AO$555),0))</f>
        <v>69.819999999999993</v>
      </c>
      <c r="O530" cm="1">
        <f t="array" ref="O530">INDEX(DataAll!$AT$2:$AT$555,MATCH(LOWER(Data!A530),LOWER(DataAll!$AS$2:$AS$555),0))</f>
        <v>10.61</v>
      </c>
      <c r="P530" cm="1">
        <f t="array" ref="P530">INDEX(DataAll!$AU$2:$AU$555,MATCH(LOWER(Data!A530),LOWER(DataAll!$AS$2:$AS$555),0))</f>
        <v>9.5500000000000007</v>
      </c>
      <c r="Q530" cm="1">
        <f t="array" ref="Q530">INDEX(DataAll!$AX$2:$AX$556,MATCH(LOWER(Data!A530),LOWER(DataAll!$AW$2:$AW$556),0))</f>
        <v>54.14</v>
      </c>
      <c r="R530" cm="1">
        <f t="array" ref="R530">INDEX('Longitude and Latitude'!$B$2:$B$579,MATCH(LOWER(Data!A530),LOWER('Longitude and Latitude'!$A$2:$A$579),0))</f>
        <v>-1.7469359</v>
      </c>
      <c r="S530" cm="1">
        <f t="array" ref="S530">INDEX('Longitude and Latitude'!$C$2:$C$579,MATCH(LOWER(Data!A530),LOWER('Longitude and Latitude'!$A$2:$A$579),0))</f>
        <v>136.1709012</v>
      </c>
      <c r="T530" t="b">
        <f>IF(EXACT(A530, UPPER(A530)), TRUE, FALSE)</f>
        <v>0</v>
      </c>
    </row>
    <row r="531" spans="1:20" x14ac:dyDescent="0.35">
      <c r="A531" t="s">
        <v>519</v>
      </c>
      <c r="B531">
        <v>91.19</v>
      </c>
      <c r="C531" cm="1">
        <f t="array" ref="C531">INDEX(DataAll!$E$2:$E$555,MATCH(LOWER(Data!A531),LOWER(DataAll!$D$2:$D$555),0))</f>
        <v>72.41</v>
      </c>
      <c r="D531" cm="1">
        <f t="array" ref="D531">INDEX(DataAll!$H$2:$H$579,MATCH(LOWER(Data!A531),LOWER(DataAll!$G$2:$G$555),0))</f>
        <v>0.496</v>
      </c>
      <c r="E531" cm="1">
        <f t="array" ref="E531">INDEX(DataAll!$K$2:$K$579,MATCH(LOWER(Data!A531),LOWER(DataAll!$J$2:$J$555),0))</f>
        <v>20</v>
      </c>
      <c r="F531" cm="1">
        <f t="array" ref="F531">INDEX(DataAll!$N$2:$N$555,MATCH(LOWER(Data!A531),LOWER(DataAll!$M$2:$M$555),0))</f>
        <v>38.659999999999997</v>
      </c>
      <c r="G531" cm="1">
        <f t="array" ref="G531">INDEX(DataAll!$Q$2:$Q$555,MATCH(LOWER(Data!A531),LOWER(DataAll!$P$2:$P$555),0))</f>
        <v>28.08</v>
      </c>
      <c r="H531" cm="1">
        <f t="array" ref="H531">INDEX(DataAll!$T$2:$T$555,MATCH(LOWER(Data!A531),LOWER(DataAll!$S$2:$S$555),0))</f>
        <v>0.34100000000000003</v>
      </c>
      <c r="I531" cm="1">
        <f t="array" ref="I531">INDEX(DataAll!$W$2:$W$555,MATCH(LOWER(Data!A531),LOWER(DataAll!$V$2:$V$555),0))</f>
        <v>35</v>
      </c>
      <c r="J531" cm="1">
        <f t="array" ref="J531">INDEX(DataAll!$Z$2:$Z$555,MATCH(LOWER(Data!A531),LOWER(DataAll!$Y$2:$Y$555),0))</f>
        <v>2.59</v>
      </c>
      <c r="K531" cm="1">
        <f t="array" ref="K531">INDEX(DataAll!$AM$2:$AM$555,MATCH(LOWER(Data!A531),LOWER(DataAll!$AL$2:$AL$555),0))</f>
        <v>23.35</v>
      </c>
      <c r="L531" cm="1">
        <f t="array" ref="L531">INDEX(DataAll!$AJ$2:$AJ$555,MATCH(LOWER(Data!A531),LOWER(DataAll!$AI$2:$AI$555),0))</f>
        <v>39.71</v>
      </c>
      <c r="M531" cm="1">
        <f t="array" ref="M531">INDEX(DataAll!$AP$2:$AP$555,MATCH(LOWER(Data!A531),LOWER(DataAll!$AO$2:$AO$555),0))</f>
        <v>66.790000000000006</v>
      </c>
      <c r="N531" cm="1">
        <f t="array" ref="N531">INDEX(DataAll!$AQ$2:$AQ$555,MATCH(LOWER(Data!A531),LOWER(DataAll!$AO$2:$AO$555),0))</f>
        <v>70.760000000000005</v>
      </c>
      <c r="O531" cm="1">
        <f t="array" ref="O531">INDEX(DataAll!$AT$2:$AT$555,MATCH(LOWER(Data!A531),LOWER(DataAll!$AS$2:$AS$555),0))</f>
        <v>10.56</v>
      </c>
      <c r="P531" cm="1">
        <f t="array" ref="P531">INDEX(DataAll!$AU$2:$AU$555,MATCH(LOWER(Data!A531),LOWER(DataAll!$AS$2:$AS$555),0))</f>
        <v>9.6999999999999993</v>
      </c>
      <c r="Q531" cm="1">
        <f t="array" ref="Q531">INDEX(DataAll!$AX$2:$AX$556,MATCH(LOWER(Data!A531),LOWER(DataAll!$AW$2:$AW$556),0))</f>
        <v>54.06</v>
      </c>
      <c r="R531" cm="1">
        <f t="array" ref="R531">INDEX('Longitude and Latitude'!$B$2:$B$579,MATCH(LOWER(Data!A531),LOWER('Longitude and Latitude'!$A$2:$A$579),0))</f>
        <v>-1.0381022</v>
      </c>
      <c r="S531" cm="1">
        <f t="array" ref="S531">INDEX('Longitude and Latitude'!$C$2:$C$579,MATCH(LOWER(Data!A531),LOWER('Longitude and Latitude'!$A$2:$A$579),0))</f>
        <v>135.98008479999999</v>
      </c>
      <c r="T531" t="b">
        <f>IF(EXACT(A531, UPPER(A531)), TRUE, FALSE)</f>
        <v>0</v>
      </c>
    </row>
    <row r="532" spans="1:20" x14ac:dyDescent="0.35">
      <c r="A532" t="s">
        <v>520</v>
      </c>
      <c r="B532">
        <v>89.9</v>
      </c>
      <c r="C532" cm="1">
        <f t="array" ref="C532">INDEX(DataAll!$E$2:$E$555,MATCH(LOWER(Data!A532),LOWER(DataAll!$D$2:$D$555),0))</f>
        <v>68.760000000000005</v>
      </c>
      <c r="D532" cm="1">
        <f t="array" ref="D532">INDEX(DataAll!$H$2:$H$579,MATCH(LOWER(Data!A532),LOWER(DataAll!$G$2:$G$555),0))</f>
        <v>0.57999999999999996</v>
      </c>
      <c r="E532" cm="1">
        <f t="array" ref="E532">INDEX(DataAll!$K$2:$K$579,MATCH(LOWER(Data!A532),LOWER(DataAll!$J$2:$J$555),0))</f>
        <v>16</v>
      </c>
      <c r="F532" cm="1">
        <f t="array" ref="F532">INDEX(DataAll!$N$2:$N$555,MATCH(LOWER(Data!A532),LOWER(DataAll!$M$2:$M$555),0))</f>
        <v>32.409999999999997</v>
      </c>
      <c r="G532" cm="1">
        <f t="array" ref="G532">INDEX(DataAll!$Q$2:$Q$555,MATCH(LOWER(Data!A532),LOWER(DataAll!$P$2:$P$555),0))</f>
        <v>35.24</v>
      </c>
      <c r="H532" cm="1">
        <f t="array" ref="H532">INDEX(DataAll!$T$2:$T$555,MATCH(LOWER(Data!A532),LOWER(DataAll!$S$2:$S$555),0))</f>
        <v>0.28299999999999997</v>
      </c>
      <c r="I532" cm="1">
        <f t="array" ref="I532">INDEX(DataAll!$W$2:$W$555,MATCH(LOWER(Data!A532),LOWER(DataAll!$V$2:$V$555),0))</f>
        <v>37.67</v>
      </c>
      <c r="J532" cm="1">
        <f t="array" ref="J532">INDEX(DataAll!$Z$2:$Z$555,MATCH(LOWER(Data!A532),LOWER(DataAll!$Y$2:$Y$555),0))</f>
        <v>3.31</v>
      </c>
      <c r="K532" cm="1">
        <f t="array" ref="K532">INDEX(DataAll!$AM$2:$AM$555,MATCH(LOWER(Data!A532),LOWER(DataAll!$AL$2:$AL$555),0))</f>
        <v>25.89</v>
      </c>
      <c r="L532" cm="1">
        <f t="array" ref="L532">INDEX(DataAll!$AJ$2:$AJ$555,MATCH(LOWER(Data!A532),LOWER(DataAll!$AI$2:$AI$555),0))</f>
        <v>33.19</v>
      </c>
      <c r="M532" cm="1">
        <f t="array" ref="M532">INDEX(DataAll!$AP$2:$AP$555,MATCH(LOWER(Data!A532),LOWER(DataAll!$AO$2:$AO$555),0))</f>
        <v>67.709999999999994</v>
      </c>
      <c r="N532" cm="1">
        <f t="array" ref="N532">INDEX(DataAll!$AQ$2:$AQ$555,MATCH(LOWER(Data!A532),LOWER(DataAll!$AO$2:$AO$555),0))</f>
        <v>71.66</v>
      </c>
      <c r="O532" cm="1">
        <f t="array" ref="O532">INDEX(DataAll!$AT$2:$AT$555,MATCH(LOWER(Data!A532),LOWER(DataAll!$AS$2:$AS$555),0))</f>
        <v>10.35</v>
      </c>
      <c r="P532" cm="1">
        <f t="array" ref="P532">INDEX(DataAll!$AU$2:$AU$555,MATCH(LOWER(Data!A532),LOWER(DataAll!$AS$2:$AS$555),0))</f>
        <v>8.85</v>
      </c>
      <c r="Q532" cm="1">
        <f t="array" ref="Q532">INDEX(DataAll!$AX$2:$AX$556,MATCH(LOWER(Data!A532),LOWER(DataAll!$AW$2:$AW$556),0))</f>
        <v>45.11</v>
      </c>
      <c r="R532" cm="1">
        <f t="array" ref="R532">INDEX('Longitude and Latitude'!$B$2:$B$579,MATCH(LOWER(Data!A532),LOWER('Longitude and Latitude'!$A$2:$A$579),0))</f>
        <v>-3.7876441000000001</v>
      </c>
      <c r="S532" cm="1">
        <f t="array" ref="S532">INDEX('Longitude and Latitude'!$C$2:$C$579,MATCH(LOWER(Data!A532),LOWER('Longitude and Latitude'!$A$2:$A$579),0))</f>
        <v>136.3624686</v>
      </c>
      <c r="T532" t="b">
        <f>IF(EXACT(A532, UPPER(A532)), TRUE, FALSE)</f>
        <v>0</v>
      </c>
    </row>
    <row r="533" spans="1:20" x14ac:dyDescent="0.35">
      <c r="A533" t="s">
        <v>521</v>
      </c>
      <c r="B533">
        <v>90.96</v>
      </c>
      <c r="C533" cm="1">
        <f t="array" ref="C533">INDEX(DataAll!$E$2:$E$555,MATCH(LOWER(Data!A533),LOWER(DataAll!$D$2:$D$555),0))</f>
        <v>70.709999999999994</v>
      </c>
      <c r="D533" cm="1">
        <f t="array" ref="D533">INDEX(DataAll!$H$2:$H$579,MATCH(LOWER(Data!A533),LOWER(DataAll!$G$2:$G$555),0))</f>
        <v>0.39200000000000002</v>
      </c>
      <c r="E533" cm="1">
        <f t="array" ref="E533">INDEX(DataAll!$K$2:$K$579,MATCH(LOWER(Data!A533),LOWER(DataAll!$J$2:$J$555),0))</f>
        <v>24</v>
      </c>
      <c r="F533" cm="1">
        <f t="array" ref="F533">INDEX(DataAll!$N$2:$N$555,MATCH(LOWER(Data!A533),LOWER(DataAll!$M$2:$M$555),0))</f>
        <v>45.44</v>
      </c>
      <c r="G533" cm="1">
        <f t="array" ref="G533">INDEX(DataAll!$Q$2:$Q$555,MATCH(LOWER(Data!A533),LOWER(DataAll!$P$2:$P$555),0))</f>
        <v>32.58</v>
      </c>
      <c r="H533" cm="1">
        <f t="array" ref="H533">INDEX(DataAll!$T$2:$T$555,MATCH(LOWER(Data!A533),LOWER(DataAll!$S$2:$S$555),0))</f>
        <v>0.25</v>
      </c>
      <c r="I533" cm="1">
        <f t="array" ref="I533">INDEX(DataAll!$W$2:$W$555,MATCH(LOWER(Data!A533),LOWER(DataAll!$V$2:$V$555),0))</f>
        <v>31.04</v>
      </c>
      <c r="J533" cm="1">
        <f t="array" ref="J533">INDEX(DataAll!$Z$2:$Z$555,MATCH(LOWER(Data!A533),LOWER(DataAll!$Y$2:$Y$555),0))</f>
        <v>3.26</v>
      </c>
      <c r="K533" cm="1">
        <f t="array" ref="K533">INDEX(DataAll!$AM$2:$AM$555,MATCH(LOWER(Data!A533),LOWER(DataAll!$AL$2:$AL$555),0))</f>
        <v>23.53</v>
      </c>
      <c r="L533" cm="1">
        <f t="array" ref="L533">INDEX(DataAll!$AJ$2:$AJ$555,MATCH(LOWER(Data!A533),LOWER(DataAll!$AI$2:$AI$555),0))</f>
        <v>35.93</v>
      </c>
      <c r="M533" cm="1">
        <f t="array" ref="M533">INDEX(DataAll!$AP$2:$AP$555,MATCH(LOWER(Data!A533),LOWER(DataAll!$AO$2:$AO$555),0))</f>
        <v>66.81</v>
      </c>
      <c r="N533" cm="1">
        <f t="array" ref="N533">INDEX(DataAll!$AQ$2:$AQ$555,MATCH(LOWER(Data!A533),LOWER(DataAll!$AO$2:$AO$555),0))</f>
        <v>70.78</v>
      </c>
      <c r="O533" cm="1">
        <f t="array" ref="O533">INDEX(DataAll!$AT$2:$AT$555,MATCH(LOWER(Data!A533),LOWER(DataAll!$AS$2:$AS$555),0))</f>
        <v>10.82</v>
      </c>
      <c r="P533" cm="1">
        <f t="array" ref="P533">INDEX(DataAll!$AU$2:$AU$555,MATCH(LOWER(Data!A533),LOWER(DataAll!$AS$2:$AS$555),0))</f>
        <v>9.8000000000000007</v>
      </c>
      <c r="Q533" cm="1">
        <f t="array" ref="Q533">INDEX(DataAll!$AX$2:$AX$556,MATCH(LOWER(Data!A533),LOWER(DataAll!$AW$2:$AW$556),0))</f>
        <v>50.03</v>
      </c>
      <c r="R533" cm="1">
        <f t="array" ref="R533">INDEX('Longitude and Latitude'!$B$2:$B$579,MATCH(LOWER(Data!A533),LOWER('Longitude and Latitude'!$A$2:$A$579),0))</f>
        <v>-4.0836110999999997</v>
      </c>
      <c r="S533" cm="1">
        <f t="array" ref="S533">INDEX('Longitude and Latitude'!$C$2:$C$579,MATCH(LOWER(Data!A533),LOWER('Longitude and Latitude'!$A$2:$A$579),0))</f>
        <v>137.18472220000001</v>
      </c>
      <c r="T533" t="b">
        <f>IF(EXACT(A533, UPPER(A533)), TRUE, FALSE)</f>
        <v>0</v>
      </c>
    </row>
    <row r="534" spans="1:20" x14ac:dyDescent="0.35">
      <c r="A534" t="s">
        <v>522</v>
      </c>
      <c r="B534">
        <v>69.27</v>
      </c>
      <c r="C534" cm="1">
        <f t="array" ref="C534">INDEX(DataAll!$E$2:$E$555,MATCH(LOWER(Data!A534),LOWER(DataAll!$D$2:$D$555),0))</f>
        <v>40.200000000000003</v>
      </c>
      <c r="D534" cm="1">
        <f t="array" ref="D534">INDEX(DataAll!$H$2:$H$579,MATCH(LOWER(Data!A534),LOWER(DataAll!$G$2:$G$555),0))</f>
        <v>0.67400000000000004</v>
      </c>
      <c r="E534" cm="1">
        <f t="array" ref="E534">INDEX(DataAll!$K$2:$K$579,MATCH(LOWER(Data!A534),LOWER(DataAll!$J$2:$J$555),0))</f>
        <v>4</v>
      </c>
      <c r="F534" cm="1">
        <f t="array" ref="F534">INDEX(DataAll!$N$2:$N$555,MATCH(LOWER(Data!A534),LOWER(DataAll!$M$2:$M$555),0))</f>
        <v>12.45</v>
      </c>
      <c r="G534" cm="1">
        <f t="array" ref="G534">INDEX(DataAll!$Q$2:$Q$555,MATCH(LOWER(Data!A534),LOWER(DataAll!$P$2:$P$555),0))</f>
        <v>58.96</v>
      </c>
      <c r="H534" cm="1">
        <f t="array" ref="H534">INDEX(DataAll!$T$2:$T$555,MATCH(LOWER(Data!A534),LOWER(DataAll!$S$2:$S$555),0))</f>
        <v>0.312</v>
      </c>
      <c r="I534" cm="1">
        <f t="array" ref="I534">INDEX(DataAll!$W$2:$W$555,MATCH(LOWER(Data!A534),LOWER(DataAll!$V$2:$V$555),0))</f>
        <v>48.61</v>
      </c>
      <c r="J534" cm="1">
        <f t="array" ref="J534">INDEX(DataAll!$Z$2:$Z$555,MATCH(LOWER(Data!A534),LOWER(DataAll!$Y$2:$Y$555),0))</f>
        <v>2.69</v>
      </c>
      <c r="K534" cm="1">
        <f t="array" ref="K534">INDEX(DataAll!$AM$2:$AM$555,MATCH(LOWER(Data!A534),LOWER(DataAll!$AL$2:$AL$555),0))</f>
        <v>35.39</v>
      </c>
      <c r="L534" cm="1">
        <f t="array" ref="L534">INDEX(DataAll!$AJ$2:$AJ$555,MATCH(LOWER(Data!A534),LOWER(DataAll!$AI$2:$AI$555),0))</f>
        <v>41.48</v>
      </c>
      <c r="M534" cm="1">
        <f t="array" ref="M534">INDEX(DataAll!$AP$2:$AP$555,MATCH(LOWER(Data!A534),LOWER(DataAll!$AO$2:$AO$555),0))</f>
        <v>65.3</v>
      </c>
      <c r="N534" cm="1">
        <f t="array" ref="N534">INDEX(DataAll!$AQ$2:$AQ$555,MATCH(LOWER(Data!A534),LOWER(DataAll!$AO$2:$AO$555),0))</f>
        <v>69.25</v>
      </c>
      <c r="O534" cm="1">
        <f t="array" ref="O534">INDEX(DataAll!$AT$2:$AT$555,MATCH(LOWER(Data!A534),LOWER(DataAll!$AS$2:$AS$555),0))</f>
        <v>5.08</v>
      </c>
      <c r="P534" cm="1">
        <f t="array" ref="P534">INDEX(DataAll!$AU$2:$AU$555,MATCH(LOWER(Data!A534),LOWER(DataAll!$AS$2:$AS$555),0))</f>
        <v>3.46</v>
      </c>
      <c r="Q534" cm="1">
        <f t="array" ref="Q534">INDEX(DataAll!$AX$2:$AX$556,MATCH(LOWER(Data!A534),LOWER(DataAll!$AW$2:$AW$556),0))</f>
        <v>11.1</v>
      </c>
      <c r="R534" cm="1">
        <f t="array" ref="R534">INDEX('Longitude and Latitude'!$B$2:$B$579,MATCH(LOWER(Data!A534),LOWER('Longitude and Latitude'!$A$2:$A$579),0))</f>
        <v>-4.4553222999999997</v>
      </c>
      <c r="S534" cm="1">
        <f t="array" ref="S534">INDEX('Longitude and Latitude'!$C$2:$C$579,MATCH(LOWER(Data!A534),LOWER('Longitude and Latitude'!$A$2:$A$579),0))</f>
        <v>137.1362125</v>
      </c>
      <c r="T534" t="b">
        <f>IF(EXACT(A534, UPPER(A534)), TRUE, FALSE)</f>
        <v>0</v>
      </c>
    </row>
    <row r="535" spans="1:20" x14ac:dyDescent="0.35">
      <c r="A535" t="s">
        <v>523</v>
      </c>
      <c r="B535">
        <v>67.86</v>
      </c>
      <c r="C535" cm="1">
        <f t="array" ref="C535">INDEX(DataAll!$E$2:$E$555,MATCH(LOWER(Data!A535),LOWER(DataAll!$D$2:$D$555),0))</f>
        <v>38.72</v>
      </c>
      <c r="D535" cm="1">
        <f t="array" ref="D535">INDEX(DataAll!$H$2:$H$579,MATCH(LOWER(Data!A535),LOWER(DataAll!$G$2:$G$555),0))</f>
        <v>0.52</v>
      </c>
      <c r="E535" cm="1">
        <f t="array" ref="E535">INDEX(DataAll!$K$2:$K$579,MATCH(LOWER(Data!A535),LOWER(DataAll!$J$2:$J$555),0))</f>
        <v>6.67</v>
      </c>
      <c r="F535" cm="1">
        <f t="array" ref="F535">INDEX(DataAll!$N$2:$N$555,MATCH(LOWER(Data!A535),LOWER(DataAll!$M$2:$M$555),0))</f>
        <v>6.07</v>
      </c>
      <c r="G535" cm="1">
        <f t="array" ref="G535">INDEX(DataAll!$Q$2:$Q$555,MATCH(LOWER(Data!A535),LOWER(DataAll!$P$2:$P$555),0))</f>
        <v>39.43</v>
      </c>
      <c r="H535" cm="1">
        <f t="array" ref="H535">INDEX(DataAll!$T$2:$T$555,MATCH(LOWER(Data!A535),LOWER(DataAll!$S$2:$S$555),0))</f>
        <v>0.21099999999999999</v>
      </c>
      <c r="I535" cm="1">
        <f t="array" ref="I535">INDEX(DataAll!$W$2:$W$555,MATCH(LOWER(Data!A535),LOWER(DataAll!$V$2:$V$555),0))</f>
        <v>44.45</v>
      </c>
      <c r="J535" cm="1">
        <f t="array" ref="J535">INDEX(DataAll!$Z$2:$Z$555,MATCH(LOWER(Data!A535),LOWER(DataAll!$Y$2:$Y$555),0))</f>
        <v>2.46</v>
      </c>
      <c r="K535" cm="1">
        <f t="array" ref="K535">INDEX(DataAll!$AM$2:$AM$555,MATCH(LOWER(Data!A535),LOWER(DataAll!$AL$2:$AL$555),0))</f>
        <v>35.6</v>
      </c>
      <c r="L535" cm="1">
        <f t="array" ref="L535">INDEX(DataAll!$AJ$2:$AJ$555,MATCH(LOWER(Data!A535),LOWER(DataAll!$AI$2:$AI$555),0))</f>
        <v>51.27</v>
      </c>
      <c r="M535" cm="1">
        <f t="array" ref="M535">INDEX(DataAll!$AP$2:$AP$555,MATCH(LOWER(Data!A535),LOWER(DataAll!$AO$2:$AO$555),0))</f>
        <v>64.010000000000005</v>
      </c>
      <c r="N535" cm="1">
        <f t="array" ref="N535">INDEX(DataAll!$AQ$2:$AQ$555,MATCH(LOWER(Data!A535),LOWER(DataAll!$AO$2:$AO$555),0))</f>
        <v>67.89</v>
      </c>
      <c r="O535" cm="1">
        <f t="array" ref="O535">INDEX(DataAll!$AT$2:$AT$555,MATCH(LOWER(Data!A535),LOWER(DataAll!$AS$2:$AS$555),0))</f>
        <v>5.59</v>
      </c>
      <c r="P535" cm="1">
        <f t="array" ref="P535">INDEX(DataAll!$AU$2:$AU$555,MATCH(LOWER(Data!A535),LOWER(DataAll!$AS$2:$AS$555),0))</f>
        <v>3.96</v>
      </c>
      <c r="Q535" cm="1">
        <f t="array" ref="Q535">INDEX(DataAll!$AX$2:$AX$556,MATCH(LOWER(Data!A535),LOWER(DataAll!$AW$2:$AW$556),0))</f>
        <v>20.92</v>
      </c>
      <c r="R535" cm="1">
        <f t="array" ref="R535">INDEX('Longitude and Latitude'!$B$2:$B$579,MATCH(LOWER(Data!A535),LOWER('Longitude and Latitude'!$A$2:$A$579),0))</f>
        <v>-5.7400017999999999</v>
      </c>
      <c r="S535" cm="1">
        <f t="array" ref="S535">INDEX('Longitude and Latitude'!$C$2:$C$579,MATCH(LOWER(Data!A535),LOWER('Longitude and Latitude'!$A$2:$A$579),0))</f>
        <v>140.3481835</v>
      </c>
      <c r="T535" t="b">
        <f>IF(EXACT(A535, UPPER(A535)), TRUE, FALSE)</f>
        <v>0</v>
      </c>
    </row>
    <row r="536" spans="1:20" x14ac:dyDescent="0.35">
      <c r="A536" t="s">
        <v>524</v>
      </c>
      <c r="B536">
        <v>77.790000000000006</v>
      </c>
      <c r="C536" cm="1">
        <f t="array" ref="C536">INDEX(DataAll!$E$2:$E$555,MATCH(LOWER(Data!A536),LOWER(DataAll!$D$2:$D$555),0))</f>
        <v>51.06</v>
      </c>
      <c r="D536" cm="1">
        <f t="array" ref="D536">INDEX(DataAll!$H$2:$H$579,MATCH(LOWER(Data!A536),LOWER(DataAll!$G$2:$G$555),0))</f>
        <v>0.51300000000000001</v>
      </c>
      <c r="E536" cm="1">
        <f t="array" ref="E536">INDEX(DataAll!$K$2:$K$579,MATCH(LOWER(Data!A536),LOWER(DataAll!$J$2:$J$555),0))</f>
        <v>5.88</v>
      </c>
      <c r="F536" cm="1">
        <f t="array" ref="F536">INDEX(DataAll!$N$2:$N$555,MATCH(LOWER(Data!A536),LOWER(DataAll!$M$2:$M$555),0))</f>
        <v>39.74</v>
      </c>
      <c r="G536" cm="1">
        <f t="array" ref="G536">INDEX(DataAll!$Q$2:$Q$555,MATCH(LOWER(Data!A536),LOWER(DataAll!$P$2:$P$555),0))</f>
        <v>28.76</v>
      </c>
      <c r="H536" cm="1">
        <f t="array" ref="H536">INDEX(DataAll!$T$2:$T$555,MATCH(LOWER(Data!A536),LOWER(DataAll!$S$2:$S$555),0))</f>
        <v>0.27</v>
      </c>
      <c r="I536" cm="1">
        <f t="array" ref="I536">INDEX(DataAll!$W$2:$W$555,MATCH(LOWER(Data!A536),LOWER(DataAll!$V$2:$V$555),0))</f>
        <v>23.24</v>
      </c>
      <c r="J536" cm="1">
        <f t="array" ref="J536">INDEX(DataAll!$Z$2:$Z$555,MATCH(LOWER(Data!A536),LOWER(DataAll!$Y$2:$Y$555),0))</f>
        <v>2.42</v>
      </c>
      <c r="K536" cm="1">
        <f t="array" ref="K536">INDEX(DataAll!$AM$2:$AM$555,MATCH(LOWER(Data!A536),LOWER(DataAll!$AL$2:$AL$555),0))</f>
        <v>13.55</v>
      </c>
      <c r="L536" cm="1">
        <f t="array" ref="L536">INDEX(DataAll!$AJ$2:$AJ$555,MATCH(LOWER(Data!A536),LOWER(DataAll!$AI$2:$AI$555),0))</f>
        <v>32.130000000000003</v>
      </c>
      <c r="M536" cm="1">
        <f t="array" ref="M536">INDEX(DataAll!$AP$2:$AP$555,MATCH(LOWER(Data!A536),LOWER(DataAll!$AO$2:$AO$555),0))</f>
        <v>70.86</v>
      </c>
      <c r="N536" cm="1">
        <f t="array" ref="N536">INDEX(DataAll!$AQ$2:$AQ$555,MATCH(LOWER(Data!A536),LOWER(DataAll!$AO$2:$AO$555),0))</f>
        <v>74.900000000000006</v>
      </c>
      <c r="O536" cm="1">
        <f t="array" ref="O536">INDEX(DataAll!$AT$2:$AT$555,MATCH(LOWER(Data!A536),LOWER(DataAll!$AS$2:$AS$555),0))</f>
        <v>10.63</v>
      </c>
      <c r="P536" cm="1">
        <f t="array" ref="P536">INDEX(DataAll!$AU$2:$AU$555,MATCH(LOWER(Data!A536),LOWER(DataAll!$AS$2:$AS$555),0))</f>
        <v>10.17</v>
      </c>
      <c r="Q536" cm="1">
        <f t="array" ref="Q536">INDEX(DataAll!$AX$2:$AX$556,MATCH(LOWER(Data!A536),LOWER(DataAll!$AW$2:$AW$556),0))</f>
        <v>57.44</v>
      </c>
      <c r="R536" cm="1">
        <f t="array" ref="R536">INDEX('Longitude and Latitude'!$B$2:$B$579,MATCH(LOWER(Data!A536),LOWER('Longitude and Latitude'!$A$2:$A$579),0))</f>
        <v>-7.1022319999999999</v>
      </c>
      <c r="S536" cm="1">
        <f t="array" ref="S536">INDEX('Longitude and Latitude'!$C$2:$C$579,MATCH(LOWER(Data!A536),LOWER('Longitude and Latitude'!$A$2:$A$579),0))</f>
        <v>139.39639299999999</v>
      </c>
      <c r="T536" t="b">
        <f>IF(EXACT(A536, UPPER(A536)), TRUE, FALSE)</f>
        <v>0</v>
      </c>
    </row>
    <row r="537" spans="1:20" x14ac:dyDescent="0.35">
      <c r="A537" t="s">
        <v>525</v>
      </c>
      <c r="B537">
        <v>80.459999999999994</v>
      </c>
      <c r="C537" cm="1">
        <f t="array" ref="C537">INDEX(DataAll!$E$2:$E$555,MATCH(LOWER(Data!A537),LOWER(DataAll!$D$2:$D$555),0))</f>
        <v>52.35</v>
      </c>
      <c r="D537" cm="1">
        <f t="array" ref="D537">INDEX(DataAll!$H$2:$H$579,MATCH(LOWER(Data!A537),LOWER(DataAll!$G$2:$G$555),0))</f>
        <v>0.52900000000000003</v>
      </c>
      <c r="E537" cm="1">
        <f t="array" ref="E537">INDEX(DataAll!$K$2:$K$579,MATCH(LOWER(Data!A537),LOWER(DataAll!$J$2:$J$555),0))</f>
        <v>5</v>
      </c>
      <c r="F537" cm="1">
        <f t="array" ref="F537">INDEX(DataAll!$N$2:$N$555,MATCH(LOWER(Data!A537),LOWER(DataAll!$M$2:$M$555),0))</f>
        <v>35.81</v>
      </c>
      <c r="G537" cm="1">
        <f t="array" ref="G537">INDEX(DataAll!$Q$2:$Q$555,MATCH(LOWER(Data!A537),LOWER(DataAll!$P$2:$P$555),0))</f>
        <v>39.130000000000003</v>
      </c>
      <c r="H537" cm="1">
        <f t="array" ref="H537">INDEX(DataAll!$T$2:$T$555,MATCH(LOWER(Data!A537),LOWER(DataAll!$S$2:$S$555),0))</f>
        <v>0.27600000000000002</v>
      </c>
      <c r="I537" cm="1">
        <f t="array" ref="I537">INDEX(DataAll!$W$2:$W$555,MATCH(LOWER(Data!A537),LOWER(DataAll!$V$2:$V$555),0))</f>
        <v>35.869999999999997</v>
      </c>
      <c r="J537" cm="1">
        <f t="array" ref="J537">INDEX(DataAll!$Z$2:$Z$555,MATCH(LOWER(Data!A537),LOWER(DataAll!$Y$2:$Y$555),0))</f>
        <v>3.51</v>
      </c>
      <c r="K537" cm="1">
        <f t="array" ref="K537">INDEX(DataAll!$AM$2:$AM$555,MATCH(LOWER(Data!A537),LOWER(DataAll!$AL$2:$AL$555),0))</f>
        <v>19.8</v>
      </c>
      <c r="L537" cm="1">
        <f t="array" ref="L537">INDEX(DataAll!$AJ$2:$AJ$555,MATCH(LOWER(Data!A537),LOWER(DataAll!$AI$2:$AI$555),0))</f>
        <v>46.72</v>
      </c>
      <c r="M537" cm="1">
        <f t="array" ref="M537">INDEX(DataAll!$AP$2:$AP$555,MATCH(LOWER(Data!A537),LOWER(DataAll!$AO$2:$AO$555),0))</f>
        <v>59.17</v>
      </c>
      <c r="N537" cm="1">
        <f t="array" ref="N537">INDEX(DataAll!$AQ$2:$AQ$555,MATCH(LOWER(Data!A537),LOWER(DataAll!$AO$2:$AO$555),0))</f>
        <v>62.86</v>
      </c>
      <c r="O537" cm="1">
        <f t="array" ref="O537">INDEX(DataAll!$AT$2:$AT$555,MATCH(LOWER(Data!A537),LOWER(DataAll!$AS$2:$AS$555),0))</f>
        <v>9.61</v>
      </c>
      <c r="P537" cm="1">
        <f t="array" ref="P537">INDEX(DataAll!$AU$2:$AU$555,MATCH(LOWER(Data!A537),LOWER(DataAll!$AS$2:$AS$555),0))</f>
        <v>8.68</v>
      </c>
      <c r="Q537" cm="1">
        <f t="array" ref="Q537">INDEX(DataAll!$AX$2:$AX$556,MATCH(LOWER(Data!A537),LOWER(DataAll!$AW$2:$AW$556),0))</f>
        <v>47.36</v>
      </c>
      <c r="R537" cm="1">
        <f t="array" ref="R537">INDEX('Longitude and Latitude'!$B$2:$B$579,MATCH(LOWER(Data!A537),LOWER('Longitude and Latitude'!$A$2:$A$579),0))</f>
        <v>-5.0573958000000001</v>
      </c>
      <c r="S537" cm="1">
        <f t="array" ref="S537">INDEX('Longitude and Latitude'!$C$2:$C$579,MATCH(LOWER(Data!A537),LOWER('Longitude and Latitude'!$A$2:$A$579),0))</f>
        <v>138.3988186</v>
      </c>
      <c r="T537" t="b">
        <f>IF(EXACT(A537, UPPER(A537)), TRUE, FALSE)</f>
        <v>0</v>
      </c>
    </row>
    <row r="538" spans="1:20" x14ac:dyDescent="0.35">
      <c r="A538" t="s">
        <v>526</v>
      </c>
      <c r="B538">
        <v>85.16</v>
      </c>
      <c r="C538" cm="1">
        <f t="array" ref="C538">INDEX(DataAll!$E$2:$E$555,MATCH(LOWER(Data!A538),LOWER(DataAll!$D$2:$D$555),0))</f>
        <v>56.55</v>
      </c>
      <c r="D538" cm="1">
        <f t="array" ref="D538">INDEX(DataAll!$H$2:$H$579,MATCH(LOWER(Data!A538),LOWER(DataAll!$G$2:$G$555),0))</f>
        <v>0.63800000000000001</v>
      </c>
      <c r="E538" cm="1">
        <f t="array" ref="E538">INDEX(DataAll!$K$2:$K$579,MATCH(LOWER(Data!A538),LOWER(DataAll!$J$2:$J$555),0))</f>
        <v>8</v>
      </c>
      <c r="F538" cm="1">
        <f t="array" ref="F538">INDEX(DataAll!$N$2:$N$555,MATCH(LOWER(Data!A538),LOWER(DataAll!$M$2:$M$555),0))</f>
        <v>28.92</v>
      </c>
      <c r="G538" cm="1">
        <f t="array" ref="G538">INDEX(DataAll!$Q$2:$Q$555,MATCH(LOWER(Data!A538),LOWER(DataAll!$P$2:$P$555),0))</f>
        <v>48.88</v>
      </c>
      <c r="H538" cm="1">
        <f t="array" ref="H538">INDEX(DataAll!$T$2:$T$555,MATCH(LOWER(Data!A538),LOWER(DataAll!$S$2:$S$555),0))</f>
        <v>0.374</v>
      </c>
      <c r="I538" cm="1">
        <f t="array" ref="I538">INDEX(DataAll!$W$2:$W$555,MATCH(LOWER(Data!A538),LOWER(DataAll!$V$2:$V$555),0))</f>
        <v>42.01</v>
      </c>
      <c r="J538" cm="1">
        <f t="array" ref="J538">INDEX(DataAll!$Z$2:$Z$555,MATCH(LOWER(Data!A538),LOWER(DataAll!$Y$2:$Y$555),0))</f>
        <v>3.85</v>
      </c>
      <c r="K538" cm="1">
        <f t="array" ref="K538">INDEX(DataAll!$AM$2:$AM$555,MATCH(LOWER(Data!A538),LOWER(DataAll!$AL$2:$AL$555),0))</f>
        <v>25.72</v>
      </c>
      <c r="L538" cm="1">
        <f t="array" ref="L538">INDEX(DataAll!$AJ$2:$AJ$555,MATCH(LOWER(Data!A538),LOWER(DataAll!$AI$2:$AI$555),0))</f>
        <v>61.39</v>
      </c>
      <c r="M538" cm="1">
        <f t="array" ref="M538">INDEX(DataAll!$AP$2:$AP$555,MATCH(LOWER(Data!A538),LOWER(DataAll!$AO$2:$AO$555),0))</f>
        <v>64.010000000000005</v>
      </c>
      <c r="N538" cm="1">
        <f t="array" ref="N538">INDEX(DataAll!$AQ$2:$AQ$555,MATCH(LOWER(Data!A538),LOWER(DataAll!$AO$2:$AO$555),0))</f>
        <v>67.89</v>
      </c>
      <c r="O538" cm="1">
        <f t="array" ref="O538">INDEX(DataAll!$AT$2:$AT$555,MATCH(LOWER(Data!A538),LOWER(DataAll!$AS$2:$AS$555),0))</f>
        <v>7.74</v>
      </c>
      <c r="P538" cm="1">
        <f t="array" ref="P538">INDEX(DataAll!$AU$2:$AU$555,MATCH(LOWER(Data!A538),LOWER(DataAll!$AS$2:$AS$555),0))</f>
        <v>6.15</v>
      </c>
      <c r="Q538" cm="1">
        <f t="array" ref="Q538">INDEX(DataAll!$AX$2:$AX$556,MATCH(LOWER(Data!A538),LOWER(DataAll!$AW$2:$AW$556),0))</f>
        <v>30.21</v>
      </c>
      <c r="R538" cm="1">
        <f t="array" ref="R538">INDEX('Longitude and Latitude'!$B$2:$B$579,MATCH(LOWER(Data!A538),LOWER('Longitude and Latitude'!$A$2:$A$579),0))</f>
        <v>-4.4939717000000003</v>
      </c>
      <c r="S538" cm="1">
        <f t="array" ref="S538">INDEX('Longitude and Latitude'!$C$2:$C$579,MATCH(LOWER(Data!A538),LOWER('Longitude and Latitude'!$A$2:$A$579),0))</f>
        <v>139.52799959999999</v>
      </c>
      <c r="T538" t="b">
        <f>IF(EXACT(A538, UPPER(A538)), TRUE, FALSE)</f>
        <v>0</v>
      </c>
    </row>
    <row r="539" spans="1:20" x14ac:dyDescent="0.35">
      <c r="A539" t="s">
        <v>527</v>
      </c>
      <c r="B539">
        <v>55.99</v>
      </c>
      <c r="C539" cm="1">
        <f t="array" ref="C539">INDEX(DataAll!$E$2:$E$555,MATCH(LOWER(Data!A539),LOWER(DataAll!$D$2:$D$555),0))</f>
        <v>73.680000000000007</v>
      </c>
      <c r="D539" cm="1">
        <f t="array" ref="D539">INDEX(DataAll!$H$2:$H$579,MATCH(LOWER(Data!A539),LOWER(DataAll!$G$2:$G$555),0))</f>
        <v>0.47899999999999998</v>
      </c>
      <c r="E539" cm="1">
        <f t="array" ref="E539">INDEX(DataAll!$K$2:$K$579,MATCH(LOWER(Data!A539),LOWER(DataAll!$J$2:$J$555),0))</f>
        <v>32</v>
      </c>
      <c r="F539" cm="1">
        <f t="array" ref="F539">INDEX(DataAll!$N$2:$N$555,MATCH(LOWER(Data!A539),LOWER(DataAll!$M$2:$M$555),0))</f>
        <v>25.18</v>
      </c>
      <c r="G539" cm="1">
        <f t="array" ref="G539">INDEX(DataAll!$Q$2:$Q$555,MATCH(LOWER(Data!A539),LOWER(DataAll!$P$2:$P$555),0))</f>
        <v>42.88</v>
      </c>
      <c r="H539" cm="1">
        <f t="array" ref="H539">INDEX(DataAll!$T$2:$T$555,MATCH(LOWER(Data!A539),LOWER(DataAll!$S$2:$S$555),0))</f>
        <v>0.36599999999999999</v>
      </c>
      <c r="I539" cm="1">
        <f t="array" ref="I539">INDEX(DataAll!$W$2:$W$555,MATCH(LOWER(Data!A539),LOWER(DataAll!$V$2:$V$555),0))</f>
        <v>42.41</v>
      </c>
      <c r="J539" cm="1">
        <f t="array" ref="J539">INDEX(DataAll!$Z$2:$Z$555,MATCH(LOWER(Data!A539),LOWER(DataAll!$Y$2:$Y$555),0))</f>
        <v>4.22</v>
      </c>
      <c r="K539" cm="1">
        <f t="array" ref="K539">INDEX(DataAll!$AM$2:$AM$555,MATCH(LOWER(Data!A539),LOWER(DataAll!$AL$2:$AL$555),0))</f>
        <v>24.36</v>
      </c>
      <c r="L539" cm="1">
        <f t="array" ref="L539">INDEX(DataAll!$AJ$2:$AJ$555,MATCH(LOWER(Data!A539),LOWER(DataAll!$AI$2:$AI$555),0))</f>
        <v>57.03</v>
      </c>
      <c r="M539" cm="1">
        <f t="array" ref="M539">INDEX(DataAll!$AP$2:$AP$555,MATCH(LOWER(Data!A539),LOWER(DataAll!$AO$2:$AO$555),0))</f>
        <v>57.44</v>
      </c>
      <c r="N539" cm="1">
        <f t="array" ref="N539">INDEX(DataAll!$AQ$2:$AQ$555,MATCH(LOWER(Data!A539),LOWER(DataAll!$AO$2:$AO$555),0))</f>
        <v>61.03</v>
      </c>
      <c r="O539" cm="1">
        <f t="array" ref="O539">INDEX(DataAll!$AT$2:$AT$555,MATCH(LOWER(Data!A539),LOWER(DataAll!$AS$2:$AS$555),0))</f>
        <v>6.6</v>
      </c>
      <c r="P539" cm="1">
        <f t="array" ref="P539">INDEX(DataAll!$AU$2:$AU$555,MATCH(LOWER(Data!A539),LOWER(DataAll!$AS$2:$AS$555),0))</f>
        <v>4.83</v>
      </c>
      <c r="Q539" cm="1">
        <f t="array" ref="Q539">INDEX(DataAll!$AX$2:$AX$556,MATCH(LOWER(Data!A539),LOWER(DataAll!$AW$2:$AW$556),0))</f>
        <v>29.22</v>
      </c>
      <c r="R539" cm="1">
        <f t="array" ref="R539">INDEX('Longitude and Latitude'!$B$2:$B$579,MATCH(LOWER(Data!A539),LOWER('Longitude and Latitude'!$A$2:$A$579),0))</f>
        <v>-4.5589871999999998</v>
      </c>
      <c r="S539" cm="1">
        <f t="array" ref="S539">INDEX('Longitude and Latitude'!$C$2:$C$579,MATCH(LOWER(Data!A539),LOWER('Longitude and Latitude'!$A$2:$A$579),0))</f>
        <v>140.51355889999999</v>
      </c>
      <c r="T539" t="b">
        <f>IF(EXACT(A539, UPPER(A539)), TRUE, FALSE)</f>
        <v>0</v>
      </c>
    </row>
    <row r="540" spans="1:20" x14ac:dyDescent="0.35">
      <c r="A540" t="s">
        <v>528</v>
      </c>
      <c r="B540">
        <v>75.56</v>
      </c>
      <c r="C540" cm="1">
        <f t="array" ref="C540">INDEX(DataAll!$E$2:$E$555,MATCH(LOWER(Data!A540),LOWER(DataAll!$D$2:$D$555),0))</f>
        <v>53.31</v>
      </c>
      <c r="D540" cm="1">
        <f t="array" ref="D540">INDEX(DataAll!$H$2:$H$579,MATCH(LOWER(Data!A540),LOWER(DataAll!$G$2:$G$555),0))</f>
        <v>0.66500000000000004</v>
      </c>
      <c r="E540" cm="1">
        <f t="array" ref="E540">INDEX(DataAll!$K$2:$K$579,MATCH(LOWER(Data!A540),LOWER(DataAll!$J$2:$J$555),0))</f>
        <v>3.03</v>
      </c>
      <c r="F540" cm="1">
        <f t="array" ref="F540">INDEX(DataAll!$N$2:$N$555,MATCH(LOWER(Data!A540),LOWER(DataAll!$M$2:$M$555),0))</f>
        <v>29.83</v>
      </c>
      <c r="G540" cm="1">
        <f t="array" ref="G540">INDEX(DataAll!$Q$2:$Q$555,MATCH(LOWER(Data!A540),LOWER(DataAll!$P$2:$P$555),0))</f>
        <v>56.8</v>
      </c>
      <c r="H540" cm="1">
        <f t="array" ref="H540">INDEX(DataAll!$T$2:$T$555,MATCH(LOWER(Data!A540),LOWER(DataAll!$S$2:$S$555),0))</f>
        <v>0.47899999999999998</v>
      </c>
      <c r="I540" cm="1">
        <f t="array" ref="I540">INDEX(DataAll!$W$2:$W$555,MATCH(LOWER(Data!A540),LOWER(DataAll!$V$2:$V$555),0))</f>
        <v>43.14</v>
      </c>
      <c r="J540" cm="1">
        <f t="array" ref="J540">INDEX(DataAll!$Z$2:$Z$555,MATCH(LOWER(Data!A540),LOWER(DataAll!$Y$2:$Y$555),0))</f>
        <v>2.57</v>
      </c>
      <c r="K540" cm="1">
        <f t="array" ref="K540">INDEX(DataAll!$AM$2:$AM$555,MATCH(LOWER(Data!A540),LOWER(DataAll!$AL$2:$AL$555),0))</f>
        <v>36.08</v>
      </c>
      <c r="L540" cm="1">
        <f t="array" ref="L540">INDEX(DataAll!$AJ$2:$AJ$555,MATCH(LOWER(Data!A540),LOWER(DataAll!$AI$2:$AI$555),0))</f>
        <v>60.55</v>
      </c>
      <c r="M540" cm="1">
        <f t="array" ref="M540">INDEX(DataAll!$AP$2:$AP$555,MATCH(LOWER(Data!A540),LOWER(DataAll!$AO$2:$AO$555),0))</f>
        <v>64.510000000000005</v>
      </c>
      <c r="N540" cm="1">
        <f t="array" ref="N540">INDEX(DataAll!$AQ$2:$AQ$555,MATCH(LOWER(Data!A540),LOWER(DataAll!$AO$2:$AO$555),0))</f>
        <v>68.42</v>
      </c>
      <c r="O540" cm="1">
        <f t="array" ref="O540">INDEX(DataAll!$AT$2:$AT$555,MATCH(LOWER(Data!A540),LOWER(DataAll!$AS$2:$AS$555),0))</f>
        <v>5.84</v>
      </c>
      <c r="P540" cm="1">
        <f t="array" ref="P540">INDEX(DataAll!$AU$2:$AU$555,MATCH(LOWER(Data!A540),LOWER(DataAll!$AS$2:$AS$555),0))</f>
        <v>3.2</v>
      </c>
      <c r="Q540" cm="1">
        <f t="array" ref="Q540">INDEX(DataAll!$AX$2:$AX$556,MATCH(LOWER(Data!A540),LOWER(DataAll!$AW$2:$AW$556),0))</f>
        <v>8.4499999999999993</v>
      </c>
      <c r="R540" cm="1">
        <f t="array" ref="R540">INDEX('Longitude and Latitude'!$B$2:$B$579,MATCH(LOWER(Data!A540),LOWER('Longitude and Latitude'!$A$2:$A$579),0))</f>
        <v>-3.4811320000000001</v>
      </c>
      <c r="S540" cm="1">
        <f t="array" ref="S540">INDEX('Longitude and Latitude'!$C$2:$C$579,MATCH(LOWER(Data!A540),LOWER('Longitude and Latitude'!$A$2:$A$579),0))</f>
        <v>138.47872580000001</v>
      </c>
      <c r="T540" t="b">
        <f>IF(EXACT(A540, UPPER(A540)), TRUE, FALSE)</f>
        <v>0</v>
      </c>
    </row>
    <row r="541" spans="1:20" x14ac:dyDescent="0.35">
      <c r="A541" t="s">
        <v>529</v>
      </c>
      <c r="B541">
        <v>81.94</v>
      </c>
      <c r="C541" cm="1">
        <f t="array" ref="C541">INDEX(DataAll!$E$2:$E$555,MATCH(LOWER(Data!A541),LOWER(DataAll!$D$2:$D$555),0))</f>
        <v>49.53</v>
      </c>
      <c r="D541" cm="1">
        <f t="array" ref="D541">INDEX(DataAll!$H$2:$H$579,MATCH(LOWER(Data!A541),LOWER(DataAll!$G$2:$G$555),0))</f>
        <v>0.67600000000000005</v>
      </c>
      <c r="E541" cm="1">
        <f t="array" ref="E541">INDEX(DataAll!$K$2:$K$579,MATCH(LOWER(Data!A541),LOWER(DataAll!$J$2:$J$555),0))</f>
        <v>4</v>
      </c>
      <c r="F541" cm="1">
        <f t="array" ref="F541">INDEX(DataAll!$N$2:$N$555,MATCH(LOWER(Data!A541),LOWER(DataAll!$M$2:$M$555),0))</f>
        <v>24.48</v>
      </c>
      <c r="G541" cm="1">
        <f t="array" ref="G541">INDEX(DataAll!$Q$2:$Q$555,MATCH(LOWER(Data!A541),LOWER(DataAll!$P$2:$P$555),0))</f>
        <v>25.43</v>
      </c>
      <c r="H541" cm="1">
        <f t="array" ref="H541">INDEX(DataAll!$T$2:$T$555,MATCH(LOWER(Data!A541),LOWER(DataAll!$S$2:$S$555),0))</f>
        <v>0.41099999999999998</v>
      </c>
      <c r="I541" cm="1">
        <f t="array" ref="I541">INDEX(DataAll!$W$2:$W$555,MATCH(LOWER(Data!A541),LOWER(DataAll!$V$2:$V$555),0))</f>
        <v>45.2</v>
      </c>
      <c r="J541" cm="1">
        <f t="array" ref="J541">INDEX(DataAll!$Z$2:$Z$555,MATCH(LOWER(Data!A541),LOWER(DataAll!$Y$2:$Y$555),0))</f>
        <v>3.1</v>
      </c>
      <c r="K541" cm="1">
        <f t="array" ref="K541">INDEX(DataAll!$AM$2:$AM$555,MATCH(LOWER(Data!A541),LOWER(DataAll!$AL$2:$AL$555),0))</f>
        <v>29.79</v>
      </c>
      <c r="L541" cm="1">
        <f t="array" ref="L541">INDEX(DataAll!$AJ$2:$AJ$555,MATCH(LOWER(Data!A541),LOWER(DataAll!$AI$2:$AI$555),0))</f>
        <v>61.39</v>
      </c>
      <c r="M541" cm="1">
        <f t="array" ref="M541">INDEX(DataAll!$AP$2:$AP$555,MATCH(LOWER(Data!A541),LOWER(DataAll!$AO$2:$AO$555),0))</f>
        <v>63.11</v>
      </c>
      <c r="N541" cm="1">
        <f t="array" ref="N541">INDEX(DataAll!$AQ$2:$AQ$555,MATCH(LOWER(Data!A541),LOWER(DataAll!$AO$2:$AO$555),0))</f>
        <v>66.959999999999994</v>
      </c>
      <c r="O541" cm="1">
        <f t="array" ref="O541">INDEX(DataAll!$AT$2:$AT$555,MATCH(LOWER(Data!A541),LOWER(DataAll!$AS$2:$AS$555),0))</f>
        <v>5.21</v>
      </c>
      <c r="P541" cm="1">
        <f t="array" ref="P541">INDEX(DataAll!$AU$2:$AU$555,MATCH(LOWER(Data!A541),LOWER(DataAll!$AS$2:$AS$555),0))</f>
        <v>2.71</v>
      </c>
      <c r="Q541" cm="1">
        <f t="array" ref="Q541">INDEX(DataAll!$AX$2:$AX$556,MATCH(LOWER(Data!A541),LOWER(DataAll!$AW$2:$AW$556),0))</f>
        <v>10.050000000000001</v>
      </c>
      <c r="R541" cm="1">
        <f t="array" ref="R541">INDEX('Longitude and Latitude'!$B$2:$B$579,MATCH(LOWER(Data!A541),LOWER('Longitude and Latitude'!$A$2:$A$579),0))</f>
        <v>-1.868727</v>
      </c>
      <c r="S541" cm="1">
        <f t="array" ref="S541">INDEX('Longitude and Latitude'!$C$2:$C$579,MATCH(LOWER(Data!A541),LOWER('Longitude and Latitude'!$A$2:$A$579),0))</f>
        <v>138.743607</v>
      </c>
      <c r="T541" t="b">
        <f>IF(EXACT(A541, UPPER(A541)), TRUE, FALSE)</f>
        <v>0</v>
      </c>
    </row>
    <row r="542" spans="1:20" x14ac:dyDescent="0.35">
      <c r="A542" t="s">
        <v>530</v>
      </c>
      <c r="B542">
        <v>62.43</v>
      </c>
      <c r="C542" cm="1">
        <f t="array" ref="C542">INDEX(DataAll!$E$2:$E$555,MATCH(LOWER(Data!A542),LOWER(DataAll!$D$2:$D$555),0))</f>
        <v>41.47</v>
      </c>
      <c r="D542" cm="1">
        <f t="array" ref="D542">INDEX(DataAll!$H$2:$H$579,MATCH(LOWER(Data!A542),LOWER(DataAll!$G$2:$G$555),0))</f>
        <v>0.58599999999999997</v>
      </c>
      <c r="E542" cm="1">
        <f t="array" ref="E542">INDEX(DataAll!$K$2:$K$579,MATCH(LOWER(Data!A542),LOWER(DataAll!$J$2:$J$555),0))</f>
        <v>6.67</v>
      </c>
      <c r="F542" cm="1">
        <f t="array" ref="F542">INDEX(DataAll!$N$2:$N$555,MATCH(LOWER(Data!A542),LOWER(DataAll!$M$2:$M$555),0))</f>
        <v>7.29</v>
      </c>
      <c r="G542" cm="1">
        <f t="array" ref="G542">INDEX(DataAll!$Q$2:$Q$555,MATCH(LOWER(Data!A542),LOWER(DataAll!$P$2:$P$555),0))</f>
        <v>51.68</v>
      </c>
      <c r="H542" cm="1">
        <f t="array" ref="H542">INDEX(DataAll!$T$2:$T$555,MATCH(LOWER(Data!A542),LOWER(DataAll!$S$2:$S$555),0))</f>
        <v>0.217</v>
      </c>
      <c r="I542" cm="1">
        <f t="array" ref="I542">INDEX(DataAll!$W$2:$W$555,MATCH(LOWER(Data!A542),LOWER(DataAll!$V$2:$V$555),0))</f>
        <v>43.72</v>
      </c>
      <c r="J542" cm="1">
        <f t="array" ref="J542">INDEX(DataAll!$Z$2:$Z$555,MATCH(LOWER(Data!A542),LOWER(DataAll!$Y$2:$Y$555),0))</f>
        <v>2.79</v>
      </c>
      <c r="K542" cm="1">
        <f t="array" ref="K542">INDEX(DataAll!$AM$2:$AM$555,MATCH(LOWER(Data!A542),LOWER(DataAll!$AL$2:$AL$555),0))</f>
        <v>31.57</v>
      </c>
      <c r="L542" cm="1">
        <f t="array" ref="L542">INDEX(DataAll!$AJ$2:$AJ$555,MATCH(LOWER(Data!A542),LOWER(DataAll!$AI$2:$AI$555),0))</f>
        <v>55.27</v>
      </c>
      <c r="M542" cm="1">
        <f t="array" ref="M542">INDEX(DataAll!$AP$2:$AP$555,MATCH(LOWER(Data!A542),LOWER(DataAll!$AO$2:$AO$555),0))</f>
        <v>64.42</v>
      </c>
      <c r="N542" cm="1">
        <f t="array" ref="N542">INDEX(DataAll!$AQ$2:$AQ$555,MATCH(LOWER(Data!A542),LOWER(DataAll!$AO$2:$AO$555),0))</f>
        <v>68.33</v>
      </c>
      <c r="O542" cm="1">
        <f t="array" ref="O542">INDEX(DataAll!$AT$2:$AT$555,MATCH(LOWER(Data!A542),LOWER(DataAll!$AS$2:$AS$555),0))</f>
        <v>4.8499999999999996</v>
      </c>
      <c r="P542" cm="1">
        <f t="array" ref="P542">INDEX(DataAll!$AU$2:$AU$555,MATCH(LOWER(Data!A542),LOWER(DataAll!$AS$2:$AS$555),0))</f>
        <v>2.34</v>
      </c>
      <c r="Q542" cm="1">
        <f t="array" ref="Q542">INDEX(DataAll!$AX$2:$AX$556,MATCH(LOWER(Data!A542),LOWER(DataAll!$AW$2:$AW$556),0))</f>
        <v>6.24</v>
      </c>
      <c r="R542" cm="1">
        <f t="array" ref="R542">INDEX('Longitude and Latitude'!$B$2:$B$579,MATCH(LOWER(Data!A542),LOWER('Longitude and Latitude'!$A$2:$A$579),0))</f>
        <v>-3.3449536000000002</v>
      </c>
      <c r="S542" cm="1">
        <f t="array" ref="S542">INDEX('Longitude and Latitude'!$C$2:$C$579,MATCH(LOWER(Data!A542),LOWER('Longitude and Latitude'!$A$2:$A$579),0))</f>
        <v>140.76244929999999</v>
      </c>
      <c r="T542" t="b">
        <f>IF(EXACT(A542, UPPER(A542)), TRUE, FALSE)</f>
        <v>0</v>
      </c>
    </row>
    <row r="543" spans="1:20" x14ac:dyDescent="0.35">
      <c r="A543" t="s">
        <v>531</v>
      </c>
      <c r="B543">
        <v>83.72</v>
      </c>
      <c r="C543" cm="1">
        <f t="array" ref="C543">INDEX(DataAll!$E$2:$E$555,MATCH(LOWER(Data!A543),LOWER(DataAll!$D$2:$D$555),0))</f>
        <v>70.349999999999994</v>
      </c>
      <c r="D543" cm="1">
        <f t="array" ref="D543">INDEX(DataAll!$H$2:$H$579,MATCH(LOWER(Data!A543),LOWER(DataAll!$G$2:$G$555),0))</f>
        <v>0.439</v>
      </c>
      <c r="E543" cm="1">
        <f t="array" ref="E543">INDEX(DataAll!$K$2:$K$579,MATCH(LOWER(Data!A543),LOWER(DataAll!$J$2:$J$555),0))</f>
        <v>20</v>
      </c>
      <c r="F543" cm="1">
        <f t="array" ref="F543">INDEX(DataAll!$N$2:$N$555,MATCH(LOWER(Data!A543),LOWER(DataAll!$M$2:$M$555),0))</f>
        <v>29.88</v>
      </c>
      <c r="G543" cm="1">
        <f t="array" ref="G543">INDEX(DataAll!$Q$2:$Q$555,MATCH(LOWER(Data!A543),LOWER(DataAll!$P$2:$P$555),0))</f>
        <v>43.89</v>
      </c>
      <c r="H543" cm="1">
        <f t="array" ref="H543">INDEX(DataAll!$T$2:$T$555,MATCH(LOWER(Data!A543),LOWER(DataAll!$S$2:$S$555),0))</f>
        <v>0.24099999999999999</v>
      </c>
      <c r="I543" cm="1">
        <f t="array" ref="I543">INDEX(DataAll!$W$2:$W$555,MATCH(LOWER(Data!A543),LOWER(DataAll!$V$2:$V$555),0))</f>
        <v>35.61</v>
      </c>
      <c r="J543" cm="1">
        <f t="array" ref="J543">INDEX(DataAll!$Z$2:$Z$555,MATCH(LOWER(Data!A543),LOWER(DataAll!$Y$2:$Y$555),0))</f>
        <v>2.56</v>
      </c>
      <c r="K543" cm="1">
        <f t="array" ref="K543">INDEX(DataAll!$AM$2:$AM$555,MATCH(LOWER(Data!A543),LOWER(DataAll!$AL$2:$AL$555),0))</f>
        <v>13.21</v>
      </c>
      <c r="L543" cm="1">
        <f t="array" ref="L543">INDEX(DataAll!$AJ$2:$AJ$555,MATCH(LOWER(Data!A543),LOWER(DataAll!$AI$2:$AI$555),0))</f>
        <v>39.72</v>
      </c>
      <c r="M543" cm="1">
        <f t="array" ref="M543">INDEX(DataAll!$AP$2:$AP$555,MATCH(LOWER(Data!A543),LOWER(DataAll!$AO$2:$AO$555),0))</f>
        <v>65.14</v>
      </c>
      <c r="N543" cm="1">
        <f t="array" ref="N543">INDEX(DataAll!$AQ$2:$AQ$555,MATCH(LOWER(Data!A543),LOWER(DataAll!$AO$2:$AO$555),0))</f>
        <v>69.09</v>
      </c>
      <c r="O543" cm="1">
        <f t="array" ref="O543">INDEX(DataAll!$AT$2:$AT$555,MATCH(LOWER(Data!A543),LOWER(DataAll!$AS$2:$AS$555),0))</f>
        <v>9.99</v>
      </c>
      <c r="P543" cm="1">
        <f t="array" ref="P543">INDEX(DataAll!$AU$2:$AU$555,MATCH(LOWER(Data!A543),LOWER(DataAll!$AS$2:$AS$555),0))</f>
        <v>8.7100000000000009</v>
      </c>
      <c r="Q543" cm="1">
        <f t="array" ref="Q543">INDEX(DataAll!$AX$2:$AX$556,MATCH(LOWER(Data!A543),LOWER(DataAll!$AW$2:$AW$556),0))</f>
        <v>48.9</v>
      </c>
      <c r="R543" cm="1">
        <f t="array" ref="R543">INDEX('Longitude and Latitude'!$B$2:$B$579,MATCH(LOWER(Data!A543),LOWER('Longitude and Latitude'!$A$2:$A$579),0))</f>
        <v>-2.8435717</v>
      </c>
      <c r="S543" cm="1">
        <f t="array" ref="S543">INDEX('Longitude and Latitude'!$C$2:$C$579,MATCH(LOWER(Data!A543),LOWER('Longitude and Latitude'!$A$2:$A$579),0))</f>
        <v>136.670534</v>
      </c>
      <c r="T543" t="b">
        <f>IF(EXACT(A543, UPPER(A543)), TRUE, FALSE)</f>
        <v>0</v>
      </c>
    </row>
    <row r="544" spans="1:20" x14ac:dyDescent="0.35">
      <c r="A544" t="s">
        <v>532</v>
      </c>
      <c r="B544">
        <v>87.92</v>
      </c>
      <c r="C544" cm="1">
        <f t="array" ref="C544">INDEX(DataAll!$E$2:$E$555,MATCH(LOWER(Data!A544),LOWER(DataAll!$D$2:$D$555),0))</f>
        <v>63.87</v>
      </c>
      <c r="D544" cm="1">
        <f t="array" ref="D544">INDEX(DataAll!$H$2:$H$579,MATCH(LOWER(Data!A544),LOWER(DataAll!$G$2:$G$555),0))</f>
        <v>0.53400000000000003</v>
      </c>
      <c r="E544" cm="1">
        <f t="array" ref="E544">INDEX(DataAll!$K$2:$K$579,MATCH(LOWER(Data!A544),LOWER(DataAll!$J$2:$J$555),0))</f>
        <v>10</v>
      </c>
      <c r="F544" cm="1">
        <f t="array" ref="F544">INDEX(DataAll!$N$2:$N$555,MATCH(LOWER(Data!A544),LOWER(DataAll!$M$2:$M$555),0))</f>
        <v>41.09</v>
      </c>
      <c r="G544" cm="1">
        <f t="array" ref="G544">INDEX(DataAll!$Q$2:$Q$555,MATCH(LOWER(Data!A544),LOWER(DataAll!$P$2:$P$555),0))</f>
        <v>47.9</v>
      </c>
      <c r="H544" cm="1">
        <f t="array" ref="H544">INDEX(DataAll!$T$2:$T$555,MATCH(LOWER(Data!A544),LOWER(DataAll!$S$2:$S$555),0))</f>
        <v>0.36399999999999999</v>
      </c>
      <c r="I544" cm="1">
        <f t="array" ref="I544">INDEX(DataAll!$W$2:$W$555,MATCH(LOWER(Data!A544),LOWER(DataAll!$V$2:$V$555),0))</f>
        <v>35.47</v>
      </c>
      <c r="J544" cm="1">
        <f t="array" ref="J544">INDEX(DataAll!$Z$2:$Z$555,MATCH(LOWER(Data!A544),LOWER(DataAll!$Y$2:$Y$555),0))</f>
        <v>2.66</v>
      </c>
      <c r="K544" cm="1">
        <f t="array" ref="K544">INDEX(DataAll!$AM$2:$AM$555,MATCH(LOWER(Data!A544),LOWER(DataAll!$AL$2:$AL$555),0))</f>
        <v>15.68</v>
      </c>
      <c r="L544" cm="1">
        <f t="array" ref="L544">INDEX(DataAll!$AJ$2:$AJ$555,MATCH(LOWER(Data!A544),LOWER(DataAll!$AI$2:$AI$555),0))</f>
        <v>39.72</v>
      </c>
      <c r="M544" cm="1">
        <f t="array" ref="M544">INDEX(DataAll!$AP$2:$AP$555,MATCH(LOWER(Data!A544),LOWER(DataAll!$AO$2:$AO$555),0))</f>
        <v>65.31</v>
      </c>
      <c r="N544" cm="1">
        <f t="array" ref="N544">INDEX(DataAll!$AQ$2:$AQ$555,MATCH(LOWER(Data!A544),LOWER(DataAll!$AO$2:$AO$555),0))</f>
        <v>69.260000000000005</v>
      </c>
      <c r="O544" cm="1">
        <f t="array" ref="O544">INDEX(DataAll!$AT$2:$AT$555,MATCH(LOWER(Data!A544),LOWER(DataAll!$AS$2:$AS$555),0))</f>
        <v>9.06</v>
      </c>
      <c r="P544" cm="1">
        <f t="array" ref="P544">INDEX(DataAll!$AU$2:$AU$555,MATCH(LOWER(Data!A544),LOWER(DataAll!$AS$2:$AS$555),0))</f>
        <v>7.93</v>
      </c>
      <c r="Q544" cm="1">
        <f t="array" ref="Q544">INDEX(DataAll!$AX$2:$AX$556,MATCH(LOWER(Data!A544),LOWER(DataAll!$AW$2:$AW$556),0))</f>
        <v>35.65</v>
      </c>
      <c r="R544" cm="1">
        <f t="array" ref="R544">INDEX('Longitude and Latitude'!$B$2:$B$579,MATCH(LOWER(Data!A544),LOWER('Longitude and Latitude'!$A$2:$A$579),0))</f>
        <v>-0.72950990000000004</v>
      </c>
      <c r="S544" cm="1">
        <f t="array" ref="S544">INDEX('Longitude and Latitude'!$C$2:$C$579,MATCH(LOWER(Data!A544),LOWER('Longitude and Latitude'!$A$2:$A$579),0))</f>
        <v>135.63851249999999</v>
      </c>
      <c r="T544" t="b">
        <f>IF(EXACT(A544, UPPER(A544)), TRUE, FALSE)</f>
        <v>0</v>
      </c>
    </row>
    <row r="545" spans="1:20" x14ac:dyDescent="0.35">
      <c r="A545" t="s">
        <v>533</v>
      </c>
      <c r="B545">
        <v>71.52</v>
      </c>
      <c r="C545" cm="1">
        <f t="array" ref="C545">INDEX(DataAll!$E$2:$E$555,MATCH(LOWER(Data!A545),LOWER(DataAll!$D$2:$D$555),0))</f>
        <v>55.92</v>
      </c>
      <c r="D545" cm="1">
        <f t="array" ref="D545">INDEX(DataAll!$H$2:$H$579,MATCH(LOWER(Data!A545),LOWER(DataAll!$G$2:$G$555),0))</f>
        <v>0.63400000000000001</v>
      </c>
      <c r="E545" cm="1">
        <f t="array" ref="E545">INDEX(DataAll!$K$2:$K$579,MATCH(LOWER(Data!A545),LOWER(DataAll!$J$2:$J$555),0))</f>
        <v>5</v>
      </c>
      <c r="F545" cm="1">
        <f t="array" ref="F545">INDEX(DataAll!$N$2:$N$555,MATCH(LOWER(Data!A545),LOWER(DataAll!$M$2:$M$555),0))</f>
        <v>38.31</v>
      </c>
      <c r="G545" cm="1">
        <f t="array" ref="G545">INDEX(DataAll!$Q$2:$Q$555,MATCH(LOWER(Data!A545),LOWER(DataAll!$P$2:$P$555),0))</f>
        <v>35.93</v>
      </c>
      <c r="H545" cm="1">
        <f t="array" ref="H545">INDEX(DataAll!$T$2:$T$555,MATCH(LOWER(Data!A545),LOWER(DataAll!$S$2:$S$555),0))</f>
        <v>0.32100000000000001</v>
      </c>
      <c r="I545" cm="1">
        <f t="array" ref="I545">INDEX(DataAll!$W$2:$W$555,MATCH(LOWER(Data!A545),LOWER(DataAll!$V$2:$V$555),0))</f>
        <v>35.75</v>
      </c>
      <c r="J545" cm="1">
        <f t="array" ref="J545">INDEX(DataAll!$Z$2:$Z$555,MATCH(LOWER(Data!A545),LOWER(DataAll!$Y$2:$Y$555),0))</f>
        <v>3.31</v>
      </c>
      <c r="K545" cm="1">
        <f t="array" ref="K545">INDEX(DataAll!$AM$2:$AM$555,MATCH(LOWER(Data!A545),LOWER(DataAll!$AL$2:$AL$555),0))</f>
        <v>29.16</v>
      </c>
      <c r="L545" cm="1">
        <f t="array" ref="L545">INDEX(DataAll!$AJ$2:$AJ$555,MATCH(LOWER(Data!A545),LOWER(DataAll!$AI$2:$AI$555),0))</f>
        <v>42.69</v>
      </c>
      <c r="M545" cm="1">
        <f t="array" ref="M545">INDEX(DataAll!$AP$2:$AP$555,MATCH(LOWER(Data!A545),LOWER(DataAll!$AO$2:$AO$555),0))</f>
        <v>65</v>
      </c>
      <c r="N545" cm="1">
        <f t="array" ref="N545">INDEX(DataAll!$AQ$2:$AQ$555,MATCH(LOWER(Data!A545),LOWER(DataAll!$AO$2:$AO$555),0))</f>
        <v>68.94</v>
      </c>
      <c r="O545" cm="1">
        <f t="array" ref="O545">INDEX(DataAll!$AT$2:$AT$555,MATCH(LOWER(Data!A545),LOWER(DataAll!$AS$2:$AS$555),0))</f>
        <v>9.92</v>
      </c>
      <c r="P545" cm="1">
        <f t="array" ref="P545">INDEX(DataAll!$AU$2:$AU$555,MATCH(LOWER(Data!A545),LOWER(DataAll!$AS$2:$AS$555),0))</f>
        <v>8.7200000000000006</v>
      </c>
      <c r="Q545" cm="1">
        <f t="array" ref="Q545">INDEX(DataAll!$AX$2:$AX$556,MATCH(LOWER(Data!A545),LOWER(DataAll!$AW$2:$AW$556),0))</f>
        <v>38.020000000000003</v>
      </c>
      <c r="R545" cm="1">
        <f t="array" ref="R545">INDEX('Longitude and Latitude'!$B$2:$B$579,MATCH(LOWER(Data!A545),LOWER('Longitude and Latitude'!$A$2:$A$579),0))</f>
        <v>-2.5331255000000001</v>
      </c>
      <c r="S545" cm="1">
        <f t="array" ref="S545">INDEX('Longitude and Latitude'!$C$2:$C$579,MATCH(LOWER(Data!A545),LOWER('Longitude and Latitude'!$A$2:$A$579),0))</f>
        <v>137.7637565</v>
      </c>
      <c r="T545" t="b">
        <f>IF(EXACT(A545, UPPER(A545)), TRUE, FALSE)</f>
        <v>0</v>
      </c>
    </row>
    <row r="546" spans="1:20" x14ac:dyDescent="0.35">
      <c r="A546" t="s">
        <v>534</v>
      </c>
      <c r="B546">
        <v>78.27</v>
      </c>
      <c r="C546" cm="1">
        <f t="array" ref="C546">INDEX(DataAll!$E$2:$E$555,MATCH(LOWER(Data!A546),LOWER(DataAll!$D$2:$D$555),0))</f>
        <v>64.180000000000007</v>
      </c>
      <c r="D546" cm="1">
        <f t="array" ref="D546">INDEX(DataAll!$H$2:$H$579,MATCH(LOWER(Data!A546),LOWER(DataAll!$G$2:$G$555),0))</f>
        <v>0.53</v>
      </c>
      <c r="E546" cm="1">
        <f t="array" ref="E546">INDEX(DataAll!$K$2:$K$579,MATCH(LOWER(Data!A546),LOWER(DataAll!$J$2:$J$555),0))</f>
        <v>15</v>
      </c>
      <c r="F546" cm="1">
        <f t="array" ref="F546">INDEX(DataAll!$N$2:$N$555,MATCH(LOWER(Data!A546),LOWER(DataAll!$M$2:$M$555),0))</f>
        <v>37.51</v>
      </c>
      <c r="G546" cm="1">
        <f t="array" ref="G546">INDEX(DataAll!$Q$2:$Q$555,MATCH(LOWER(Data!A546),LOWER(DataAll!$P$2:$P$555),0))</f>
        <v>27.98</v>
      </c>
      <c r="H546" cm="1">
        <f t="array" ref="H546">INDEX(DataAll!$T$2:$T$555,MATCH(LOWER(Data!A546),LOWER(DataAll!$S$2:$S$555),0))</f>
        <v>0.28699999999999998</v>
      </c>
      <c r="I546" cm="1">
        <f t="array" ref="I546">INDEX(DataAll!$W$2:$W$555,MATCH(LOWER(Data!A546),LOWER(DataAll!$V$2:$V$555),0))</f>
        <v>32.03</v>
      </c>
      <c r="J546" cm="1">
        <f t="array" ref="J546">INDEX(DataAll!$Z$2:$Z$555,MATCH(LOWER(Data!A546),LOWER(DataAll!$Y$2:$Y$555),0))</f>
        <v>4.1100000000000003</v>
      </c>
      <c r="K546" cm="1">
        <f t="array" ref="K546">INDEX(DataAll!$AM$2:$AM$555,MATCH(LOWER(Data!A546),LOWER(DataAll!$AL$2:$AL$555),0))</f>
        <v>36.99</v>
      </c>
      <c r="L546" cm="1">
        <f t="array" ref="L546">INDEX(DataAll!$AJ$2:$AJ$555,MATCH(LOWER(Data!A546),LOWER(DataAll!$AI$2:$AI$555),0))</f>
        <v>41.48</v>
      </c>
      <c r="M546" cm="1">
        <f t="array" ref="M546">INDEX(DataAll!$AP$2:$AP$555,MATCH(LOWER(Data!A546),LOWER(DataAll!$AO$2:$AO$555),0))</f>
        <v>64.75</v>
      </c>
      <c r="N546" cm="1">
        <f t="array" ref="N546">INDEX(DataAll!$AQ$2:$AQ$555,MATCH(LOWER(Data!A546),LOWER(DataAll!$AO$2:$AO$555),0))</f>
        <v>68.67</v>
      </c>
      <c r="O546" cm="1">
        <f t="array" ref="O546">INDEX(DataAll!$AT$2:$AT$555,MATCH(LOWER(Data!A546),LOWER(DataAll!$AS$2:$AS$555),0))</f>
        <v>9.69</v>
      </c>
      <c r="P546" cm="1">
        <f t="array" ref="P546">INDEX(DataAll!$AU$2:$AU$555,MATCH(LOWER(Data!A546),LOWER(DataAll!$AS$2:$AS$555),0))</f>
        <v>8.35</v>
      </c>
      <c r="Q546" cm="1">
        <f t="array" ref="Q546">INDEX(DataAll!$AX$2:$AX$556,MATCH(LOWER(Data!A546),LOWER(DataAll!$AW$2:$AW$556),0))</f>
        <v>42.03</v>
      </c>
      <c r="R546" cm="1">
        <f t="array" ref="R546">INDEX('Longitude and Latitude'!$B$2:$B$579,MATCH(LOWER(Data!A546),LOWER('Longitude and Latitude'!$A$2:$A$579),0))</f>
        <v>-4.4069495999999999</v>
      </c>
      <c r="S546" cm="1">
        <f t="array" ref="S546">INDEX('Longitude and Latitude'!$C$2:$C$579,MATCH(LOWER(Data!A546),LOWER('Longitude and Latitude'!$A$2:$A$579),0))</f>
        <v>138.23935280000001</v>
      </c>
      <c r="T546" t="b">
        <f>IF(EXACT(A546, UPPER(A546)), TRUE, FALSE)</f>
        <v>0</v>
      </c>
    </row>
    <row r="547" spans="1:20" x14ac:dyDescent="0.35">
      <c r="A547" t="s">
        <v>535</v>
      </c>
      <c r="B547">
        <v>83.31</v>
      </c>
      <c r="C547" cm="1">
        <f t="array" ref="C547">INDEX(DataAll!$E$2:$E$555,MATCH(LOWER(Data!A547),LOWER(DataAll!$D$2:$D$555),0))</f>
        <v>54.83</v>
      </c>
      <c r="D547" cm="1">
        <f t="array" ref="D547">INDEX(DataAll!$H$2:$H$579,MATCH(LOWER(Data!A547),LOWER(DataAll!$G$2:$G$555),0))</f>
        <v>0.57799999999999996</v>
      </c>
      <c r="E547" cm="1">
        <f t="array" ref="E547">INDEX(DataAll!$K$2:$K$579,MATCH(LOWER(Data!A547),LOWER(DataAll!$J$2:$J$555),0))</f>
        <v>15.79</v>
      </c>
      <c r="F547" cm="1">
        <f t="array" ref="F547">INDEX(DataAll!$N$2:$N$555,MATCH(LOWER(Data!A547),LOWER(DataAll!$M$2:$M$555),0))</f>
        <v>15.58</v>
      </c>
      <c r="G547" cm="1">
        <f t="array" ref="G547">INDEX(DataAll!$Q$2:$Q$555,MATCH(LOWER(Data!A547),LOWER(DataAll!$P$2:$P$555),0))</f>
        <v>48.03</v>
      </c>
      <c r="H547" cm="1">
        <f t="array" ref="H547">INDEX(DataAll!$T$2:$T$555,MATCH(LOWER(Data!A547),LOWER(DataAll!$S$2:$S$555),0))</f>
        <v>0.27200000000000002</v>
      </c>
      <c r="I547" cm="1">
        <f t="array" ref="I547">INDEX(DataAll!$W$2:$W$555,MATCH(LOWER(Data!A547),LOWER(DataAll!$V$2:$V$555),0))</f>
        <v>41.69</v>
      </c>
      <c r="J547" cm="1">
        <f t="array" ref="J547">INDEX(DataAll!$Z$2:$Z$555,MATCH(LOWER(Data!A547),LOWER(DataAll!$Y$2:$Y$555),0))</f>
        <v>3.58</v>
      </c>
      <c r="K547" cm="1">
        <f t="array" ref="K547">INDEX(DataAll!$AM$2:$AM$555,MATCH(LOWER(Data!A547),LOWER(DataAll!$AL$2:$AL$555),0))</f>
        <v>29.63</v>
      </c>
      <c r="L547" cm="1">
        <f t="array" ref="L547">INDEX(DataAll!$AJ$2:$AJ$555,MATCH(LOWER(Data!A547),LOWER(DataAll!$AI$2:$AI$555),0))</f>
        <v>47.01</v>
      </c>
      <c r="M547" cm="1">
        <f t="array" ref="M547">INDEX(DataAll!$AP$2:$AP$555,MATCH(LOWER(Data!A547),LOWER(DataAll!$AO$2:$AO$555),0))</f>
        <v>56.81</v>
      </c>
      <c r="N547" cm="1">
        <f t="array" ref="N547">INDEX(DataAll!$AQ$2:$AQ$555,MATCH(LOWER(Data!A547),LOWER(DataAll!$AO$2:$AO$555),0))</f>
        <v>60.37</v>
      </c>
      <c r="O547" cm="1">
        <f t="array" ref="O547">INDEX(DataAll!$AT$2:$AT$555,MATCH(LOWER(Data!A547),LOWER(DataAll!$AS$2:$AS$555),0))</f>
        <v>6.57</v>
      </c>
      <c r="P547" cm="1">
        <f t="array" ref="P547">INDEX(DataAll!$AU$2:$AU$555,MATCH(LOWER(Data!A547),LOWER(DataAll!$AS$2:$AS$555),0))</f>
        <v>4.9000000000000004</v>
      </c>
      <c r="Q547" cm="1">
        <f t="array" ref="Q547">INDEX(DataAll!$AX$2:$AX$556,MATCH(LOWER(Data!A547),LOWER(DataAll!$AW$2:$AW$556),0))</f>
        <v>31.46</v>
      </c>
      <c r="R547" cm="1">
        <f t="array" ref="R547">INDEX('Longitude and Latitude'!$B$2:$B$579,MATCH(LOWER(Data!A547),LOWER('Longitude and Latitude'!$A$2:$A$579),0))</f>
        <v>-3.9710329999999998</v>
      </c>
      <c r="S547" cm="1">
        <f t="array" ref="S547">INDEX('Longitude and Latitude'!$C$2:$C$579,MATCH(LOWER(Data!A547),LOWER('Longitude and Latitude'!$A$2:$A$579),0))</f>
        <v>138.3190276</v>
      </c>
      <c r="T547" t="b">
        <f>IF(EXACT(A547, UPPER(A547)), TRUE, FALSE)</f>
        <v>0</v>
      </c>
    </row>
    <row r="548" spans="1:20" x14ac:dyDescent="0.35">
      <c r="A548" t="s">
        <v>536</v>
      </c>
      <c r="B548">
        <v>89.97</v>
      </c>
      <c r="C548" cm="1">
        <f t="array" ref="C548">INDEX(DataAll!$E$2:$E$555,MATCH(LOWER(Data!A548),LOWER(DataAll!$D$2:$D$555),0))</f>
        <v>42.56</v>
      </c>
      <c r="D548" cm="1">
        <f t="array" ref="D548">INDEX(DataAll!$H$2:$H$579,MATCH(LOWER(Data!A548),LOWER(DataAll!$G$2:$G$555),0))</f>
        <v>0.622</v>
      </c>
      <c r="E548" cm="1">
        <f t="array" ref="E548">INDEX(DataAll!$K$2:$K$579,MATCH(LOWER(Data!A548),LOWER(DataAll!$J$2:$J$555),0))</f>
        <v>4</v>
      </c>
      <c r="F548" cm="1">
        <f t="array" ref="F548">INDEX(DataAll!$N$2:$N$555,MATCH(LOWER(Data!A548),LOWER(DataAll!$M$2:$M$555),0))</f>
        <v>14.91</v>
      </c>
      <c r="G548" cm="1">
        <f t="array" ref="G548">INDEX(DataAll!$Q$2:$Q$555,MATCH(LOWER(Data!A548),LOWER(DataAll!$P$2:$P$555),0))</f>
        <v>20.68</v>
      </c>
      <c r="H548" cm="1">
        <f t="array" ref="H548">INDEX(DataAll!$T$2:$T$555,MATCH(LOWER(Data!A548),LOWER(DataAll!$S$2:$S$555),0))</f>
        <v>0.19400000000000001</v>
      </c>
      <c r="I548" cm="1">
        <f t="array" ref="I548">INDEX(DataAll!$W$2:$W$555,MATCH(LOWER(Data!A548),LOWER(DataAll!$V$2:$V$555),0))</f>
        <v>43.59</v>
      </c>
      <c r="J548" cm="1">
        <f t="array" ref="J548">INDEX(DataAll!$Z$2:$Z$555,MATCH(LOWER(Data!A548),LOWER(DataAll!$Y$2:$Y$555),0))</f>
        <v>2.5299999999999998</v>
      </c>
      <c r="K548" cm="1">
        <f t="array" ref="K548">INDEX(DataAll!$AM$2:$AM$555,MATCH(LOWER(Data!A548),LOWER(DataAll!$AL$2:$AL$555),0))</f>
        <v>37.090000000000003</v>
      </c>
      <c r="L548" cm="1">
        <f t="array" ref="L548">INDEX(DataAll!$AJ$2:$AJ$555,MATCH(LOWER(Data!A548),LOWER(DataAll!$AI$2:$AI$555),0))</f>
        <v>75.83</v>
      </c>
      <c r="M548" cm="1">
        <f t="array" ref="M548">INDEX(DataAll!$AP$2:$AP$555,MATCH(LOWER(Data!A548),LOWER(DataAll!$AO$2:$AO$555),0))</f>
        <v>54.08</v>
      </c>
      <c r="N548" cm="1">
        <f t="array" ref="N548">INDEX(DataAll!$AQ$2:$AQ$555,MATCH(LOWER(Data!A548),LOWER(DataAll!$AO$2:$AO$555),0))</f>
        <v>57.45</v>
      </c>
      <c r="O548" cm="1">
        <f t="array" ref="O548">INDEX(DataAll!$AT$2:$AT$555,MATCH(LOWER(Data!A548),LOWER(DataAll!$AS$2:$AS$555),0))</f>
        <v>2.5099999999999998</v>
      </c>
      <c r="P548" cm="1">
        <f t="array" ref="P548">INDEX(DataAll!$AU$2:$AU$555,MATCH(LOWER(Data!A548),LOWER(DataAll!$AS$2:$AS$555),0))</f>
        <v>1.7</v>
      </c>
      <c r="Q548" cm="1">
        <f t="array" ref="Q548">INDEX(DataAll!$AX$2:$AX$556,MATCH(LOWER(Data!A548),LOWER(DataAll!$AW$2:$AW$556),0))</f>
        <v>12.43</v>
      </c>
      <c r="R548" cm="1">
        <f t="array" ref="R548">INDEX('Longitude and Latitude'!$B$2:$B$579,MATCH(LOWER(Data!A548),LOWER('Longitude and Latitude'!$A$2:$A$579),0))</f>
        <v>-3.7852847000000001</v>
      </c>
      <c r="S548" cm="1">
        <f t="array" ref="S548">INDEX('Longitude and Latitude'!$C$2:$C$579,MATCH(LOWER(Data!A548),LOWER('Longitude and Latitude'!$A$2:$A$579),0))</f>
        <v>139.44660049999999</v>
      </c>
      <c r="T548" t="b">
        <f>IF(EXACT(A548, UPPER(A548)), TRUE, FALSE)</f>
        <v>0</v>
      </c>
    </row>
    <row r="549" spans="1:20" x14ac:dyDescent="0.35">
      <c r="A549" t="s">
        <v>537</v>
      </c>
      <c r="B549">
        <v>94.14</v>
      </c>
      <c r="C549" cm="1">
        <f t="array" ref="C549">INDEX(DataAll!$E$2:$E$555,MATCH(LOWER(Data!A549),LOWER(DataAll!$D$2:$D$555),0))</f>
        <v>27.24</v>
      </c>
      <c r="D549" cm="1">
        <f t="array" ref="D549">INDEX(DataAll!$H$2:$H$579,MATCH(LOWER(Data!A549),LOWER(DataAll!$G$2:$G$555),0))</f>
        <v>0.83699999999999997</v>
      </c>
      <c r="F549" cm="1">
        <f t="array" ref="F549">INDEX(DataAll!$N$2:$N$555,MATCH(LOWER(Data!A549),LOWER(DataAll!$M$2:$M$555),0))</f>
        <v>7.33</v>
      </c>
      <c r="G549" cm="1">
        <f t="array" ref="G549">INDEX(DataAll!$Q$2:$Q$555,MATCH(LOWER(Data!A549),LOWER(DataAll!$P$2:$P$555),0))</f>
        <v>20.07</v>
      </c>
      <c r="H549" cm="1">
        <f t="array" ref="H549">INDEX(DataAll!$T$2:$T$555,MATCH(LOWER(Data!A549),LOWER(DataAll!$S$2:$S$555),0))</f>
        <v>0.14899999999999999</v>
      </c>
      <c r="I549" cm="1">
        <f t="array" ref="I549">INDEX(DataAll!$W$2:$W$555,MATCH(LOWER(Data!A549),LOWER(DataAll!$V$2:$V$555),0))</f>
        <v>42.12</v>
      </c>
      <c r="J549" cm="1">
        <f t="array" ref="J549">INDEX(DataAll!$Z$2:$Z$555,MATCH(LOWER(Data!A549),LOWER(DataAll!$Y$2:$Y$555),0))</f>
        <v>2.69</v>
      </c>
      <c r="K549" cm="1">
        <f t="array" ref="K549">INDEX(DataAll!$AM$2:$AM$555,MATCH(LOWER(Data!A549),LOWER(DataAll!$AL$2:$AL$555),0))</f>
        <v>36.94</v>
      </c>
      <c r="L549" cm="1">
        <f t="array" ref="L549">INDEX(DataAll!$AJ$2:$AJ$555,MATCH(LOWER(Data!A549),LOWER(DataAll!$AI$2:$AI$555),0))</f>
        <v>57.68</v>
      </c>
      <c r="M549" cm="1">
        <f t="array" ref="M549">INDEX(DataAll!$AP$2:$AP$555,MATCH(LOWER(Data!A549),LOWER(DataAll!$AO$2:$AO$555),0))</f>
        <v>64.599999999999994</v>
      </c>
      <c r="N549" cm="1">
        <f t="array" ref="N549">INDEX(DataAll!$AQ$2:$AQ$555,MATCH(LOWER(Data!A549),LOWER(DataAll!$AO$2:$AO$555),0))</f>
        <v>68.510000000000005</v>
      </c>
      <c r="O549" cm="1">
        <f t="array" ref="O549">INDEX(DataAll!$AT$2:$AT$555,MATCH(LOWER(Data!A549),LOWER(DataAll!$AS$2:$AS$555),0))</f>
        <v>4.87</v>
      </c>
      <c r="P549" cm="1">
        <f t="array" ref="P549">INDEX(DataAll!$AU$2:$AU$555,MATCH(LOWER(Data!A549),LOWER(DataAll!$AS$2:$AS$555),0))</f>
        <v>2.21</v>
      </c>
      <c r="Q549" cm="1">
        <f t="array" ref="Q549">INDEX(DataAll!$AX$2:$AX$556,MATCH(LOWER(Data!A549),LOWER(DataAll!$AW$2:$AW$556),0))</f>
        <v>12.69</v>
      </c>
      <c r="R549" cm="1">
        <f t="array" ref="R549">INDEX('Longitude and Latitude'!$B$2:$B$579,MATCH(LOWER(Data!A549),LOWER('Longitude and Latitude'!$A$2:$A$579),0))</f>
        <v>-6.7125475999999997</v>
      </c>
      <c r="S549" cm="1">
        <f t="array" ref="S549">INDEX('Longitude and Latitude'!$C$2:$C$579,MATCH(LOWER(Data!A549),LOWER('Longitude and Latitude'!$A$2:$A$579),0))</f>
        <v>106.95424250000001</v>
      </c>
      <c r="T549" t="b">
        <f>IF(EXACT(A549, UPPER(A549)), TRUE, FALSE)</f>
        <v>0</v>
      </c>
    </row>
    <row r="550" spans="1:20" x14ac:dyDescent="0.35">
      <c r="A550" t="s">
        <v>538</v>
      </c>
      <c r="B550">
        <v>89.17</v>
      </c>
      <c r="C550" cm="1">
        <f t="array" ref="C550">INDEX(DataAll!$E$2:$E$555,MATCH(LOWER(Data!A550),LOWER(DataAll!$D$2:$D$555),0))</f>
        <v>52.77</v>
      </c>
      <c r="D550" cm="1">
        <f t="array" ref="D550">INDEX(DataAll!$H$2:$H$579,MATCH(LOWER(Data!A550),LOWER(DataAll!$G$2:$G$555),0))</f>
        <v>0.51200000000000001</v>
      </c>
      <c r="E550" cm="1">
        <f t="array" ref="E550">INDEX(DataAll!$K$2:$K$579,MATCH(LOWER(Data!A550),LOWER(DataAll!$J$2:$J$555),0))</f>
        <v>10</v>
      </c>
      <c r="F550" cm="1">
        <f t="array" ref="F550">INDEX(DataAll!$N$2:$N$555,MATCH(LOWER(Data!A550),LOWER(DataAll!$M$2:$M$555),0))</f>
        <v>19.23</v>
      </c>
      <c r="G550" cm="1">
        <f t="array" ref="G550">INDEX(DataAll!$Q$2:$Q$555,MATCH(LOWER(Data!A550),LOWER(DataAll!$P$2:$P$555),0))</f>
        <v>26.1</v>
      </c>
      <c r="H550" cm="1">
        <f t="array" ref="H550">INDEX(DataAll!$T$2:$T$555,MATCH(LOWER(Data!A550),LOWER(DataAll!$S$2:$S$555),0))</f>
        <v>0.20599999999999999</v>
      </c>
      <c r="I550" cm="1">
        <f t="array" ref="I550">INDEX(DataAll!$W$2:$W$555,MATCH(LOWER(Data!A550),LOWER(DataAll!$V$2:$V$555),0))</f>
        <v>43.79</v>
      </c>
      <c r="J550" cm="1">
        <f t="array" ref="J550">INDEX(DataAll!$Z$2:$Z$555,MATCH(LOWER(Data!A550),LOWER(DataAll!$Y$2:$Y$555),0))</f>
        <v>2.44</v>
      </c>
      <c r="K550" cm="1">
        <f t="array" ref="K550">INDEX(DataAll!$AM$2:$AM$555,MATCH(LOWER(Data!A550),LOWER(DataAll!$AL$2:$AL$555),0))</f>
        <v>35.42</v>
      </c>
      <c r="L550" cm="1">
        <f t="array" ref="L550">INDEX(DataAll!$AJ$2:$AJ$555,MATCH(LOWER(Data!A550),LOWER(DataAll!$AI$2:$AI$555),0))</f>
        <v>46.28</v>
      </c>
      <c r="M550" cm="1">
        <f t="array" ref="M550">INDEX(DataAll!$AP$2:$AP$555,MATCH(LOWER(Data!A550),LOWER(DataAll!$AO$2:$AO$555),0))</f>
        <v>62.28</v>
      </c>
      <c r="N550" cm="1">
        <f t="array" ref="N550">INDEX(DataAll!$AQ$2:$AQ$555,MATCH(LOWER(Data!A550),LOWER(DataAll!$AO$2:$AO$555),0))</f>
        <v>66.09</v>
      </c>
      <c r="O550" cm="1">
        <f t="array" ref="O550">INDEX(DataAll!$AT$2:$AT$555,MATCH(LOWER(Data!A550),LOWER(DataAll!$AS$2:$AS$555),0))</f>
        <v>5.27</v>
      </c>
      <c r="P550" cm="1">
        <f t="array" ref="P550">INDEX(DataAll!$AU$2:$AU$555,MATCH(LOWER(Data!A550),LOWER(DataAll!$AS$2:$AS$555),0))</f>
        <v>2.67</v>
      </c>
      <c r="Q550" cm="1">
        <f t="array" ref="Q550">INDEX(DataAll!$AX$2:$AX$556,MATCH(LOWER(Data!A550),LOWER(DataAll!$AW$2:$AW$556),0))</f>
        <v>19.649999999999999</v>
      </c>
      <c r="R550" cm="1">
        <f t="array" ref="R550">INDEX('Longitude and Latitude'!$B$2:$B$579,MATCH(LOWER(Data!A550),LOWER('Longitude and Latitude'!$A$2:$A$579),0))</f>
        <v>-4.0193871999999997</v>
      </c>
      <c r="S550" cm="1">
        <f t="array" ref="S550">INDEX('Longitude and Latitude'!$C$2:$C$579,MATCH(LOWER(Data!A550),LOWER('Longitude and Latitude'!$A$2:$A$579),0))</f>
        <v>135.96104460000001</v>
      </c>
      <c r="T550" t="b">
        <f>IF(EXACT(A550, UPPER(A550)), TRUE, FALSE)</f>
        <v>0</v>
      </c>
    </row>
    <row r="551" spans="1:20" x14ac:dyDescent="0.35">
      <c r="A551" t="s">
        <v>539</v>
      </c>
      <c r="B551">
        <v>85.96</v>
      </c>
      <c r="C551" cm="1">
        <f t="array" ref="C551">INDEX(DataAll!$E$2:$E$555,MATCH(LOWER(Data!A551),LOWER(DataAll!$D$2:$D$555),0))</f>
        <v>44.15</v>
      </c>
      <c r="D551" cm="1">
        <f t="array" ref="D551">INDEX(DataAll!$H$2:$H$579,MATCH(LOWER(Data!A551),LOWER(DataAll!$G$2:$G$555),0))</f>
        <v>0.82399999999999995</v>
      </c>
      <c r="F551" cm="1">
        <f t="array" ref="F551">INDEX(DataAll!$N$2:$N$555,MATCH(LOWER(Data!A551),LOWER(DataAll!$M$2:$M$555),0))</f>
        <v>72.92</v>
      </c>
      <c r="G551" cm="1">
        <f t="array" ref="G551">INDEX(DataAll!$Q$2:$Q$555,MATCH(LOWER(Data!A551),LOWER(DataAll!$P$2:$P$555),0))</f>
        <v>17.940000000000001</v>
      </c>
      <c r="H551" cm="1">
        <f t="array" ref="H551">INDEX(DataAll!$T$2:$T$555,MATCH(LOWER(Data!A551),LOWER(DataAll!$S$2:$S$555),0))</f>
        <v>0.25700000000000001</v>
      </c>
      <c r="I551" cm="1">
        <f t="array" ref="I551">INDEX(DataAll!$W$2:$W$555,MATCH(LOWER(Data!A551),LOWER(DataAll!$V$2:$V$555),0))</f>
        <v>45.18</v>
      </c>
      <c r="J551" cm="1">
        <f t="array" ref="J551">INDEX(DataAll!$Z$2:$Z$555,MATCH(LOWER(Data!A551),LOWER(DataAll!$Y$2:$Y$555),0))</f>
        <v>2.79</v>
      </c>
      <c r="K551" cm="1">
        <f t="array" ref="K551">INDEX(DataAll!$AM$2:$AM$555,MATCH(LOWER(Data!A551),LOWER(DataAll!$AL$2:$AL$555),0))</f>
        <v>30.97</v>
      </c>
      <c r="L551" cm="1">
        <f t="array" ref="L551">INDEX(DataAll!$AJ$2:$AJ$555,MATCH(LOWER(Data!A551),LOWER(DataAll!$AI$2:$AI$555),0))</f>
        <v>47.01</v>
      </c>
      <c r="M551" cm="1">
        <f t="array" ref="M551">INDEX(DataAll!$AP$2:$AP$555,MATCH(LOWER(Data!A551),LOWER(DataAll!$AO$2:$AO$555),0))</f>
        <v>64.05</v>
      </c>
      <c r="N551" cm="1">
        <f t="array" ref="N551">INDEX(DataAll!$AQ$2:$AQ$555,MATCH(LOWER(Data!A551),LOWER(DataAll!$AO$2:$AO$555),0))</f>
        <v>67.94</v>
      </c>
      <c r="O551" cm="1">
        <f t="array" ref="O551">INDEX(DataAll!$AT$2:$AT$555,MATCH(LOWER(Data!A551),LOWER(DataAll!$AS$2:$AS$555),0))</f>
        <v>5.13</v>
      </c>
      <c r="P551" cm="1">
        <f t="array" ref="P551">INDEX(DataAll!$AU$2:$AU$555,MATCH(LOWER(Data!A551),LOWER(DataAll!$AS$2:$AS$555),0))</f>
        <v>3.34</v>
      </c>
      <c r="Q551" cm="1">
        <f t="array" ref="Q551">INDEX(DataAll!$AX$2:$AX$556,MATCH(LOWER(Data!A551),LOWER(DataAll!$AW$2:$AW$556),0))</f>
        <v>21.79</v>
      </c>
      <c r="R551" cm="1">
        <f t="array" ref="R551">INDEX('Longitude and Latitude'!$B$2:$B$579,MATCH(LOWER(Data!A551),LOWER('Longitude and Latitude'!$A$2:$A$579),0))</f>
        <v>-3.5076421999999998</v>
      </c>
      <c r="S551" cm="1">
        <f t="array" ref="S551">INDEX('Longitude and Latitude'!$C$2:$C$579,MATCH(LOWER(Data!A551),LOWER('Longitude and Latitude'!$A$2:$A$579),0))</f>
        <v>136.74784930000001</v>
      </c>
      <c r="T551" t="b">
        <f>IF(EXACT(A551, UPPER(A551)), TRUE, FALSE)</f>
        <v>0</v>
      </c>
    </row>
    <row r="552" spans="1:20" x14ac:dyDescent="0.35">
      <c r="A552" t="s">
        <v>540</v>
      </c>
      <c r="B552">
        <v>85.56</v>
      </c>
      <c r="C552" cm="1">
        <f t="array" ref="C552">INDEX(DataAll!$E$2:$E$555,MATCH(LOWER(Data!A552),LOWER(DataAll!$D$2:$D$555),0))</f>
        <v>46.45</v>
      </c>
      <c r="D552" cm="1">
        <f t="array" ref="D552">INDEX(DataAll!$H$2:$H$579,MATCH(LOWER(Data!A552),LOWER(DataAll!$G$2:$G$555),0))</f>
        <v>0.69399999999999995</v>
      </c>
      <c r="E552" cm="1">
        <f t="array" ref="E552">INDEX(DataAll!$K$2:$K$579,MATCH(LOWER(Data!A552),LOWER(DataAll!$J$2:$J$555),0))</f>
        <v>4</v>
      </c>
      <c r="F552" cm="1">
        <f t="array" ref="F552">INDEX(DataAll!$N$2:$N$555,MATCH(LOWER(Data!A552),LOWER(DataAll!$M$2:$M$555),0))</f>
        <v>27.11</v>
      </c>
      <c r="G552" cm="1">
        <f t="array" ref="G552">INDEX(DataAll!$Q$2:$Q$555,MATCH(LOWER(Data!A552),LOWER(DataAll!$P$2:$P$555),0))</f>
        <v>47.27</v>
      </c>
      <c r="H552" cm="1">
        <f t="array" ref="H552">INDEX(DataAll!$T$2:$T$555,MATCH(LOWER(Data!A552),LOWER(DataAll!$S$2:$S$555),0))</f>
        <v>0.45400000000000001</v>
      </c>
      <c r="I552" cm="1">
        <f t="array" ref="I552">INDEX(DataAll!$W$2:$W$555,MATCH(LOWER(Data!A552),LOWER(DataAll!$V$2:$V$555),0))</f>
        <v>30.36</v>
      </c>
      <c r="J552" cm="1">
        <f t="array" ref="J552">INDEX(DataAll!$Z$2:$Z$555,MATCH(LOWER(Data!A552),LOWER(DataAll!$Y$2:$Y$555),0))</f>
        <v>2.77</v>
      </c>
      <c r="K552" cm="1">
        <f t="array" ref="K552">INDEX(DataAll!$AM$2:$AM$555,MATCH(LOWER(Data!A552),LOWER(DataAll!$AL$2:$AL$555),0))</f>
        <v>36.44</v>
      </c>
      <c r="L552" cm="1">
        <f t="array" ref="L552">INDEX(DataAll!$AJ$2:$AJ$555,MATCH(LOWER(Data!A552),LOWER(DataAll!$AI$2:$AI$555),0))</f>
        <v>59.99</v>
      </c>
      <c r="M552" cm="1">
        <f t="array" ref="M552">INDEX(DataAll!$AP$2:$AP$555,MATCH(LOWER(Data!A552),LOWER(DataAll!$AO$2:$AO$555),0))</f>
        <v>64.569999999999993</v>
      </c>
      <c r="N552" cm="1">
        <f t="array" ref="N552">INDEX(DataAll!$AQ$2:$AQ$555,MATCH(LOWER(Data!A552),LOWER(DataAll!$AO$2:$AO$555),0))</f>
        <v>68.400000000000006</v>
      </c>
      <c r="O552" cm="1">
        <f t="array" ref="O552">INDEX(DataAll!$AT$2:$AT$555,MATCH(LOWER(Data!A552),LOWER(DataAll!$AS$2:$AS$555),0))</f>
        <v>2.77</v>
      </c>
      <c r="P552" cm="1">
        <f t="array" ref="P552">INDEX(DataAll!$AU$2:$AU$555,MATCH(LOWER(Data!A552),LOWER(DataAll!$AS$2:$AS$555),0))</f>
        <v>1.37</v>
      </c>
      <c r="Q552" cm="1">
        <f t="array" ref="Q552">INDEX(DataAll!$AX$2:$AX$556,MATCH(LOWER(Data!A552),LOWER(DataAll!$AW$2:$AW$556),0))</f>
        <v>2.06</v>
      </c>
      <c r="R552" cm="1">
        <f t="array" ref="R552">INDEX('Longitude and Latitude'!$B$2:$B$579,MATCH(LOWER(Data!A552),LOWER('Longitude and Latitude'!$A$2:$A$579),0))</f>
        <v>-4.0974893000000003</v>
      </c>
      <c r="S552" cm="1">
        <f t="array" ref="S552">INDEX('Longitude and Latitude'!$C$2:$C$579,MATCH(LOWER(Data!A552),LOWER('Longitude and Latitude'!$A$2:$A$579),0))</f>
        <v>136.43930539999999</v>
      </c>
      <c r="T552" t="b">
        <f>IF(EXACT(A552, UPPER(A552)), TRUE, FALSE)</f>
        <v>0</v>
      </c>
    </row>
    <row r="553" spans="1:20" x14ac:dyDescent="0.35">
      <c r="A553" t="s">
        <v>541</v>
      </c>
      <c r="B553">
        <v>81.53</v>
      </c>
      <c r="C553" cm="1">
        <f t="array" ref="C553">INDEX(DataAll!$E$2:$E$555,MATCH(LOWER(Data!A553),LOWER(DataAll!$D$2:$D$555),0))</f>
        <v>51.83</v>
      </c>
      <c r="D553" cm="1">
        <f t="array" ref="D553">INDEX(DataAll!$H$2:$H$579,MATCH(LOWER(Data!A553),LOWER(DataAll!$G$2:$G$555),0))</f>
        <v>0.69299999999999995</v>
      </c>
      <c r="F553" cm="1">
        <f t="array" ref="F553">INDEX(DataAll!$N$2:$N$555,MATCH(LOWER(Data!A553),LOWER(DataAll!$M$2:$M$555),0))</f>
        <v>47.29</v>
      </c>
      <c r="G553" cm="1">
        <f t="array" ref="G553">INDEX(DataAll!$Q$2:$Q$555,MATCH(LOWER(Data!A553),LOWER(DataAll!$P$2:$P$555),0))</f>
        <v>67.17</v>
      </c>
      <c r="H553" cm="1">
        <f t="array" ref="H553">INDEX(DataAll!$T$2:$T$555,MATCH(LOWER(Data!A553),LOWER(DataAll!$S$2:$S$555),0))</f>
        <v>0.28799999999999998</v>
      </c>
      <c r="I553" cm="1">
        <f t="array" ref="I553">INDEX(DataAll!$W$2:$W$555,MATCH(LOWER(Data!A553),LOWER(DataAll!$V$2:$V$555),0))</f>
        <v>41.33</v>
      </c>
      <c r="J553" cm="1">
        <f t="array" ref="J553">INDEX(DataAll!$Z$2:$Z$555,MATCH(LOWER(Data!A553),LOWER(DataAll!$Y$2:$Y$555),0))</f>
        <v>3.28</v>
      </c>
      <c r="K553" cm="1">
        <f t="array" ref="K553">INDEX(DataAll!$AM$2:$AM$555,MATCH(LOWER(Data!A553),LOWER(DataAll!$AL$2:$AL$555),0))</f>
        <v>29.2</v>
      </c>
      <c r="L553" cm="1">
        <f t="array" ref="L553">INDEX(DataAll!$AJ$2:$AJ$555,MATCH(LOWER(Data!A553),LOWER(DataAll!$AI$2:$AI$555),0))</f>
        <v>60.34</v>
      </c>
      <c r="M553" cm="1">
        <f t="array" ref="M553">INDEX(DataAll!$AP$2:$AP$555,MATCH(LOWER(Data!A553),LOWER(DataAll!$AO$2:$AO$555),0))</f>
        <v>64.48</v>
      </c>
      <c r="N553" cm="1">
        <f t="array" ref="N553">INDEX(DataAll!$AQ$2:$AQ$555,MATCH(LOWER(Data!A553),LOWER(DataAll!$AO$2:$AO$555),0))</f>
        <v>68.39</v>
      </c>
      <c r="O553" cm="1">
        <f t="array" ref="O553">INDEX(DataAll!$AT$2:$AT$555,MATCH(LOWER(Data!A553),LOWER(DataAll!$AS$2:$AS$555),0))</f>
        <v>5.45</v>
      </c>
      <c r="P553" cm="1">
        <f t="array" ref="P553">INDEX(DataAll!$AU$2:$AU$555,MATCH(LOWER(Data!A553),LOWER(DataAll!$AS$2:$AS$555),0))</f>
        <v>4.13</v>
      </c>
      <c r="Q553" cm="1">
        <f t="array" ref="Q553">INDEX(DataAll!$AX$2:$AX$556,MATCH(LOWER(Data!A553),LOWER(DataAll!$AW$2:$AW$556),0))</f>
        <v>11.05</v>
      </c>
      <c r="R553" cm="1">
        <f t="array" ref="R553">INDEX('Longitude and Latitude'!$B$2:$B$579,MATCH(LOWER(Data!A553),LOWER('Longitude and Latitude'!$A$2:$A$579),0))</f>
        <v>-2.5329999999999999</v>
      </c>
      <c r="S553" cm="1">
        <f t="array" ref="S553">INDEX('Longitude and Latitude'!$C$2:$C$579,MATCH(LOWER(Data!A553),LOWER('Longitude and Latitude'!$A$2:$A$579),0))</f>
        <v>140.71700000000001</v>
      </c>
      <c r="T553" t="b">
        <f>IF(EXACT(A553, UPPER(A553)), TRUE, FALSE)</f>
        <v>0</v>
      </c>
    </row>
    <row r="554" spans="1:20" x14ac:dyDescent="0.35">
      <c r="A554" t="s">
        <v>542</v>
      </c>
      <c r="B554">
        <v>73.260000000000005</v>
      </c>
      <c r="C554" cm="1">
        <f t="array" ref="C554">INDEX(DataAll!$E$2:$E$555,MATCH(LOWER(Data!A554),LOWER(DataAll!$D$2:$D$555),0))</f>
        <v>35.89</v>
      </c>
      <c r="D554" cm="1">
        <f t="array" ref="D554">INDEX(DataAll!$H$2:$H$579,MATCH(LOWER(Data!A554),LOWER(DataAll!$G$2:$G$555),0))</f>
        <v>0.88700000000000001</v>
      </c>
      <c r="F554" cm="1">
        <f t="array" ref="F554">INDEX(DataAll!$N$2:$N$555,MATCH(LOWER(Data!A554),LOWER(DataAll!$M$2:$M$555),0))</f>
        <v>18.760000000000002</v>
      </c>
      <c r="G554" cm="1">
        <f t="array" ref="G554">INDEX(DataAll!$Q$2:$Q$555,MATCH(LOWER(Data!A554),LOWER(DataAll!$P$2:$P$555),0))</f>
        <v>41.29</v>
      </c>
      <c r="H554" cm="1">
        <f t="array" ref="H554">INDEX(DataAll!$T$2:$T$555,MATCH(LOWER(Data!A554),LOWER(DataAll!$S$2:$S$555),0))</f>
        <v>0.48399999999999999</v>
      </c>
      <c r="I554" cm="1">
        <f t="array" ref="I554">INDEX(DataAll!$W$2:$W$555,MATCH(LOWER(Data!A554),LOWER(DataAll!$V$2:$V$555),0))</f>
        <v>65.069999999999993</v>
      </c>
      <c r="J554" cm="1">
        <f t="array" ref="J554">INDEX(DataAll!$Z$2:$Z$555,MATCH(LOWER(Data!A554),LOWER(DataAll!$Y$2:$Y$555),0))</f>
        <v>2.87</v>
      </c>
      <c r="K554" cm="1">
        <f t="array" ref="K554">INDEX(DataAll!$AM$2:$AM$555,MATCH(LOWER(Data!A554),LOWER(DataAll!$AL$2:$AL$555),0))</f>
        <v>40.01</v>
      </c>
      <c r="L554" cm="1">
        <f t="array" ref="L554">INDEX(DataAll!$AJ$2:$AJ$555,MATCH(LOWER(Data!A554),LOWER(DataAll!$AI$2:$AI$555),0))</f>
        <v>59.99</v>
      </c>
      <c r="M554" cm="1">
        <f t="array" ref="M554">INDEX(DataAll!$AP$2:$AP$555,MATCH(LOWER(Data!A554),LOWER(DataAll!$AO$2:$AO$555),0))</f>
        <v>64.22</v>
      </c>
      <c r="N554" cm="1">
        <f t="array" ref="N554">INDEX(DataAll!$AQ$2:$AQ$555,MATCH(LOWER(Data!A554),LOWER(DataAll!$AO$2:$AO$555),0))</f>
        <v>68.11</v>
      </c>
      <c r="O554" cm="1">
        <f t="array" ref="O554">INDEX(DataAll!$AT$2:$AT$555,MATCH(LOWER(Data!A554),LOWER(DataAll!$AS$2:$AS$555),0))</f>
        <v>4.76</v>
      </c>
      <c r="P554" cm="1">
        <f t="array" ref="P554">INDEX(DataAll!$AU$2:$AU$555,MATCH(LOWER(Data!A554),LOWER(DataAll!$AS$2:$AS$555),0))</f>
        <v>2.06</v>
      </c>
      <c r="Q554" cm="1">
        <f t="array" ref="Q554">INDEX(DataAll!$AX$2:$AX$556,MATCH(LOWER(Data!A554),LOWER(DataAll!$AW$2:$AW$556),0))</f>
        <v>2.3199999999999998</v>
      </c>
      <c r="R554" cm="1">
        <f t="array" ref="R554">INDEX('Longitude and Latitude'!$B$2:$B$579,MATCH(LOWER(Data!A554),LOWER('Longitude and Latitude'!$A$2:$A$579),0))</f>
        <v>-8.4960406000000006</v>
      </c>
      <c r="S554" cm="1">
        <f t="array" ref="S554">INDEX('Longitude and Latitude'!$C$2:$C$579,MATCH(LOWER(Data!A554),LOWER('Longitude and Latitude'!$A$2:$A$579),0))</f>
        <v>140.39455269999999</v>
      </c>
      <c r="T554" t="b">
        <f>IF(EXACT(A554, UPPER(A554)), TRUE, FALSE)</f>
        <v>0</v>
      </c>
    </row>
    <row r="555" spans="1:20" x14ac:dyDescent="0.35">
      <c r="A555" t="s">
        <v>543</v>
      </c>
      <c r="B555">
        <v>70.95</v>
      </c>
      <c r="C555" cm="1">
        <f t="array" ref="C555">INDEX(DataAll!$E$2:$E$555,MATCH(LOWER(Data!A555),LOWER(DataAll!$D$2:$D$555),0))</f>
        <v>49.7</v>
      </c>
      <c r="D555" cm="1">
        <f t="array" ref="D555">INDEX(DataAll!$H$2:$H$579,MATCH(LOWER(Data!A555),LOWER(DataAll!$G$2:$G$555),0))</f>
        <v>0.879</v>
      </c>
      <c r="F555" cm="1">
        <f t="array" ref="F555">INDEX(DataAll!$N$2:$N$555,MATCH(LOWER(Data!A555),LOWER(DataAll!$M$2:$M$555),0))</f>
        <v>36.270000000000003</v>
      </c>
      <c r="G555" cm="1">
        <f t="array" ref="G555">INDEX(DataAll!$Q$2:$Q$555,MATCH(LOWER(Data!A555),LOWER(DataAll!$P$2:$P$555),0))</f>
        <v>66.760000000000005</v>
      </c>
      <c r="H555" cm="1">
        <f t="array" ref="H555">INDEX(DataAll!$T$2:$T$555,MATCH(LOWER(Data!A555),LOWER(DataAll!$S$2:$S$555),0))</f>
        <v>0.161</v>
      </c>
      <c r="I555" cm="1">
        <f t="array" ref="I555">INDEX(DataAll!$W$2:$W$555,MATCH(LOWER(Data!A555),LOWER(DataAll!$V$2:$V$555),0))</f>
        <v>56.9</v>
      </c>
      <c r="J555" cm="1">
        <f t="array" ref="J555">INDEX(DataAll!$Z$2:$Z$555,MATCH(LOWER(Data!A555),LOWER(DataAll!$Y$2:$Y$555),0))</f>
        <v>3.34</v>
      </c>
      <c r="K555" cm="1">
        <f t="array" ref="K555">INDEX(DataAll!$AM$2:$AM$555,MATCH(LOWER(Data!A555),LOWER(DataAll!$AL$2:$AL$555),0))</f>
        <v>38.659999999999997</v>
      </c>
      <c r="L555" cm="1">
        <f t="array" ref="L555">INDEX(DataAll!$AJ$2:$AJ$555,MATCH(LOWER(Data!A555),LOWER(DataAll!$AI$2:$AI$555),0))</f>
        <v>60.34</v>
      </c>
      <c r="M555" cm="1">
        <f t="array" ref="M555">INDEX(DataAll!$AP$2:$AP$555,MATCH(LOWER(Data!A555),LOWER(DataAll!$AO$2:$AO$555),0))</f>
        <v>64.040000000000006</v>
      </c>
      <c r="N555" cm="1">
        <f t="array" ref="N555">INDEX(DataAll!$AQ$2:$AQ$555,MATCH(LOWER(Data!A555),LOWER(DataAll!$AO$2:$AO$555),0))</f>
        <v>67.92</v>
      </c>
      <c r="O555" cm="1">
        <f t="array" ref="O555">INDEX(DataAll!$AT$2:$AT$555,MATCH(LOWER(Data!A555),LOWER(DataAll!$AS$2:$AS$555),0))</f>
        <v>4.4000000000000004</v>
      </c>
      <c r="P555" cm="1">
        <f t="array" ref="P555">INDEX(DataAll!$AU$2:$AU$555,MATCH(LOWER(Data!A555),LOWER(DataAll!$AS$2:$AS$555),0))</f>
        <v>1.83</v>
      </c>
      <c r="Q555" cm="1">
        <f t="array" ref="Q555">INDEX(DataAll!$AX$2:$AX$556,MATCH(LOWER(Data!A555),LOWER(DataAll!$AW$2:$AW$556),0))</f>
        <v>3.23</v>
      </c>
      <c r="R555" cm="1">
        <f t="array" ref="R555">INDEX('Longitude and Latitude'!$B$2:$B$579,MATCH(LOWER(Data!A555),LOWER('Longitude and Latitude'!$A$2:$A$579),0))</f>
        <v>-5.7400017999999999</v>
      </c>
      <c r="S555" cm="1">
        <f t="array" ref="S555">INDEX('Longitude and Latitude'!$C$2:$C$579,MATCH(LOWER(Data!A555),LOWER('Longitude and Latitude'!$A$2:$A$579),0))</f>
        <v>140.3481835</v>
      </c>
      <c r="T555" t="b">
        <f>IF(EXACT(A555, UPPER(A555)), TRUE, FALSE)</f>
        <v>0</v>
      </c>
    </row>
    <row r="556" spans="1:20" x14ac:dyDescent="0.35">
      <c r="A556" t="s">
        <v>544</v>
      </c>
      <c r="B556">
        <v>94.74</v>
      </c>
      <c r="C556" cm="1">
        <f t="array" ref="C556">INDEX(DataAll!$E$2:$E$555,MATCH(LOWER(Data!A556),LOWER(DataAll!$D$2:$D$555),0))</f>
        <v>77.650000000000006</v>
      </c>
      <c r="D556">
        <v>0.28999999999999998</v>
      </c>
      <c r="E556" cm="1">
        <f t="array" ref="E556">INDEX(DataAll!$K$2:$K$579,MATCH(LOWER(Data!A556),LOWER(DataAll!$J$2:$J$555),0))</f>
        <v>23.08</v>
      </c>
      <c r="F556" cm="1">
        <f t="array" ref="F556">INDEX(DataAll!$N$2:$N$555,MATCH(LOWER(Data!A556),LOWER(DataAll!$M$2:$M$555),0))</f>
        <v>40.54</v>
      </c>
      <c r="G556" cm="1">
        <f t="array" ref="G556">INDEX(DataAll!$Q$2:$Q$555,MATCH(LOWER(Data!A556),LOWER(DataAll!$P$2:$P$555),0))</f>
        <v>18.59</v>
      </c>
      <c r="H556">
        <v>0.19400000000000001</v>
      </c>
      <c r="I556" cm="1">
        <f t="array" ref="I556">INDEX(DataAll!$W$2:$W$555,MATCH(LOWER(Data!A556),LOWER(DataAll!$V$2:$V$555),0))</f>
        <v>35.24</v>
      </c>
      <c r="J556" cm="1">
        <f t="array" ref="J556">INDEX(DataAll!$Z$2:$Z$555,MATCH(LOWER(Data!A556),LOWER(DataAll!$Y$2:$Y$555),0))</f>
        <v>2.31</v>
      </c>
      <c r="K556" cm="1">
        <f t="array" ref="K556">INDEX(DataAll!$AM$2:$AM$556,MATCH(LOWER(Data!A556),LOWER(DataAll!$AL$2:$AL$556),0))</f>
        <v>10.5</v>
      </c>
      <c r="L556" cm="1">
        <f t="array" ref="L556">INDEX(DataAll!$AJ$2:$AJ$555,MATCH(LOWER(Data!A556),LOWER(DataAll!$AI$2:$AI$555),0))</f>
        <v>30.14</v>
      </c>
      <c r="M556" cm="1">
        <f t="array" ref="M556">INDEX(DataAll!$AP$2:$AP$556,MATCH(LOWER(Data!A556),LOWER(DataAll!$AO$2:$AO$556),0))</f>
        <v>69.14</v>
      </c>
      <c r="N556" cm="1">
        <f t="array" ref="N556">INDEX(DataAll!$AQ$2:$AQ$556,MATCH(LOWER(Data!A556),LOWER(DataAll!$AO$2:$AO$556),0))</f>
        <v>73.099999999999994</v>
      </c>
      <c r="O556" cm="1">
        <f t="array" ref="O556">INDEX(DataAll!$AT$2:$AT$556,MATCH(LOWER(Data!A556),LOWER(DataAll!$AS$2:$AS$556),0))</f>
        <v>12.17</v>
      </c>
      <c r="P556" cm="1">
        <f t="array" ref="P556">INDEX(DataAll!$AU$2:$AU$556,MATCH(LOWER(Data!A556),LOWER(DataAll!$AS$2:$AS$556),0))</f>
        <v>11.67</v>
      </c>
      <c r="Q556" cm="1">
        <f t="array" ref="Q556">INDEX(DataAll!$AX$2:$AX$556,MATCH(LOWER(Data!A556),LOWER(DataAll!$AW$2:$AW$556),0))</f>
        <v>69.7</v>
      </c>
      <c r="R556" cm="1">
        <f t="array" ref="R556">INDEX('Longitude and Latitude'!$B$2:$B$579,MATCH(LOWER(Data!A556),LOWER('Longitude and Latitude'!$A$2:$A$579),0))</f>
        <v>-7.1022319999999999</v>
      </c>
      <c r="S556" cm="1">
        <f t="array" ref="S556">INDEX('Longitude and Latitude'!$C$2:$C$579,MATCH(LOWER(Data!A556),LOWER('Longitude and Latitude'!$A$2:$A$579),0))</f>
        <v>139.39639299999999</v>
      </c>
      <c r="T556" t="b">
        <f>IF(EXACT(A556, UPPER(A556)), TRUE, FALSE)</f>
        <v>0</v>
      </c>
    </row>
    <row r="557" spans="1:20" x14ac:dyDescent="0.35">
      <c r="A557" t="s">
        <v>545</v>
      </c>
      <c r="B557" t="s">
        <v>548</v>
      </c>
      <c r="C557" t="e" cm="1">
        <f t="array" ref="C557">INDEX(DataAll!$E$2:$E$555,MATCH(LOWER(Data!A557),LOWER(DataAll!$D$2:$D$555),0))</f>
        <v>#N/A</v>
      </c>
      <c r="D557" t="e" cm="1">
        <f t="array" ref="D557">INDEX(DataAll!$H$2:$H$579,MATCH(LOWER(Data!A557),LOWER(DataAll!$G$2:$G$555),0))</f>
        <v>#N/A</v>
      </c>
      <c r="E557" t="e" cm="1">
        <f t="array" ref="E557">INDEX(DataAll!$K$2:$K$579,MATCH(LOWER(Data!A557),LOWER(DataAll!$J$2:$J$555),0))</f>
        <v>#N/A</v>
      </c>
      <c r="F557" t="e" cm="1">
        <f t="array" ref="F557">INDEX(DataAll!$N$2:$N$555,MATCH(LOWER(Data!A557),LOWER(DataAll!$M$2:$M$555),0))</f>
        <v>#N/A</v>
      </c>
      <c r="G557" t="e" cm="1">
        <f t="array" ref="G557">INDEX(DataAll!$Q$2:$Q$555,MATCH(LOWER(Data!A557),LOWER(DataAll!$P$2:$P$555),0))</f>
        <v>#N/A</v>
      </c>
      <c r="H557" t="e" cm="1">
        <f t="array" ref="H557">INDEX(DataAll!$T$2:$T$555,MATCH(LOWER(Data!A557),LOWER(DataAll!$S$2:$S$555),0))</f>
        <v>#N/A</v>
      </c>
      <c r="I557" t="e" cm="1">
        <f t="array" ref="I557">INDEX(DataAll!$W$2:$W$555,MATCH(LOWER(Data!A557),LOWER(DataAll!$V$2:$V$555),0))</f>
        <v>#N/A</v>
      </c>
      <c r="J557" t="e" cm="1">
        <f t="array" ref="J557">INDEX(DataAll!$Z$2:$Z$555,MATCH(LOWER(Data!A557),LOWER(DataAll!$Y$2:$Y$555),0))</f>
        <v>#N/A</v>
      </c>
      <c r="K557" t="e" cm="1">
        <f t="array" ref="K557">INDEX(DataAll!$AM$2:$AM$555,MATCH(LOWER(Data!A557),LOWER(DataAll!$AL$2:$AL$555),0))</f>
        <v>#N/A</v>
      </c>
      <c r="L557" t="e" cm="1">
        <f t="array" ref="L557">INDEX(DataAll!$AJ$2:$AJ$555,MATCH(LOWER(Data!A557),LOWER(DataAll!$AI$2:$AI$555),0))</f>
        <v>#N/A</v>
      </c>
      <c r="M557" t="e" cm="1">
        <f t="array" ref="M557">INDEX(DataAll!$AP$2:$AP$555,MATCH(LOWER(Data!A557),LOWER(DataAll!$AO$2:$AO$555),0))</f>
        <v>#N/A</v>
      </c>
      <c r="N557" t="e" cm="1">
        <f t="array" ref="N557">INDEX(DataAll!$AQ$2:$AQ$555,MATCH(LOWER(Data!A557),LOWER(DataAll!$AO$2:$AO$555),0))</f>
        <v>#N/A</v>
      </c>
      <c r="O557" t="e" cm="1">
        <f t="array" ref="O557">INDEX(DataAll!$AT$2:$AT$555,MATCH(LOWER(Data!A557),LOWER(DataAll!$AS$2:$AS$555),0))</f>
        <v>#N/A</v>
      </c>
      <c r="P557" t="e" cm="1">
        <f t="array" ref="P557">INDEX(DataAll!$AU$2:$AU$555,MATCH(LOWER(Data!A557),LOWER(DataAll!$AS$2:$AS$555),0))</f>
        <v>#N/A</v>
      </c>
      <c r="Q557" t="e" cm="1">
        <f t="array" ref="Q557">INDEX(DataAll!$AX$2:$AX$556,MATCH(LOWER(Data!A557),LOWER(DataAll!$AW$2:$AW$556),0))</f>
        <v>#N/A</v>
      </c>
      <c r="R557" cm="1">
        <f t="array" ref="R557">INDEX('Longitude and Latitude'!$B$2:$B$579,MATCH(LOWER(Data!A557),LOWER('Longitude and Latitude'!$A$2:$A$579),0))</f>
        <v>-5.0573958000000001</v>
      </c>
      <c r="S557" cm="1">
        <f t="array" ref="S557">INDEX('Longitude and Latitude'!$C$2:$C$579,MATCH(LOWER(Data!A557),LOWER('Longitude and Latitude'!$A$2:$A$579),0))</f>
        <v>138.3988186</v>
      </c>
      <c r="T557" t="b">
        <f>IF(EXACT(A557, UPPER(A557)), TRUE, FALSE)</f>
        <v>1</v>
      </c>
    </row>
    <row r="558" spans="1:20" x14ac:dyDescent="0.35">
      <c r="A558" t="s">
        <v>516</v>
      </c>
      <c r="C558" cm="1">
        <f t="array" ref="C558">INDEX(DataAll!$E$2:$E$555,MATCH(LOWER(Data!A558),LOWER(DataAll!$D$2:$D$555),0))</f>
        <v>58.74</v>
      </c>
      <c r="D558" cm="1">
        <f t="array" ref="D558">INDEX(DataAll!$H$2:$H$579,MATCH(LOWER(Data!A558),LOWER(DataAll!$G$2:$G$555),0))</f>
        <v>0.496</v>
      </c>
      <c r="E558" cm="1">
        <f t="array" ref="E558">INDEX(DataAll!$K$2:$K$579,MATCH(LOWER(Data!A558),LOWER(DataAll!$J$2:$J$555),0))</f>
        <v>6.67</v>
      </c>
      <c r="F558" cm="1">
        <f t="array" ref="F558">INDEX(DataAll!$N$2:$N$555,MATCH(LOWER(Data!A558),LOWER(DataAll!$M$2:$M$555),0))</f>
        <v>42.12</v>
      </c>
      <c r="G558" cm="1">
        <f t="array" ref="G558">INDEX(DataAll!$Q$2:$Q$555,MATCH(LOWER(Data!A558),LOWER(DataAll!$P$2:$P$555),0))</f>
        <v>23.02</v>
      </c>
      <c r="H558" cm="1">
        <f t="array" ref="H558">INDEX(DataAll!$T$2:$T$555,MATCH(LOWER(Data!A558),LOWER(DataAll!$S$2:$S$555),0))</f>
        <v>0.28699999999999998</v>
      </c>
      <c r="I558" cm="1">
        <f t="array" ref="I558">INDEX(DataAll!$W$2:$W$555,MATCH(LOWER(Data!A558),LOWER(DataAll!$V$2:$V$555),0))</f>
        <v>37.26</v>
      </c>
      <c r="J558" cm="1">
        <f t="array" ref="J558">INDEX(DataAll!$Z$2:$Z$555,MATCH(LOWER(Data!A558),LOWER(DataAll!$Y$2:$Y$555),0))</f>
        <v>2.74</v>
      </c>
      <c r="K558" cm="1">
        <f t="array" ref="K558">INDEX(DataAll!$AM$2:$AM$555,MATCH(LOWER(Data!A558),LOWER(DataAll!$AL$2:$AL$555),0))</f>
        <v>10.01</v>
      </c>
      <c r="L558" cm="1">
        <f t="array" ref="L558">INDEX(DataAll!$AJ$2:$AJ$555,MATCH(LOWER(Data!A558),LOWER(DataAll!$AI$2:$AI$555),0))</f>
        <v>31.15</v>
      </c>
      <c r="M558" cm="1">
        <f t="array" ref="M558">INDEX(DataAll!$AP$2:$AP$555,MATCH(LOWER(Data!A558),LOWER(DataAll!$AO$2:$AO$555),0))</f>
        <v>65.66</v>
      </c>
      <c r="N558" cm="1">
        <f t="array" ref="N558">INDEX(DataAll!$AQ$2:$AQ$555,MATCH(LOWER(Data!A558),LOWER(DataAll!$AO$2:$AO$555),0))</f>
        <v>69.63</v>
      </c>
      <c r="O558" cm="1">
        <f t="array" ref="O558">INDEX(DataAll!$AT$2:$AT$555,MATCH(LOWER(Data!A558),LOWER(DataAll!$AS$2:$AS$555),0))</f>
        <v>9.27</v>
      </c>
      <c r="P558" cm="1">
        <f t="array" ref="P558">INDEX(DataAll!$AU$2:$AU$555,MATCH(LOWER(Data!A558),LOWER(DataAll!$AS$2:$AS$555),0))</f>
        <v>9</v>
      </c>
      <c r="Q558" cm="1">
        <f t="array" ref="Q558">INDEX(DataAll!$AX$2:$AX$556,MATCH(LOWER(Data!A558),LOWER(DataAll!$AW$2:$AW$556),0))</f>
        <v>52.55</v>
      </c>
      <c r="R558" cm="1">
        <f t="array" ref="R558">INDEX('Longitude and Latitude'!$B$2:$B$579,MATCH(LOWER(Data!A558),LOWER('Longitude and Latitude'!$A$2:$A$579),0))</f>
        <v>-2.5329999999999999</v>
      </c>
      <c r="S558" cm="1">
        <f t="array" ref="S558">INDEX('Longitude and Latitude'!$C$2:$C$579,MATCH(LOWER(Data!A558),LOWER('Longitude and Latitude'!$A$2:$A$579),0))</f>
        <v>140.71700000000001</v>
      </c>
      <c r="T558" t="b">
        <f>IF(EXACT(A558, UPPER(A558)), TRUE, FALSE)</f>
        <v>0</v>
      </c>
    </row>
    <row r="559" spans="1:20" x14ac:dyDescent="0.35">
      <c r="A559" t="s">
        <v>525</v>
      </c>
      <c r="C559" cm="1">
        <f t="array" ref="C559">INDEX(DataAll!$E$2:$E$555,MATCH(LOWER(Data!A559),LOWER(DataAll!$D$2:$D$555),0))</f>
        <v>52.35</v>
      </c>
      <c r="D559" cm="1">
        <f t="array" ref="D559">INDEX(DataAll!$H$2:$H$579,MATCH(LOWER(Data!A559),LOWER(DataAll!$G$2:$G$555),0))</f>
        <v>0.52900000000000003</v>
      </c>
      <c r="E559" cm="1">
        <f t="array" ref="E559">INDEX(DataAll!$K$2:$K$579,MATCH(LOWER(Data!A559),LOWER(DataAll!$J$2:$J$555),0))</f>
        <v>5</v>
      </c>
      <c r="F559" cm="1">
        <f t="array" ref="F559">INDEX(DataAll!$N$2:$N$555,MATCH(LOWER(Data!A559),LOWER(DataAll!$M$2:$M$555),0))</f>
        <v>35.81</v>
      </c>
      <c r="G559" cm="1">
        <f t="array" ref="G559">INDEX(DataAll!$Q$2:$Q$555,MATCH(LOWER(Data!A559),LOWER(DataAll!$P$2:$P$555),0))</f>
        <v>39.130000000000003</v>
      </c>
      <c r="H559" cm="1">
        <f t="array" ref="H559">INDEX(DataAll!$T$2:$T$555,MATCH(LOWER(Data!A559),LOWER(DataAll!$S$2:$S$555),0))</f>
        <v>0.27600000000000002</v>
      </c>
      <c r="I559" cm="1">
        <f t="array" ref="I559">INDEX(DataAll!$W$2:$W$555,MATCH(LOWER(Data!A559),LOWER(DataAll!$V$2:$V$555),0))</f>
        <v>35.869999999999997</v>
      </c>
      <c r="J559" cm="1">
        <f t="array" ref="J559">INDEX(DataAll!$Z$2:$Z$555,MATCH(LOWER(Data!A559),LOWER(DataAll!$Y$2:$Y$555),0))</f>
        <v>3.51</v>
      </c>
      <c r="K559" cm="1">
        <f t="array" ref="K559">INDEX(DataAll!$AM$2:$AM$555,MATCH(LOWER(Data!A559),LOWER(DataAll!$AL$2:$AL$555),0))</f>
        <v>19.8</v>
      </c>
      <c r="L559" cm="1">
        <f t="array" ref="L559">INDEX(DataAll!$AJ$2:$AJ$555,MATCH(LOWER(Data!A559),LOWER(DataAll!$AI$2:$AI$555),0))</f>
        <v>46.72</v>
      </c>
      <c r="M559" cm="1">
        <f t="array" ref="M559">INDEX(DataAll!$AP$2:$AP$555,MATCH(LOWER(Data!A559),LOWER(DataAll!$AO$2:$AO$555),0))</f>
        <v>59.17</v>
      </c>
      <c r="N559" cm="1">
        <f t="array" ref="N559">INDEX(DataAll!$AQ$2:$AQ$555,MATCH(LOWER(Data!A559),LOWER(DataAll!$AO$2:$AO$555),0))</f>
        <v>62.86</v>
      </c>
      <c r="O559" cm="1">
        <f t="array" ref="O559">INDEX(DataAll!$AT$2:$AT$555,MATCH(LOWER(Data!A559),LOWER(DataAll!$AS$2:$AS$555),0))</f>
        <v>9.61</v>
      </c>
      <c r="P559" cm="1">
        <f t="array" ref="P559">INDEX(DataAll!$AU$2:$AU$555,MATCH(LOWER(Data!A559),LOWER(DataAll!$AS$2:$AS$555),0))</f>
        <v>8.68</v>
      </c>
      <c r="Q559" cm="1">
        <f t="array" ref="Q559">INDEX(DataAll!$AX$2:$AX$556,MATCH(LOWER(Data!A559),LOWER(DataAll!$AW$2:$AW$556),0))</f>
        <v>47.36</v>
      </c>
      <c r="R559" cm="1">
        <f t="array" ref="R559">INDEX('Longitude and Latitude'!$B$2:$B$579,MATCH(LOWER(Data!A559),LOWER('Longitude and Latitude'!$A$2:$A$579),0))</f>
        <v>-5.0573958000000001</v>
      </c>
      <c r="S559" cm="1">
        <f t="array" ref="S559">INDEX('Longitude and Latitude'!$C$2:$C$579,MATCH(LOWER(Data!A559),LOWER('Longitude and Latitude'!$A$2:$A$579),0))</f>
        <v>138.3988186</v>
      </c>
      <c r="T559" t="b">
        <f>IF(EXACT(A559, UPPER(A559)), TRUE, FALSE)</f>
        <v>0</v>
      </c>
    </row>
    <row r="560" spans="1:20" x14ac:dyDescent="0.35">
      <c r="A560" t="s">
        <v>526</v>
      </c>
      <c r="C560" cm="1">
        <f t="array" ref="C560">INDEX(DataAll!$E$2:$E$555,MATCH(LOWER(Data!A560),LOWER(DataAll!$D$2:$D$555),0))</f>
        <v>56.55</v>
      </c>
      <c r="D560" cm="1">
        <f t="array" ref="D560">INDEX(DataAll!$H$2:$H$579,MATCH(LOWER(Data!A560),LOWER(DataAll!$G$2:$G$555),0))</f>
        <v>0.63800000000000001</v>
      </c>
      <c r="E560" cm="1">
        <f t="array" ref="E560">INDEX(DataAll!$K$2:$K$579,MATCH(LOWER(Data!A560),LOWER(DataAll!$J$2:$J$555),0))</f>
        <v>8</v>
      </c>
      <c r="F560" cm="1">
        <f t="array" ref="F560">INDEX(DataAll!$N$2:$N$555,MATCH(LOWER(Data!A560),LOWER(DataAll!$M$2:$M$555),0))</f>
        <v>28.92</v>
      </c>
      <c r="G560" cm="1">
        <f t="array" ref="G560">INDEX(DataAll!$Q$2:$Q$555,MATCH(LOWER(Data!A560),LOWER(DataAll!$P$2:$P$555),0))</f>
        <v>48.88</v>
      </c>
      <c r="H560" cm="1">
        <f t="array" ref="H560">INDEX(DataAll!$T$2:$T$555,MATCH(LOWER(Data!A560),LOWER(DataAll!$S$2:$S$555),0))</f>
        <v>0.374</v>
      </c>
      <c r="I560" cm="1">
        <f t="array" ref="I560">INDEX(DataAll!$W$2:$W$555,MATCH(LOWER(Data!A560),LOWER(DataAll!$V$2:$V$555),0))</f>
        <v>42.01</v>
      </c>
      <c r="J560" cm="1">
        <f t="array" ref="J560">INDEX(DataAll!$Z$2:$Z$555,MATCH(LOWER(Data!A560),LOWER(DataAll!$Y$2:$Y$555),0))</f>
        <v>3.85</v>
      </c>
      <c r="K560" cm="1">
        <f t="array" ref="K560">INDEX(DataAll!$AM$2:$AM$555,MATCH(LOWER(Data!A560),LOWER(DataAll!$AL$2:$AL$555),0))</f>
        <v>25.72</v>
      </c>
      <c r="L560" cm="1">
        <f t="array" ref="L560">INDEX(DataAll!$AJ$2:$AJ$555,MATCH(LOWER(Data!A560),LOWER(DataAll!$AI$2:$AI$555),0))</f>
        <v>61.39</v>
      </c>
      <c r="M560" cm="1">
        <f t="array" ref="M560">INDEX(DataAll!$AP$2:$AP$555,MATCH(LOWER(Data!A560),LOWER(DataAll!$AO$2:$AO$555),0))</f>
        <v>64.010000000000005</v>
      </c>
      <c r="N560" cm="1">
        <f t="array" ref="N560">INDEX(DataAll!$AQ$2:$AQ$555,MATCH(LOWER(Data!A560),LOWER(DataAll!$AO$2:$AO$555),0))</f>
        <v>67.89</v>
      </c>
      <c r="O560" cm="1">
        <f t="array" ref="O560">INDEX(DataAll!$AT$2:$AT$555,MATCH(LOWER(Data!A560),LOWER(DataAll!$AS$2:$AS$555),0))</f>
        <v>7.74</v>
      </c>
      <c r="P560" cm="1">
        <f t="array" ref="P560">INDEX(DataAll!$AU$2:$AU$555,MATCH(LOWER(Data!A560),LOWER(DataAll!$AS$2:$AS$555),0))</f>
        <v>6.15</v>
      </c>
      <c r="Q560" cm="1">
        <f t="array" ref="Q560">INDEX(DataAll!$AX$2:$AX$556,MATCH(LOWER(Data!A560),LOWER(DataAll!$AW$2:$AW$556),0))</f>
        <v>30.21</v>
      </c>
      <c r="R560" cm="1">
        <f t="array" ref="R560">INDEX('Longitude and Latitude'!$B$2:$B$579,MATCH(LOWER(Data!A560),LOWER('Longitude and Latitude'!$A$2:$A$579),0))</f>
        <v>-4.4939717000000003</v>
      </c>
      <c r="S560" cm="1">
        <f t="array" ref="S560">INDEX('Longitude and Latitude'!$C$2:$C$579,MATCH(LOWER(Data!A560),LOWER('Longitude and Latitude'!$A$2:$A$579),0))</f>
        <v>139.52799959999999</v>
      </c>
      <c r="T560" t="b">
        <f>IF(EXACT(A560, UPPER(A560)), TRUE, FALSE)</f>
        <v>0</v>
      </c>
    </row>
    <row r="561" spans="1:20" x14ac:dyDescent="0.35">
      <c r="A561" t="s">
        <v>527</v>
      </c>
      <c r="C561" cm="1">
        <f t="array" ref="C561">INDEX(DataAll!$E$2:$E$555,MATCH(LOWER(Data!A561),LOWER(DataAll!$D$2:$D$555),0))</f>
        <v>73.680000000000007</v>
      </c>
      <c r="D561" cm="1">
        <f t="array" ref="D561">INDEX(DataAll!$H$2:$H$579,MATCH(LOWER(Data!A561),LOWER(DataAll!$G$2:$G$555),0))</f>
        <v>0.47899999999999998</v>
      </c>
      <c r="E561" cm="1">
        <f t="array" ref="E561">INDEX(DataAll!$K$2:$K$579,MATCH(LOWER(Data!A561),LOWER(DataAll!$J$2:$J$555),0))</f>
        <v>32</v>
      </c>
      <c r="F561" cm="1">
        <f t="array" ref="F561">INDEX(DataAll!$N$2:$N$555,MATCH(LOWER(Data!A561),LOWER(DataAll!$M$2:$M$555),0))</f>
        <v>25.18</v>
      </c>
      <c r="G561" cm="1">
        <f t="array" ref="G561">INDEX(DataAll!$Q$2:$Q$555,MATCH(LOWER(Data!A561),LOWER(DataAll!$P$2:$P$555),0))</f>
        <v>42.88</v>
      </c>
      <c r="H561" cm="1">
        <f t="array" ref="H561">INDEX(DataAll!$T$2:$T$555,MATCH(LOWER(Data!A561),LOWER(DataAll!$S$2:$S$555),0))</f>
        <v>0.36599999999999999</v>
      </c>
      <c r="I561" cm="1">
        <f t="array" ref="I561">INDEX(DataAll!$W$2:$W$555,MATCH(LOWER(Data!A561),LOWER(DataAll!$V$2:$V$555),0))</f>
        <v>42.41</v>
      </c>
      <c r="J561" cm="1">
        <f t="array" ref="J561">INDEX(DataAll!$Z$2:$Z$555,MATCH(LOWER(Data!A561),LOWER(DataAll!$Y$2:$Y$555),0))</f>
        <v>4.22</v>
      </c>
      <c r="K561" cm="1">
        <f t="array" ref="K561">INDEX(DataAll!$AM$2:$AM$555,MATCH(LOWER(Data!A561),LOWER(DataAll!$AL$2:$AL$555),0))</f>
        <v>24.36</v>
      </c>
      <c r="L561" cm="1">
        <f t="array" ref="L561">INDEX(DataAll!$AJ$2:$AJ$555,MATCH(LOWER(Data!A561),LOWER(DataAll!$AI$2:$AI$555),0))</f>
        <v>57.03</v>
      </c>
      <c r="M561" cm="1">
        <f t="array" ref="M561">INDEX(DataAll!$AP$2:$AP$555,MATCH(LOWER(Data!A561),LOWER(DataAll!$AO$2:$AO$555),0))</f>
        <v>57.44</v>
      </c>
      <c r="N561" cm="1">
        <f t="array" ref="N561">INDEX(DataAll!$AQ$2:$AQ$555,MATCH(LOWER(Data!A561),LOWER(DataAll!$AO$2:$AO$555),0))</f>
        <v>61.03</v>
      </c>
      <c r="O561" cm="1">
        <f t="array" ref="O561">INDEX(DataAll!$AT$2:$AT$555,MATCH(LOWER(Data!A561),LOWER(DataAll!$AS$2:$AS$555),0))</f>
        <v>6.6</v>
      </c>
      <c r="P561" cm="1">
        <f t="array" ref="P561">INDEX(DataAll!$AU$2:$AU$555,MATCH(LOWER(Data!A561),LOWER(DataAll!$AS$2:$AS$555),0))</f>
        <v>4.83</v>
      </c>
      <c r="Q561" cm="1">
        <f t="array" ref="Q561">INDEX(DataAll!$AX$2:$AX$556,MATCH(LOWER(Data!A561),LOWER(DataAll!$AW$2:$AW$556),0))</f>
        <v>29.22</v>
      </c>
      <c r="R561" cm="1">
        <f t="array" ref="R561">INDEX('Longitude and Latitude'!$B$2:$B$579,MATCH(LOWER(Data!A561),LOWER('Longitude and Latitude'!$A$2:$A$579),0))</f>
        <v>-4.5589871999999998</v>
      </c>
      <c r="S561" cm="1">
        <f t="array" ref="S561">INDEX('Longitude and Latitude'!$C$2:$C$579,MATCH(LOWER(Data!A561),LOWER('Longitude and Latitude'!$A$2:$A$579),0))</f>
        <v>140.51355889999999</v>
      </c>
      <c r="T561" t="b">
        <f>IF(EXACT(A561, UPPER(A561)), TRUE, FALSE)</f>
        <v>0</v>
      </c>
    </row>
    <row r="562" spans="1:20" x14ac:dyDescent="0.35">
      <c r="A562" t="s">
        <v>546</v>
      </c>
      <c r="B562" t="s">
        <v>548</v>
      </c>
      <c r="C562" t="e" cm="1">
        <f t="array" ref="C562">INDEX(DataAll!$E$2:$E$555,MATCH(LOWER(Data!A562),LOWER(DataAll!$D$2:$D$555),0))</f>
        <v>#N/A</v>
      </c>
      <c r="D562" t="e" cm="1">
        <f t="array" ref="D562">INDEX(DataAll!$H$2:$H$579,MATCH(LOWER(Data!A562),LOWER(DataAll!$G$2:$G$555),0))</f>
        <v>#N/A</v>
      </c>
      <c r="E562" t="e" cm="1">
        <f t="array" ref="E562">INDEX(DataAll!$K$2:$K$579,MATCH(LOWER(Data!A562),LOWER(DataAll!$J$2:$J$555),0))</f>
        <v>#N/A</v>
      </c>
      <c r="F562" t="e" cm="1">
        <f t="array" ref="F562">INDEX(DataAll!$N$2:$N$555,MATCH(LOWER(Data!A562),LOWER(DataAll!$M$2:$M$555),0))</f>
        <v>#N/A</v>
      </c>
      <c r="G562" t="e" cm="1">
        <f t="array" ref="G562">INDEX(DataAll!$Q$2:$Q$555,MATCH(LOWER(Data!A562),LOWER(DataAll!$P$2:$P$555),0))</f>
        <v>#N/A</v>
      </c>
      <c r="H562" t="e" cm="1">
        <f t="array" ref="H562">INDEX(DataAll!$T$2:$T$555,MATCH(LOWER(Data!A562),LOWER(DataAll!$S$2:$S$555),0))</f>
        <v>#N/A</v>
      </c>
      <c r="I562" t="e" cm="1">
        <f t="array" ref="I562">INDEX(DataAll!$W$2:$W$555,MATCH(LOWER(Data!A562),LOWER(DataAll!$V$2:$V$555),0))</f>
        <v>#N/A</v>
      </c>
      <c r="J562" t="e" cm="1">
        <f t="array" ref="J562">INDEX(DataAll!$Z$2:$Z$555,MATCH(LOWER(Data!A562),LOWER(DataAll!$Y$2:$Y$555),0))</f>
        <v>#N/A</v>
      </c>
      <c r="K562" t="e" cm="1">
        <f t="array" ref="K562">INDEX(DataAll!$AM$2:$AM$555,MATCH(LOWER(Data!A562),LOWER(DataAll!$AL$2:$AL$555),0))</f>
        <v>#N/A</v>
      </c>
      <c r="L562" t="e" cm="1">
        <f t="array" ref="L562">INDEX(DataAll!$AJ$2:$AJ$555,MATCH(LOWER(Data!A562),LOWER(DataAll!$AI$2:$AI$555),0))</f>
        <v>#N/A</v>
      </c>
      <c r="M562" t="e" cm="1">
        <f t="array" ref="M562">INDEX(DataAll!$AP$2:$AP$555,MATCH(LOWER(Data!A562),LOWER(DataAll!$AO$2:$AO$555),0))</f>
        <v>#N/A</v>
      </c>
      <c r="N562" t="e" cm="1">
        <f t="array" ref="N562">INDEX(DataAll!$AQ$2:$AQ$555,MATCH(LOWER(Data!A562),LOWER(DataAll!$AO$2:$AO$555),0))</f>
        <v>#N/A</v>
      </c>
      <c r="O562" t="e" cm="1">
        <f t="array" ref="O562">INDEX(DataAll!$AT$2:$AT$555,MATCH(LOWER(Data!A562),LOWER(DataAll!$AS$2:$AS$555),0))</f>
        <v>#N/A</v>
      </c>
      <c r="P562" t="e" cm="1">
        <f t="array" ref="P562">INDEX(DataAll!$AU$2:$AU$555,MATCH(LOWER(Data!A562),LOWER(DataAll!$AS$2:$AS$555),0))</f>
        <v>#N/A</v>
      </c>
      <c r="Q562" t="e" cm="1">
        <f t="array" ref="Q562">INDEX(DataAll!$AX$2:$AX$556,MATCH(LOWER(Data!A562),LOWER(DataAll!$AW$2:$AW$556),0))</f>
        <v>#N/A</v>
      </c>
      <c r="R562" cm="1">
        <f t="array" ref="R562">INDEX('Longitude and Latitude'!$B$2:$B$579,MATCH(LOWER(Data!A562),LOWER('Longitude and Latitude'!$A$2:$A$579),0))</f>
        <v>-3.7876441000000001</v>
      </c>
      <c r="S562" cm="1">
        <f t="array" ref="S562">INDEX('Longitude and Latitude'!$C$2:$C$579,MATCH(LOWER(Data!A562),LOWER('Longitude and Latitude'!$A$2:$A$579),0))</f>
        <v>136.3624686</v>
      </c>
      <c r="T562" t="b">
        <f>IF(EXACT(A562, UPPER(A562)), TRUE, FALSE)</f>
        <v>1</v>
      </c>
    </row>
    <row r="563" spans="1:20" x14ac:dyDescent="0.35">
      <c r="A563" t="s">
        <v>524</v>
      </c>
      <c r="C563" cm="1">
        <f t="array" ref="C563">INDEX(DataAll!$E$2:$E$555,MATCH(LOWER(Data!A563),LOWER(DataAll!$D$2:$D$555),0))</f>
        <v>51.06</v>
      </c>
      <c r="D563" cm="1">
        <f t="array" ref="D563">INDEX(DataAll!$H$2:$H$579,MATCH(LOWER(Data!A563),LOWER(DataAll!$G$2:$G$555),0))</f>
        <v>0.51300000000000001</v>
      </c>
      <c r="E563" cm="1">
        <f t="array" ref="E563">INDEX(DataAll!$K$2:$K$579,MATCH(LOWER(Data!A563),LOWER(DataAll!$J$2:$J$555),0))</f>
        <v>5.88</v>
      </c>
      <c r="F563" cm="1">
        <f t="array" ref="F563">INDEX(DataAll!$N$2:$N$555,MATCH(LOWER(Data!A563),LOWER(DataAll!$M$2:$M$555),0))</f>
        <v>39.74</v>
      </c>
      <c r="G563" cm="1">
        <f t="array" ref="G563">INDEX(DataAll!$Q$2:$Q$555,MATCH(LOWER(Data!A563),LOWER(DataAll!$P$2:$P$555),0))</f>
        <v>28.76</v>
      </c>
      <c r="H563" cm="1">
        <f t="array" ref="H563">INDEX(DataAll!$T$2:$T$555,MATCH(LOWER(Data!A563),LOWER(DataAll!$S$2:$S$555),0))</f>
        <v>0.27</v>
      </c>
      <c r="I563" cm="1">
        <f t="array" ref="I563">INDEX(DataAll!$W$2:$W$555,MATCH(LOWER(Data!A563),LOWER(DataAll!$V$2:$V$555),0))</f>
        <v>23.24</v>
      </c>
      <c r="J563" cm="1">
        <f t="array" ref="J563">INDEX(DataAll!$Z$2:$Z$555,MATCH(LOWER(Data!A563),LOWER(DataAll!$Y$2:$Y$555),0))</f>
        <v>2.42</v>
      </c>
      <c r="K563" cm="1">
        <f t="array" ref="K563">INDEX(DataAll!$AM$2:$AM$555,MATCH(LOWER(Data!A563),LOWER(DataAll!$AL$2:$AL$555),0))</f>
        <v>13.55</v>
      </c>
      <c r="L563" cm="1">
        <f t="array" ref="L563">INDEX(DataAll!$AJ$2:$AJ$555,MATCH(LOWER(Data!A563),LOWER(DataAll!$AI$2:$AI$555),0))</f>
        <v>32.130000000000003</v>
      </c>
      <c r="M563" cm="1">
        <f t="array" ref="M563">INDEX(DataAll!$AP$2:$AP$555,MATCH(LOWER(Data!A563),LOWER(DataAll!$AO$2:$AO$555),0))</f>
        <v>70.86</v>
      </c>
      <c r="N563" cm="1">
        <f t="array" ref="N563">INDEX(DataAll!$AQ$2:$AQ$555,MATCH(LOWER(Data!A563),LOWER(DataAll!$AO$2:$AO$555),0))</f>
        <v>74.900000000000006</v>
      </c>
      <c r="O563" cm="1">
        <f t="array" ref="O563">INDEX(DataAll!$AT$2:$AT$555,MATCH(LOWER(Data!A563),LOWER(DataAll!$AS$2:$AS$555),0))</f>
        <v>10.63</v>
      </c>
      <c r="P563" cm="1">
        <f t="array" ref="P563">INDEX(DataAll!$AU$2:$AU$555,MATCH(LOWER(Data!A563),LOWER(DataAll!$AS$2:$AS$555),0))</f>
        <v>10.17</v>
      </c>
      <c r="Q563" cm="1">
        <f t="array" ref="Q563">INDEX(DataAll!$AX$2:$AX$556,MATCH(LOWER(Data!A563),LOWER(DataAll!$AW$2:$AW$556),0))</f>
        <v>57.44</v>
      </c>
      <c r="R563" cm="1">
        <f t="array" ref="R563">INDEX('Longitude and Latitude'!$B$2:$B$579,MATCH(LOWER(Data!A563),LOWER('Longitude and Latitude'!$A$2:$A$579),0))</f>
        <v>-7.1022319999999999</v>
      </c>
      <c r="S563" cm="1">
        <f t="array" ref="S563">INDEX('Longitude and Latitude'!$C$2:$C$579,MATCH(LOWER(Data!A563),LOWER('Longitude and Latitude'!$A$2:$A$579),0))</f>
        <v>139.39639299999999</v>
      </c>
      <c r="T563" t="b">
        <f>IF(EXACT(A563, UPPER(A563)), TRUE, FALSE)</f>
        <v>0</v>
      </c>
    </row>
    <row r="564" spans="1:20" x14ac:dyDescent="0.35">
      <c r="A564" t="s">
        <v>541</v>
      </c>
      <c r="C564" cm="1">
        <f t="array" ref="C564">INDEX(DataAll!$E$2:$E$555,MATCH(LOWER(Data!A564),LOWER(DataAll!$D$2:$D$555),0))</f>
        <v>51.83</v>
      </c>
      <c r="D564" cm="1">
        <f t="array" ref="D564">INDEX(DataAll!$H$2:$H$579,MATCH(LOWER(Data!A564),LOWER(DataAll!$G$2:$G$555),0))</f>
        <v>0.69299999999999995</v>
      </c>
      <c r="F564" cm="1">
        <f t="array" ref="F564">INDEX(DataAll!$N$2:$N$555,MATCH(LOWER(Data!A564),LOWER(DataAll!$M$2:$M$555),0))</f>
        <v>47.29</v>
      </c>
      <c r="G564" cm="1">
        <f t="array" ref="G564">INDEX(DataAll!$Q$2:$Q$555,MATCH(LOWER(Data!A564),LOWER(DataAll!$P$2:$P$555),0))</f>
        <v>67.17</v>
      </c>
      <c r="H564" cm="1">
        <f t="array" ref="H564">INDEX(DataAll!$T$2:$T$555,MATCH(LOWER(Data!A564),LOWER(DataAll!$S$2:$S$555),0))</f>
        <v>0.28799999999999998</v>
      </c>
      <c r="I564" cm="1">
        <f t="array" ref="I564">INDEX(DataAll!$W$2:$W$555,MATCH(LOWER(Data!A564),LOWER(DataAll!$V$2:$V$555),0))</f>
        <v>41.33</v>
      </c>
      <c r="J564" cm="1">
        <f t="array" ref="J564">INDEX(DataAll!$Z$2:$Z$555,MATCH(LOWER(Data!A564),LOWER(DataAll!$Y$2:$Y$555),0))</f>
        <v>3.28</v>
      </c>
      <c r="K564" cm="1">
        <f t="array" ref="K564">INDEX(DataAll!$AM$2:$AM$555,MATCH(LOWER(Data!A564),LOWER(DataAll!$AL$2:$AL$555),0))</f>
        <v>29.2</v>
      </c>
      <c r="L564" cm="1">
        <f t="array" ref="L564">INDEX(DataAll!$AJ$2:$AJ$555,MATCH(LOWER(Data!A564),LOWER(DataAll!$AI$2:$AI$555),0))</f>
        <v>60.34</v>
      </c>
      <c r="M564" cm="1">
        <f t="array" ref="M564">INDEX(DataAll!$AP$2:$AP$555,MATCH(LOWER(Data!A564),LOWER(DataAll!$AO$2:$AO$555),0))</f>
        <v>64.48</v>
      </c>
      <c r="N564" cm="1">
        <f t="array" ref="N564">INDEX(DataAll!$AQ$2:$AQ$555,MATCH(LOWER(Data!A564),LOWER(DataAll!$AO$2:$AO$555),0))</f>
        <v>68.39</v>
      </c>
      <c r="O564" cm="1">
        <f t="array" ref="O564">INDEX(DataAll!$AT$2:$AT$555,MATCH(LOWER(Data!A564),LOWER(DataAll!$AS$2:$AS$555),0))</f>
        <v>5.45</v>
      </c>
      <c r="P564" cm="1">
        <f t="array" ref="P564">INDEX(DataAll!$AU$2:$AU$555,MATCH(LOWER(Data!A564),LOWER(DataAll!$AS$2:$AS$555),0))</f>
        <v>4.13</v>
      </c>
      <c r="Q564" cm="1">
        <f t="array" ref="Q564">INDEX(DataAll!$AX$2:$AX$556,MATCH(LOWER(Data!A564),LOWER(DataAll!$AW$2:$AW$556),0))</f>
        <v>11.05</v>
      </c>
      <c r="R564" cm="1">
        <f t="array" ref="R564">INDEX('Longitude and Latitude'!$B$2:$B$579,MATCH(LOWER(Data!A564),LOWER('Longitude and Latitude'!$A$2:$A$579),0))</f>
        <v>-2.5329999999999999</v>
      </c>
      <c r="S564" cm="1">
        <f t="array" ref="S564">INDEX('Longitude and Latitude'!$C$2:$C$579,MATCH(LOWER(Data!A564),LOWER('Longitude and Latitude'!$A$2:$A$579),0))</f>
        <v>140.71700000000001</v>
      </c>
      <c r="T564" t="b">
        <f>IF(EXACT(A564, UPPER(A564)), TRUE, FALSE)</f>
        <v>0</v>
      </c>
    </row>
    <row r="565" spans="1:20" x14ac:dyDescent="0.35">
      <c r="A565" t="s">
        <v>543</v>
      </c>
      <c r="C565" cm="1">
        <f t="array" ref="C565">INDEX(DataAll!$E$2:$E$555,MATCH(LOWER(Data!A565),LOWER(DataAll!$D$2:$D$555),0))</f>
        <v>49.7</v>
      </c>
      <c r="D565" cm="1">
        <f t="array" ref="D565">INDEX(DataAll!$H$2:$H$579,MATCH(LOWER(Data!A565),LOWER(DataAll!$G$2:$G$555),0))</f>
        <v>0.879</v>
      </c>
      <c r="F565" cm="1">
        <f t="array" ref="F565">INDEX(DataAll!$N$2:$N$555,MATCH(LOWER(Data!A565),LOWER(DataAll!$M$2:$M$555),0))</f>
        <v>36.270000000000003</v>
      </c>
      <c r="G565" cm="1">
        <f t="array" ref="G565">INDEX(DataAll!$Q$2:$Q$555,MATCH(LOWER(Data!A565),LOWER(DataAll!$P$2:$P$555),0))</f>
        <v>66.760000000000005</v>
      </c>
      <c r="H565" cm="1">
        <f t="array" ref="H565">INDEX(DataAll!$T$2:$T$555,MATCH(LOWER(Data!A565),LOWER(DataAll!$S$2:$S$555),0))</f>
        <v>0.161</v>
      </c>
      <c r="I565" cm="1">
        <f t="array" ref="I565">INDEX(DataAll!$W$2:$W$555,MATCH(LOWER(Data!A565),LOWER(DataAll!$V$2:$V$555),0))</f>
        <v>56.9</v>
      </c>
      <c r="J565" cm="1">
        <f t="array" ref="J565">INDEX(DataAll!$Z$2:$Z$555,MATCH(LOWER(Data!A565),LOWER(DataAll!$Y$2:$Y$555),0))</f>
        <v>3.34</v>
      </c>
      <c r="K565" cm="1">
        <f t="array" ref="K565">INDEX(DataAll!$AM$2:$AM$555,MATCH(LOWER(Data!A565),LOWER(DataAll!$AL$2:$AL$555),0))</f>
        <v>38.659999999999997</v>
      </c>
      <c r="L565" cm="1">
        <f t="array" ref="L565">INDEX(DataAll!$AJ$2:$AJ$555,MATCH(LOWER(Data!A565),LOWER(DataAll!$AI$2:$AI$555),0))</f>
        <v>60.34</v>
      </c>
      <c r="M565" cm="1">
        <f t="array" ref="M565">INDEX(DataAll!$AP$2:$AP$555,MATCH(LOWER(Data!A565),LOWER(DataAll!$AO$2:$AO$555),0))</f>
        <v>64.040000000000006</v>
      </c>
      <c r="N565" cm="1">
        <f t="array" ref="N565">INDEX(DataAll!$AQ$2:$AQ$555,MATCH(LOWER(Data!A565),LOWER(DataAll!$AO$2:$AO$555),0))</f>
        <v>67.92</v>
      </c>
      <c r="O565" cm="1">
        <f t="array" ref="O565">INDEX(DataAll!$AT$2:$AT$555,MATCH(LOWER(Data!A565),LOWER(DataAll!$AS$2:$AS$555),0))</f>
        <v>4.4000000000000004</v>
      </c>
      <c r="P565" cm="1">
        <f t="array" ref="P565">INDEX(DataAll!$AU$2:$AU$555,MATCH(LOWER(Data!A565),LOWER(DataAll!$AS$2:$AS$555),0))</f>
        <v>1.83</v>
      </c>
      <c r="Q565" cm="1">
        <f t="array" ref="Q565">INDEX(DataAll!$AX$2:$AX$556,MATCH(LOWER(Data!A565),LOWER(DataAll!$AW$2:$AW$556),0))</f>
        <v>3.23</v>
      </c>
      <c r="R565" cm="1">
        <f t="array" ref="R565">INDEX('Longitude and Latitude'!$B$2:$B$579,MATCH(LOWER(Data!A565),LOWER('Longitude and Latitude'!$A$2:$A$579),0))</f>
        <v>-5.7400017999999999</v>
      </c>
      <c r="S565" cm="1">
        <f t="array" ref="S565">INDEX('Longitude and Latitude'!$C$2:$C$579,MATCH(LOWER(Data!A565),LOWER('Longitude and Latitude'!$A$2:$A$579),0))</f>
        <v>140.3481835</v>
      </c>
      <c r="T565" t="b">
        <f>IF(EXACT(A565, UPPER(A565)), TRUE, FALSE)</f>
        <v>0</v>
      </c>
    </row>
    <row r="566" spans="1:20" x14ac:dyDescent="0.35">
      <c r="A566" t="s">
        <v>519</v>
      </c>
      <c r="C566" cm="1">
        <f t="array" ref="C566">INDEX(DataAll!$E$2:$E$555,MATCH(LOWER(Data!A566),LOWER(DataAll!$D$2:$D$555),0))</f>
        <v>72.41</v>
      </c>
      <c r="D566" cm="1">
        <f t="array" ref="D566">INDEX(DataAll!$H$2:$H$579,MATCH(LOWER(Data!A566),LOWER(DataAll!$G$2:$G$555),0))</f>
        <v>0.496</v>
      </c>
      <c r="E566" cm="1">
        <f t="array" ref="E566">INDEX(DataAll!$K$2:$K$579,MATCH(LOWER(Data!A566),LOWER(DataAll!$J$2:$J$555),0))</f>
        <v>20</v>
      </c>
      <c r="F566" cm="1">
        <f t="array" ref="F566">INDEX(DataAll!$N$2:$N$555,MATCH(LOWER(Data!A566),LOWER(DataAll!$M$2:$M$555),0))</f>
        <v>38.659999999999997</v>
      </c>
      <c r="G566" cm="1">
        <f t="array" ref="G566">INDEX(DataAll!$Q$2:$Q$555,MATCH(LOWER(Data!A566),LOWER(DataAll!$P$2:$P$555),0))</f>
        <v>28.08</v>
      </c>
      <c r="H566" cm="1">
        <f t="array" ref="H566">INDEX(DataAll!$T$2:$T$555,MATCH(LOWER(Data!A566),LOWER(DataAll!$S$2:$S$555),0))</f>
        <v>0.34100000000000003</v>
      </c>
      <c r="I566" cm="1">
        <f t="array" ref="I566">INDEX(DataAll!$W$2:$W$555,MATCH(LOWER(Data!A566),LOWER(DataAll!$V$2:$V$555),0))</f>
        <v>35</v>
      </c>
      <c r="J566" cm="1">
        <f t="array" ref="J566">INDEX(DataAll!$Z$2:$Z$555,MATCH(LOWER(Data!A566),LOWER(DataAll!$Y$2:$Y$555),0))</f>
        <v>2.59</v>
      </c>
      <c r="K566" cm="1">
        <f t="array" ref="K566">INDEX(DataAll!$AM$2:$AM$555,MATCH(LOWER(Data!A566),LOWER(DataAll!$AL$2:$AL$555),0))</f>
        <v>23.35</v>
      </c>
      <c r="L566" cm="1">
        <f t="array" ref="L566">INDEX(DataAll!$AJ$2:$AJ$555,MATCH(LOWER(Data!A566),LOWER(DataAll!$AI$2:$AI$555),0))</f>
        <v>39.71</v>
      </c>
      <c r="M566" cm="1">
        <f t="array" ref="M566">INDEX(DataAll!$AP$2:$AP$555,MATCH(LOWER(Data!A566),LOWER(DataAll!$AO$2:$AO$555),0))</f>
        <v>66.790000000000006</v>
      </c>
      <c r="N566" cm="1">
        <f t="array" ref="N566">INDEX(DataAll!$AQ$2:$AQ$555,MATCH(LOWER(Data!A566),LOWER(DataAll!$AO$2:$AO$555),0))</f>
        <v>70.760000000000005</v>
      </c>
      <c r="O566" cm="1">
        <f t="array" ref="O566">INDEX(DataAll!$AT$2:$AT$555,MATCH(LOWER(Data!A566),LOWER(DataAll!$AS$2:$AS$555),0))</f>
        <v>10.56</v>
      </c>
      <c r="P566" cm="1">
        <f t="array" ref="P566">INDEX(DataAll!$AU$2:$AU$555,MATCH(LOWER(Data!A566),LOWER(DataAll!$AS$2:$AS$555),0))</f>
        <v>9.6999999999999993</v>
      </c>
      <c r="Q566" cm="1">
        <f t="array" ref="Q566">INDEX(DataAll!$AX$2:$AX$556,MATCH(LOWER(Data!A566),LOWER(DataAll!$AW$2:$AW$556),0))</f>
        <v>54.06</v>
      </c>
      <c r="R566" cm="1">
        <f t="array" ref="R566">INDEX('Longitude and Latitude'!$B$2:$B$579,MATCH(LOWER(Data!A566),LOWER('Longitude and Latitude'!$A$2:$A$579),0))</f>
        <v>-1.0381022</v>
      </c>
      <c r="S566" cm="1">
        <f t="array" ref="S566">INDEX('Longitude and Latitude'!$C$2:$C$579,MATCH(LOWER(Data!A566),LOWER('Longitude and Latitude'!$A$2:$A$579),0))</f>
        <v>135.98008479999999</v>
      </c>
      <c r="T566" t="b">
        <f>IF(EXACT(A566, UPPER(A566)), TRUE, FALSE)</f>
        <v>0</v>
      </c>
    </row>
    <row r="567" spans="1:20" x14ac:dyDescent="0.35">
      <c r="A567" t="s">
        <v>522</v>
      </c>
      <c r="C567" cm="1">
        <f t="array" ref="C567">INDEX(DataAll!$E$2:$E$555,MATCH(LOWER(Data!A567),LOWER(DataAll!$D$2:$D$555),0))</f>
        <v>40.200000000000003</v>
      </c>
      <c r="D567" cm="1">
        <f t="array" ref="D567">INDEX(DataAll!$H$2:$H$579,MATCH(LOWER(Data!A567),LOWER(DataAll!$G$2:$G$555),0))</f>
        <v>0.67400000000000004</v>
      </c>
      <c r="E567" cm="1">
        <f t="array" ref="E567">INDEX(DataAll!$K$2:$K$579,MATCH(LOWER(Data!A567),LOWER(DataAll!$J$2:$J$555),0))</f>
        <v>4</v>
      </c>
      <c r="F567" cm="1">
        <f t="array" ref="F567">INDEX(DataAll!$N$2:$N$555,MATCH(LOWER(Data!A567),LOWER(DataAll!$M$2:$M$555),0))</f>
        <v>12.45</v>
      </c>
      <c r="G567" cm="1">
        <f t="array" ref="G567">INDEX(DataAll!$Q$2:$Q$555,MATCH(LOWER(Data!A567),LOWER(DataAll!$P$2:$P$555),0))</f>
        <v>58.96</v>
      </c>
      <c r="H567" cm="1">
        <f t="array" ref="H567">INDEX(DataAll!$T$2:$T$555,MATCH(LOWER(Data!A567),LOWER(DataAll!$S$2:$S$555),0))</f>
        <v>0.312</v>
      </c>
      <c r="I567" cm="1">
        <f t="array" ref="I567">INDEX(DataAll!$W$2:$W$555,MATCH(LOWER(Data!A567),LOWER(DataAll!$V$2:$V$555),0))</f>
        <v>48.61</v>
      </c>
      <c r="J567" cm="1">
        <f t="array" ref="J567">INDEX(DataAll!$Z$2:$Z$555,MATCH(LOWER(Data!A567),LOWER(DataAll!$Y$2:$Y$555),0))</f>
        <v>2.69</v>
      </c>
      <c r="K567" cm="1">
        <f t="array" ref="K567">INDEX(DataAll!$AM$2:$AM$555,MATCH(LOWER(Data!A567),LOWER(DataAll!$AL$2:$AL$555),0))</f>
        <v>35.39</v>
      </c>
      <c r="L567" cm="1">
        <f t="array" ref="L567">INDEX(DataAll!$AJ$2:$AJ$555,MATCH(LOWER(Data!A567),LOWER(DataAll!$AI$2:$AI$555),0))</f>
        <v>41.48</v>
      </c>
      <c r="M567" cm="1">
        <f t="array" ref="M567">INDEX(DataAll!$AP$2:$AP$555,MATCH(LOWER(Data!A567),LOWER(DataAll!$AO$2:$AO$555),0))</f>
        <v>65.3</v>
      </c>
      <c r="N567" cm="1">
        <f t="array" ref="N567">INDEX(DataAll!$AQ$2:$AQ$555,MATCH(LOWER(Data!A567),LOWER(DataAll!$AO$2:$AO$555),0))</f>
        <v>69.25</v>
      </c>
      <c r="O567" cm="1">
        <f t="array" ref="O567">INDEX(DataAll!$AT$2:$AT$555,MATCH(LOWER(Data!A567),LOWER(DataAll!$AS$2:$AS$555),0))</f>
        <v>5.08</v>
      </c>
      <c r="P567" cm="1">
        <f t="array" ref="P567">INDEX(DataAll!$AU$2:$AU$555,MATCH(LOWER(Data!A567),LOWER(DataAll!$AS$2:$AS$555),0))</f>
        <v>3.46</v>
      </c>
      <c r="Q567" cm="1">
        <f t="array" ref="Q567">INDEX(DataAll!$AX$2:$AX$556,MATCH(LOWER(Data!A567),LOWER(DataAll!$AW$2:$AW$556),0))</f>
        <v>11.1</v>
      </c>
      <c r="R567" cm="1">
        <f t="array" ref="R567">INDEX('Longitude and Latitude'!$B$2:$B$579,MATCH(LOWER(Data!A567),LOWER('Longitude and Latitude'!$A$2:$A$579),0))</f>
        <v>-4.4553222999999997</v>
      </c>
      <c r="S567" cm="1">
        <f t="array" ref="S567">INDEX('Longitude and Latitude'!$C$2:$C$579,MATCH(LOWER(Data!A567),LOWER('Longitude and Latitude'!$A$2:$A$579),0))</f>
        <v>137.1362125</v>
      </c>
      <c r="T567" t="b">
        <f>IF(EXACT(A567, UPPER(A567)), TRUE, FALSE)</f>
        <v>0</v>
      </c>
    </row>
    <row r="568" spans="1:20" x14ac:dyDescent="0.35">
      <c r="A568" t="s">
        <v>542</v>
      </c>
      <c r="C568" cm="1">
        <f t="array" ref="C568">INDEX(DataAll!$E$2:$E$555,MATCH(LOWER(Data!A568),LOWER(DataAll!$D$2:$D$555),0))</f>
        <v>35.89</v>
      </c>
      <c r="D568" cm="1">
        <f t="array" ref="D568">INDEX(DataAll!$H$2:$H$579,MATCH(LOWER(Data!A568),LOWER(DataAll!$G$2:$G$555),0))</f>
        <v>0.88700000000000001</v>
      </c>
      <c r="F568" cm="1">
        <f t="array" ref="F568">INDEX(DataAll!$N$2:$N$555,MATCH(LOWER(Data!A568),LOWER(DataAll!$M$2:$M$555),0))</f>
        <v>18.760000000000002</v>
      </c>
      <c r="G568" cm="1">
        <f t="array" ref="G568">INDEX(DataAll!$Q$2:$Q$555,MATCH(LOWER(Data!A568),LOWER(DataAll!$P$2:$P$555),0))</f>
        <v>41.29</v>
      </c>
      <c r="H568" cm="1">
        <f t="array" ref="H568">INDEX(DataAll!$T$2:$T$555,MATCH(LOWER(Data!A568),LOWER(DataAll!$S$2:$S$555),0))</f>
        <v>0.48399999999999999</v>
      </c>
      <c r="I568" cm="1">
        <f t="array" ref="I568">INDEX(DataAll!$W$2:$W$555,MATCH(LOWER(Data!A568),LOWER(DataAll!$V$2:$V$555),0))</f>
        <v>65.069999999999993</v>
      </c>
      <c r="J568" cm="1">
        <f t="array" ref="J568">INDEX(DataAll!$Z$2:$Z$555,MATCH(LOWER(Data!A568),LOWER(DataAll!$Y$2:$Y$555),0))</f>
        <v>2.87</v>
      </c>
      <c r="K568" cm="1">
        <f t="array" ref="K568">INDEX(DataAll!$AM$2:$AM$555,MATCH(LOWER(Data!A568),LOWER(DataAll!$AL$2:$AL$555),0))</f>
        <v>40.01</v>
      </c>
      <c r="L568" cm="1">
        <f t="array" ref="L568">INDEX(DataAll!$AJ$2:$AJ$555,MATCH(LOWER(Data!A568),LOWER(DataAll!$AI$2:$AI$555),0))</f>
        <v>59.99</v>
      </c>
      <c r="M568" cm="1">
        <f t="array" ref="M568">INDEX(DataAll!$AP$2:$AP$555,MATCH(LOWER(Data!A568),LOWER(DataAll!$AO$2:$AO$555),0))</f>
        <v>64.22</v>
      </c>
      <c r="N568" cm="1">
        <f t="array" ref="N568">INDEX(DataAll!$AQ$2:$AQ$555,MATCH(LOWER(Data!A568),LOWER(DataAll!$AO$2:$AO$555),0))</f>
        <v>68.11</v>
      </c>
      <c r="O568" cm="1">
        <f t="array" ref="O568">INDEX(DataAll!$AT$2:$AT$555,MATCH(LOWER(Data!A568),LOWER(DataAll!$AS$2:$AS$555),0))</f>
        <v>4.76</v>
      </c>
      <c r="P568" cm="1">
        <f t="array" ref="P568">INDEX(DataAll!$AU$2:$AU$555,MATCH(LOWER(Data!A568),LOWER(DataAll!$AS$2:$AS$555),0))</f>
        <v>2.06</v>
      </c>
      <c r="Q568" cm="1">
        <f t="array" ref="Q568">INDEX(DataAll!$AX$2:$AX$556,MATCH(LOWER(Data!A568),LOWER(DataAll!$AW$2:$AW$556),0))</f>
        <v>2.3199999999999998</v>
      </c>
      <c r="R568" cm="1">
        <f t="array" ref="R568">INDEX('Longitude and Latitude'!$B$2:$B$579,MATCH(LOWER(Data!A568),LOWER('Longitude and Latitude'!$A$2:$A$579),0))</f>
        <v>-8.4960406000000006</v>
      </c>
      <c r="S568" cm="1">
        <f t="array" ref="S568">INDEX('Longitude and Latitude'!$C$2:$C$579,MATCH(LOWER(Data!A568),LOWER('Longitude and Latitude'!$A$2:$A$579),0))</f>
        <v>140.39455269999999</v>
      </c>
      <c r="T568" t="b">
        <f>IF(EXACT(A568, UPPER(A568)), TRUE, FALSE)</f>
        <v>0</v>
      </c>
    </row>
    <row r="569" spans="1:20" x14ac:dyDescent="0.35">
      <c r="A569" t="s">
        <v>540</v>
      </c>
      <c r="C569" cm="1">
        <f t="array" ref="C569">INDEX(DataAll!$E$2:$E$555,MATCH(LOWER(Data!A569),LOWER(DataAll!$D$2:$D$555),0))</f>
        <v>46.45</v>
      </c>
      <c r="D569" cm="1">
        <f t="array" ref="D569">INDEX(DataAll!$H$2:$H$579,MATCH(LOWER(Data!A569),LOWER(DataAll!$G$2:$G$555),0))</f>
        <v>0.69399999999999995</v>
      </c>
      <c r="E569" cm="1">
        <f t="array" ref="E569">INDEX(DataAll!$K$2:$K$579,MATCH(LOWER(Data!A569),LOWER(DataAll!$J$2:$J$555),0))</f>
        <v>4</v>
      </c>
      <c r="F569" cm="1">
        <f t="array" ref="F569">INDEX(DataAll!$N$2:$N$555,MATCH(LOWER(Data!A569),LOWER(DataAll!$M$2:$M$555),0))</f>
        <v>27.11</v>
      </c>
      <c r="G569" cm="1">
        <f t="array" ref="G569">INDEX(DataAll!$Q$2:$Q$555,MATCH(LOWER(Data!A569),LOWER(DataAll!$P$2:$P$555),0))</f>
        <v>47.27</v>
      </c>
      <c r="H569" cm="1">
        <f t="array" ref="H569">INDEX(DataAll!$T$2:$T$555,MATCH(LOWER(Data!A569),LOWER(DataAll!$S$2:$S$555),0))</f>
        <v>0.45400000000000001</v>
      </c>
      <c r="I569" cm="1">
        <f t="array" ref="I569">INDEX(DataAll!$W$2:$W$555,MATCH(LOWER(Data!A569),LOWER(DataAll!$V$2:$V$555),0))</f>
        <v>30.36</v>
      </c>
      <c r="J569" cm="1">
        <f t="array" ref="J569">INDEX(DataAll!$Z$2:$Z$555,MATCH(LOWER(Data!A569),LOWER(DataAll!$Y$2:$Y$555),0))</f>
        <v>2.77</v>
      </c>
      <c r="K569" cm="1">
        <f t="array" ref="K569">INDEX(DataAll!$AM$2:$AM$555,MATCH(LOWER(Data!A569),LOWER(DataAll!$AL$2:$AL$555),0))</f>
        <v>36.44</v>
      </c>
      <c r="L569" cm="1">
        <f t="array" ref="L569">INDEX(DataAll!$AJ$2:$AJ$555,MATCH(LOWER(Data!A569),LOWER(DataAll!$AI$2:$AI$555),0))</f>
        <v>59.99</v>
      </c>
      <c r="M569" cm="1">
        <f t="array" ref="M569">INDEX(DataAll!$AP$2:$AP$555,MATCH(LOWER(Data!A569),LOWER(DataAll!$AO$2:$AO$555),0))</f>
        <v>64.569999999999993</v>
      </c>
      <c r="N569" cm="1">
        <f t="array" ref="N569">INDEX(DataAll!$AQ$2:$AQ$555,MATCH(LOWER(Data!A569),LOWER(DataAll!$AO$2:$AO$555),0))</f>
        <v>68.400000000000006</v>
      </c>
      <c r="O569" cm="1">
        <f t="array" ref="O569">INDEX(DataAll!$AT$2:$AT$555,MATCH(LOWER(Data!A569),LOWER(DataAll!$AS$2:$AS$555),0))</f>
        <v>2.77</v>
      </c>
      <c r="P569" cm="1">
        <f t="array" ref="P569">INDEX(DataAll!$AU$2:$AU$555,MATCH(LOWER(Data!A569),LOWER(DataAll!$AS$2:$AS$555),0))</f>
        <v>1.37</v>
      </c>
      <c r="Q569" cm="1">
        <f t="array" ref="Q569">INDEX(DataAll!$AX$2:$AX$556,MATCH(LOWER(Data!A569),LOWER(DataAll!$AW$2:$AW$556),0))</f>
        <v>2.06</v>
      </c>
      <c r="R569" cm="1">
        <f t="array" ref="R569">INDEX('Longitude and Latitude'!$B$2:$B$579,MATCH(LOWER(Data!A569),LOWER('Longitude and Latitude'!$A$2:$A$579),0))</f>
        <v>-4.0974893000000003</v>
      </c>
      <c r="S569" cm="1">
        <f t="array" ref="S569">INDEX('Longitude and Latitude'!$C$2:$C$579,MATCH(LOWER(Data!A569),LOWER('Longitude and Latitude'!$A$2:$A$579),0))</f>
        <v>136.43930539999999</v>
      </c>
      <c r="T569" t="b">
        <f>IF(EXACT(A569, UPPER(A569)), TRUE, FALSE)</f>
        <v>0</v>
      </c>
    </row>
    <row r="570" spans="1:20" x14ac:dyDescent="0.35">
      <c r="A570" t="s">
        <v>523</v>
      </c>
      <c r="C570" cm="1">
        <f t="array" ref="C570">INDEX(DataAll!$E$2:$E$555,MATCH(LOWER(Data!A570),LOWER(DataAll!$D$2:$D$555),0))</f>
        <v>38.72</v>
      </c>
      <c r="D570" cm="1">
        <f t="array" ref="D570">INDEX(DataAll!$H$2:$H$579,MATCH(LOWER(Data!A570),LOWER(DataAll!$G$2:$G$555),0))</f>
        <v>0.52</v>
      </c>
      <c r="E570" cm="1">
        <f t="array" ref="E570">INDEX(DataAll!$K$2:$K$579,MATCH(LOWER(Data!A570),LOWER(DataAll!$J$2:$J$555),0))</f>
        <v>6.67</v>
      </c>
      <c r="F570" cm="1">
        <f t="array" ref="F570">INDEX(DataAll!$N$2:$N$555,MATCH(LOWER(Data!A570),LOWER(DataAll!$M$2:$M$555),0))</f>
        <v>6.07</v>
      </c>
      <c r="G570" cm="1">
        <f t="array" ref="G570">INDEX(DataAll!$Q$2:$Q$555,MATCH(LOWER(Data!A570),LOWER(DataAll!$P$2:$P$555),0))</f>
        <v>39.43</v>
      </c>
      <c r="H570" cm="1">
        <f t="array" ref="H570">INDEX(DataAll!$T$2:$T$555,MATCH(LOWER(Data!A570),LOWER(DataAll!$S$2:$S$555),0))</f>
        <v>0.21099999999999999</v>
      </c>
      <c r="I570" cm="1">
        <f t="array" ref="I570">INDEX(DataAll!$W$2:$W$555,MATCH(LOWER(Data!A570),LOWER(DataAll!$V$2:$V$555),0))</f>
        <v>44.45</v>
      </c>
      <c r="J570" cm="1">
        <f t="array" ref="J570">INDEX(DataAll!$Z$2:$Z$555,MATCH(LOWER(Data!A570),LOWER(DataAll!$Y$2:$Y$555),0))</f>
        <v>2.46</v>
      </c>
      <c r="K570" cm="1">
        <f t="array" ref="K570">INDEX(DataAll!$AM$2:$AM$555,MATCH(LOWER(Data!A570),LOWER(DataAll!$AL$2:$AL$555),0))</f>
        <v>35.6</v>
      </c>
      <c r="L570" cm="1">
        <f t="array" ref="L570">INDEX(DataAll!$AJ$2:$AJ$555,MATCH(LOWER(Data!A570),LOWER(DataAll!$AI$2:$AI$555),0))</f>
        <v>51.27</v>
      </c>
      <c r="M570" cm="1">
        <f t="array" ref="M570">INDEX(DataAll!$AP$2:$AP$555,MATCH(LOWER(Data!A570),LOWER(DataAll!$AO$2:$AO$555),0))</f>
        <v>64.010000000000005</v>
      </c>
      <c r="N570" cm="1">
        <f t="array" ref="N570">INDEX(DataAll!$AQ$2:$AQ$555,MATCH(LOWER(Data!A570),LOWER(DataAll!$AO$2:$AO$555),0))</f>
        <v>67.89</v>
      </c>
      <c r="O570" cm="1">
        <f t="array" ref="O570">INDEX(DataAll!$AT$2:$AT$555,MATCH(LOWER(Data!A570),LOWER(DataAll!$AS$2:$AS$555),0))</f>
        <v>5.59</v>
      </c>
      <c r="P570" cm="1">
        <f t="array" ref="P570">INDEX(DataAll!$AU$2:$AU$555,MATCH(LOWER(Data!A570),LOWER(DataAll!$AS$2:$AS$555),0))</f>
        <v>3.96</v>
      </c>
      <c r="Q570" cm="1">
        <f t="array" ref="Q570">INDEX(DataAll!$AX$2:$AX$556,MATCH(LOWER(Data!A570),LOWER(DataAll!$AW$2:$AW$556),0))</f>
        <v>20.92</v>
      </c>
      <c r="R570" cm="1">
        <f t="array" ref="R570">INDEX('Longitude and Latitude'!$B$2:$B$579,MATCH(LOWER(Data!A570),LOWER('Longitude and Latitude'!$A$2:$A$579),0))</f>
        <v>-5.7400017999999999</v>
      </c>
      <c r="S570" cm="1">
        <f t="array" ref="S570">INDEX('Longitude and Latitude'!$C$2:$C$579,MATCH(LOWER(Data!A570),LOWER('Longitude and Latitude'!$A$2:$A$579),0))</f>
        <v>140.3481835</v>
      </c>
      <c r="T570" t="b">
        <f>IF(EXACT(A570, UPPER(A570)), TRUE, FALSE)</f>
        <v>0</v>
      </c>
    </row>
    <row r="571" spans="1:20" x14ac:dyDescent="0.35">
      <c r="A571" t="s">
        <v>547</v>
      </c>
      <c r="B571" t="s">
        <v>548</v>
      </c>
      <c r="C571" t="e" cm="1">
        <f t="array" ref="C571">INDEX(DataAll!$E$2:$E$555,MATCH(LOWER(Data!A571),LOWER(DataAll!$D$2:$D$555),0))</f>
        <v>#N/A</v>
      </c>
      <c r="D571" t="e" cm="1">
        <f t="array" ref="D571">INDEX(DataAll!$H$2:$H$579,MATCH(LOWER(Data!A571),LOWER(DataAll!$G$2:$G$555),0))</f>
        <v>#N/A</v>
      </c>
      <c r="E571" t="e" cm="1">
        <f t="array" ref="E571">INDEX(DataAll!$K$2:$K$579,MATCH(LOWER(Data!A571),LOWER(DataAll!$J$2:$J$555),0))</f>
        <v>#N/A</v>
      </c>
      <c r="F571" t="e" cm="1">
        <f t="array" ref="F571">INDEX(DataAll!$N$2:$N$555,MATCH(LOWER(Data!A571),LOWER(DataAll!$M$2:$M$555),0))</f>
        <v>#N/A</v>
      </c>
      <c r="G571" t="e" cm="1">
        <f t="array" ref="G571">INDEX(DataAll!$Q$2:$Q$555,MATCH(LOWER(Data!A571),LOWER(DataAll!$P$2:$P$555),0))</f>
        <v>#N/A</v>
      </c>
      <c r="H571" t="e" cm="1">
        <f t="array" ref="H571">INDEX(DataAll!$T$2:$T$555,MATCH(LOWER(Data!A571),LOWER(DataAll!$S$2:$S$555),0))</f>
        <v>#N/A</v>
      </c>
      <c r="I571" t="e" cm="1">
        <f t="array" ref="I571">INDEX(DataAll!$W$2:$W$555,MATCH(LOWER(Data!A571),LOWER(DataAll!$V$2:$V$555),0))</f>
        <v>#N/A</v>
      </c>
      <c r="J571" t="e" cm="1">
        <f t="array" ref="J571">INDEX(DataAll!$Z$2:$Z$555,MATCH(LOWER(Data!A571),LOWER(DataAll!$Y$2:$Y$555),0))</f>
        <v>#N/A</v>
      </c>
      <c r="K571" t="e" cm="1">
        <f t="array" ref="K571">INDEX(DataAll!$AM$2:$AM$555,MATCH(LOWER(Data!A571),LOWER(DataAll!$AL$2:$AL$555),0))</f>
        <v>#N/A</v>
      </c>
      <c r="L571" t="e" cm="1">
        <f t="array" ref="L571">INDEX(DataAll!$AJ$2:$AJ$555,MATCH(LOWER(Data!A571),LOWER(DataAll!$AI$2:$AI$555),0))</f>
        <v>#N/A</v>
      </c>
      <c r="M571" t="e" cm="1">
        <f t="array" ref="M571">INDEX(DataAll!$AP$2:$AP$555,MATCH(LOWER(Data!A571),LOWER(DataAll!$AO$2:$AO$555),0))</f>
        <v>#N/A</v>
      </c>
      <c r="N571" t="e" cm="1">
        <f t="array" ref="N571">INDEX(DataAll!$AQ$2:$AQ$555,MATCH(LOWER(Data!A571),LOWER(DataAll!$AO$2:$AO$555),0))</f>
        <v>#N/A</v>
      </c>
      <c r="O571" t="e" cm="1">
        <f t="array" ref="O571">INDEX(DataAll!$AT$2:$AT$555,MATCH(LOWER(Data!A571),LOWER(DataAll!$AS$2:$AS$555),0))</f>
        <v>#N/A</v>
      </c>
      <c r="P571" t="e" cm="1">
        <f t="array" ref="P571">INDEX(DataAll!$AU$2:$AU$555,MATCH(LOWER(Data!A571),LOWER(DataAll!$AS$2:$AS$555),0))</f>
        <v>#N/A</v>
      </c>
      <c r="Q571" t="e" cm="1">
        <f t="array" ref="Q571">INDEX(DataAll!$AX$2:$AX$556,MATCH(LOWER(Data!A571),LOWER(DataAll!$AW$2:$AW$556),0))</f>
        <v>#N/A</v>
      </c>
      <c r="R571" cm="1">
        <f t="array" ref="R571">INDEX('Longitude and Latitude'!$B$2:$B$579,MATCH(LOWER(Data!A571),LOWER('Longitude and Latitude'!$A$2:$A$579),0))</f>
        <v>-4.4939717000000003</v>
      </c>
      <c r="S571" cm="1">
        <f t="array" ref="S571">INDEX('Longitude and Latitude'!$C$2:$C$579,MATCH(LOWER(Data!A571),LOWER('Longitude and Latitude'!$A$2:$A$579),0))</f>
        <v>139.52799959999999</v>
      </c>
      <c r="T571" t="b">
        <f>IF(EXACT(A571, UPPER(A571)), TRUE, FALSE)</f>
        <v>1</v>
      </c>
    </row>
    <row r="572" spans="1:20" x14ac:dyDescent="0.35">
      <c r="A572" t="s">
        <v>536</v>
      </c>
      <c r="C572" cm="1">
        <f t="array" ref="C572">INDEX(DataAll!$E$2:$E$555,MATCH(LOWER(Data!A572),LOWER(DataAll!$D$2:$D$555),0))</f>
        <v>42.56</v>
      </c>
      <c r="D572" cm="1">
        <f t="array" ref="D572">INDEX(DataAll!$H$2:$H$579,MATCH(LOWER(Data!A572),LOWER(DataAll!$G$2:$G$555),0))</f>
        <v>0.622</v>
      </c>
      <c r="E572" cm="1">
        <f t="array" ref="E572">INDEX(DataAll!$K$2:$K$579,MATCH(LOWER(Data!A572),LOWER(DataAll!$J$2:$J$555),0))</f>
        <v>4</v>
      </c>
      <c r="F572" cm="1">
        <f t="array" ref="F572">INDEX(DataAll!$N$2:$N$555,MATCH(LOWER(Data!A572),LOWER(DataAll!$M$2:$M$555),0))</f>
        <v>14.91</v>
      </c>
      <c r="G572" cm="1">
        <f t="array" ref="G572">INDEX(DataAll!$Q$2:$Q$555,MATCH(LOWER(Data!A572),LOWER(DataAll!$P$2:$P$555),0))</f>
        <v>20.68</v>
      </c>
      <c r="H572" cm="1">
        <f t="array" ref="H572">INDEX(DataAll!$T$2:$T$555,MATCH(LOWER(Data!A572),LOWER(DataAll!$S$2:$S$555),0))</f>
        <v>0.19400000000000001</v>
      </c>
      <c r="I572" cm="1">
        <f t="array" ref="I572">INDEX(DataAll!$W$2:$W$555,MATCH(LOWER(Data!A572),LOWER(DataAll!$V$2:$V$555),0))</f>
        <v>43.59</v>
      </c>
      <c r="J572" cm="1">
        <f t="array" ref="J572">INDEX(DataAll!$Z$2:$Z$555,MATCH(LOWER(Data!A572),LOWER(DataAll!$Y$2:$Y$555),0))</f>
        <v>2.5299999999999998</v>
      </c>
      <c r="K572" cm="1">
        <f t="array" ref="K572">INDEX(DataAll!$AM$2:$AM$555,MATCH(LOWER(Data!A572),LOWER(DataAll!$AL$2:$AL$555),0))</f>
        <v>37.090000000000003</v>
      </c>
      <c r="L572" cm="1">
        <f t="array" ref="L572">INDEX(DataAll!$AJ$2:$AJ$555,MATCH(LOWER(Data!A572),LOWER(DataAll!$AI$2:$AI$555),0))</f>
        <v>75.83</v>
      </c>
      <c r="M572" cm="1">
        <f t="array" ref="M572">INDEX(DataAll!$AP$2:$AP$555,MATCH(LOWER(Data!A572),LOWER(DataAll!$AO$2:$AO$555),0))</f>
        <v>54.08</v>
      </c>
      <c r="N572" cm="1">
        <f t="array" ref="N572">INDEX(DataAll!$AQ$2:$AQ$555,MATCH(LOWER(Data!A572),LOWER(DataAll!$AO$2:$AO$555),0))</f>
        <v>57.45</v>
      </c>
      <c r="O572" cm="1">
        <f t="array" ref="O572">INDEX(DataAll!$AT$2:$AT$555,MATCH(LOWER(Data!A572),LOWER(DataAll!$AS$2:$AS$555),0))</f>
        <v>2.5099999999999998</v>
      </c>
      <c r="P572" cm="1">
        <f t="array" ref="P572">INDEX(DataAll!$AU$2:$AU$555,MATCH(LOWER(Data!A572),LOWER(DataAll!$AS$2:$AS$555),0))</f>
        <v>1.7</v>
      </c>
      <c r="Q572" cm="1">
        <f t="array" ref="Q572">INDEX(DataAll!$AX$2:$AX$556,MATCH(LOWER(Data!A572),LOWER(DataAll!$AW$2:$AW$556),0))</f>
        <v>12.43</v>
      </c>
      <c r="R572" cm="1">
        <f t="array" ref="R572">INDEX('Longitude and Latitude'!$B$2:$B$579,MATCH(LOWER(Data!A572),LOWER('Longitude and Latitude'!$A$2:$A$579),0))</f>
        <v>-3.7852847000000001</v>
      </c>
      <c r="S572" cm="1">
        <f t="array" ref="S572">INDEX('Longitude and Latitude'!$C$2:$C$579,MATCH(LOWER(Data!A572),LOWER('Longitude and Latitude'!$A$2:$A$579),0))</f>
        <v>139.44660049999999</v>
      </c>
      <c r="T572" t="b">
        <f>IF(EXACT(A572, UPPER(A572)), TRUE, FALSE)</f>
        <v>0</v>
      </c>
    </row>
    <row r="573" spans="1:20" x14ac:dyDescent="0.35">
      <c r="A573" t="s">
        <v>517</v>
      </c>
      <c r="C573" cm="1">
        <f t="array" ref="C573">INDEX(DataAll!$E$2:$E$555,MATCH(LOWER(Data!A573),LOWER(DataAll!$D$2:$D$555),0))</f>
        <v>65.63</v>
      </c>
      <c r="D573" cm="1">
        <f t="array" ref="D573">INDEX(DataAll!$H$2:$H$579,MATCH(LOWER(Data!A573),LOWER(DataAll!$G$2:$G$555),0))</f>
        <v>0.50900000000000001</v>
      </c>
      <c r="E573" cm="1">
        <f t="array" ref="E573">INDEX(DataAll!$K$2:$K$579,MATCH(LOWER(Data!A573),LOWER(DataAll!$J$2:$J$555),0))</f>
        <v>10</v>
      </c>
      <c r="F573" cm="1">
        <f t="array" ref="F573">INDEX(DataAll!$N$2:$N$555,MATCH(LOWER(Data!A573),LOWER(DataAll!$M$2:$M$555),0))</f>
        <v>49.21</v>
      </c>
      <c r="G573" cm="1">
        <f t="array" ref="G573">INDEX(DataAll!$Q$2:$Q$555,MATCH(LOWER(Data!A573),LOWER(DataAll!$P$2:$P$555),0))</f>
        <v>30.07</v>
      </c>
      <c r="H573" cm="1">
        <f t="array" ref="H573">INDEX(DataAll!$T$2:$T$555,MATCH(LOWER(Data!A573),LOWER(DataAll!$S$2:$S$555),0))</f>
        <v>0.23</v>
      </c>
      <c r="I573" cm="1">
        <f t="array" ref="I573">INDEX(DataAll!$W$2:$W$555,MATCH(LOWER(Data!A573),LOWER(DataAll!$V$2:$V$555),0))</f>
        <v>47.71</v>
      </c>
      <c r="J573" cm="1">
        <f t="array" ref="J573">INDEX(DataAll!$Z$2:$Z$555,MATCH(LOWER(Data!A573),LOWER(DataAll!$Y$2:$Y$555),0))</f>
        <v>2.39</v>
      </c>
      <c r="K573" cm="1">
        <f t="array" ref="K573">INDEX(DataAll!$AM$2:$AM$555,MATCH(LOWER(Data!A573),LOWER(DataAll!$AL$2:$AL$555),0))</f>
        <v>34.71</v>
      </c>
      <c r="L573" cm="1">
        <f t="array" ref="L573">INDEX(DataAll!$AJ$2:$AJ$555,MATCH(LOWER(Data!A573),LOWER(DataAll!$AI$2:$AI$555),0))</f>
        <v>41.48</v>
      </c>
      <c r="M573" cm="1">
        <f t="array" ref="M573">INDEX(DataAll!$AP$2:$AP$555,MATCH(LOWER(Data!A573),LOWER(DataAll!$AO$2:$AO$555),0))</f>
        <v>58.71</v>
      </c>
      <c r="N573" cm="1">
        <f t="array" ref="N573">INDEX(DataAll!$AQ$2:$AQ$555,MATCH(LOWER(Data!A573),LOWER(DataAll!$AO$2:$AO$555),0))</f>
        <v>62.38</v>
      </c>
      <c r="O573" cm="1">
        <f t="array" ref="O573">INDEX(DataAll!$AT$2:$AT$555,MATCH(LOWER(Data!A573),LOWER(DataAll!$AS$2:$AS$555),0))</f>
        <v>7.15</v>
      </c>
      <c r="P573" cm="1">
        <f t="array" ref="P573">INDEX(DataAll!$AU$2:$AU$555,MATCH(LOWER(Data!A573),LOWER(DataAll!$AS$2:$AS$555),0))</f>
        <v>5.32</v>
      </c>
      <c r="Q573" cm="1">
        <f t="array" ref="Q573">INDEX(DataAll!$AX$2:$AX$556,MATCH(LOWER(Data!A573),LOWER(DataAll!$AW$2:$AW$556),0))</f>
        <v>31.94</v>
      </c>
      <c r="R573" cm="1">
        <f t="array" ref="R573">INDEX('Longitude and Latitude'!$B$2:$B$579,MATCH(LOWER(Data!A573),LOWER('Longitude and Latitude'!$A$2:$A$579),0))</f>
        <v>-3.5095461999999999</v>
      </c>
      <c r="S573" cm="1">
        <f t="array" ref="S573">INDEX('Longitude and Latitude'!$C$2:$C$579,MATCH(LOWER(Data!A573),LOWER('Longitude and Latitude'!$A$2:$A$579),0))</f>
        <v>135.75209849999999</v>
      </c>
      <c r="T573" t="b">
        <f>IF(EXACT(A573, UPPER(A573)), TRUE, FALSE)</f>
        <v>0</v>
      </c>
    </row>
    <row r="574" spans="1:20" x14ac:dyDescent="0.35">
      <c r="A574" t="s">
        <v>537</v>
      </c>
      <c r="C574" cm="1">
        <f t="array" ref="C574">INDEX(DataAll!$E$2:$E$555,MATCH(LOWER(Data!A574),LOWER(DataAll!$D$2:$D$555),0))</f>
        <v>27.24</v>
      </c>
      <c r="D574" cm="1">
        <f t="array" ref="D574">INDEX(DataAll!$H$2:$H$579,MATCH(LOWER(Data!A574),LOWER(DataAll!$G$2:$G$555),0))</f>
        <v>0.83699999999999997</v>
      </c>
      <c r="F574" cm="1">
        <f t="array" ref="F574">INDEX(DataAll!$N$2:$N$555,MATCH(LOWER(Data!A574),LOWER(DataAll!$M$2:$M$555),0))</f>
        <v>7.33</v>
      </c>
      <c r="G574" cm="1">
        <f t="array" ref="G574">INDEX(DataAll!$Q$2:$Q$555,MATCH(LOWER(Data!A574),LOWER(DataAll!$P$2:$P$555),0))</f>
        <v>20.07</v>
      </c>
      <c r="H574" cm="1">
        <f t="array" ref="H574">INDEX(DataAll!$T$2:$T$555,MATCH(LOWER(Data!A574),LOWER(DataAll!$S$2:$S$555),0))</f>
        <v>0.14899999999999999</v>
      </c>
      <c r="I574" cm="1">
        <f t="array" ref="I574">INDEX(DataAll!$W$2:$W$555,MATCH(LOWER(Data!A574),LOWER(DataAll!$V$2:$V$555),0))</f>
        <v>42.12</v>
      </c>
      <c r="J574" cm="1">
        <f t="array" ref="J574">INDEX(DataAll!$Z$2:$Z$555,MATCH(LOWER(Data!A574),LOWER(DataAll!$Y$2:$Y$555),0))</f>
        <v>2.69</v>
      </c>
      <c r="K574" cm="1">
        <f t="array" ref="K574">INDEX(DataAll!$AM$2:$AM$555,MATCH(LOWER(Data!A574),LOWER(DataAll!$AL$2:$AL$555),0))</f>
        <v>36.94</v>
      </c>
      <c r="L574" cm="1">
        <f t="array" ref="L574">INDEX(DataAll!$AJ$2:$AJ$555,MATCH(LOWER(Data!A574),LOWER(DataAll!$AI$2:$AI$555),0))</f>
        <v>57.68</v>
      </c>
      <c r="M574" cm="1">
        <f t="array" ref="M574">INDEX(DataAll!$AP$2:$AP$555,MATCH(LOWER(Data!A574),LOWER(DataAll!$AO$2:$AO$555),0))</f>
        <v>64.599999999999994</v>
      </c>
      <c r="N574" cm="1">
        <f t="array" ref="N574">INDEX(DataAll!$AQ$2:$AQ$555,MATCH(LOWER(Data!A574),LOWER(DataAll!$AO$2:$AO$555),0))</f>
        <v>68.510000000000005</v>
      </c>
      <c r="O574" cm="1">
        <f t="array" ref="O574">INDEX(DataAll!$AT$2:$AT$555,MATCH(LOWER(Data!A574),LOWER(DataAll!$AS$2:$AS$555),0))</f>
        <v>4.87</v>
      </c>
      <c r="P574" cm="1">
        <f t="array" ref="P574">INDEX(DataAll!$AU$2:$AU$555,MATCH(LOWER(Data!A574),LOWER(DataAll!$AS$2:$AS$555),0))</f>
        <v>2.21</v>
      </c>
      <c r="Q574" cm="1">
        <f t="array" ref="Q574">INDEX(DataAll!$AX$2:$AX$556,MATCH(LOWER(Data!A574),LOWER(DataAll!$AW$2:$AW$556),0))</f>
        <v>12.69</v>
      </c>
      <c r="R574" cm="1">
        <f t="array" ref="R574">INDEX('Longitude and Latitude'!$B$2:$B$579,MATCH(LOWER(Data!A574),LOWER('Longitude and Latitude'!$A$2:$A$579),0))</f>
        <v>-6.7125475999999997</v>
      </c>
      <c r="S574" cm="1">
        <f t="array" ref="S574">INDEX('Longitude and Latitude'!$C$2:$C$579,MATCH(LOWER(Data!A574),LOWER('Longitude and Latitude'!$A$2:$A$579),0))</f>
        <v>106.95424250000001</v>
      </c>
      <c r="T574" t="b">
        <f>IF(EXACT(A574, UPPER(A574)), TRUE, FALSE)</f>
        <v>0</v>
      </c>
    </row>
    <row r="575" spans="1:20" x14ac:dyDescent="0.35">
      <c r="A575" t="s">
        <v>530</v>
      </c>
      <c r="C575" cm="1">
        <f t="array" ref="C575">INDEX(DataAll!$E$2:$E$555,MATCH(LOWER(Data!A575),LOWER(DataAll!$D$2:$D$555),0))</f>
        <v>41.47</v>
      </c>
      <c r="D575" cm="1">
        <f t="array" ref="D575">INDEX(DataAll!$H$2:$H$579,MATCH(LOWER(Data!A575),LOWER(DataAll!$G$2:$G$555),0))</f>
        <v>0.58599999999999997</v>
      </c>
      <c r="E575" cm="1">
        <f t="array" ref="E575">INDEX(DataAll!$K$2:$K$579,MATCH(LOWER(Data!A575),LOWER(DataAll!$J$2:$J$555),0))</f>
        <v>6.67</v>
      </c>
      <c r="F575" cm="1">
        <f t="array" ref="F575">INDEX(DataAll!$N$2:$N$555,MATCH(LOWER(Data!A575),LOWER(DataAll!$M$2:$M$555),0))</f>
        <v>7.29</v>
      </c>
      <c r="G575" cm="1">
        <f t="array" ref="G575">INDEX(DataAll!$Q$2:$Q$555,MATCH(LOWER(Data!A575),LOWER(DataAll!$P$2:$P$555),0))</f>
        <v>51.68</v>
      </c>
      <c r="H575" cm="1">
        <f t="array" ref="H575">INDEX(DataAll!$T$2:$T$555,MATCH(LOWER(Data!A575),LOWER(DataAll!$S$2:$S$555),0))</f>
        <v>0.217</v>
      </c>
      <c r="I575" cm="1">
        <f t="array" ref="I575">INDEX(DataAll!$W$2:$W$555,MATCH(LOWER(Data!A575),LOWER(DataAll!$V$2:$V$555),0))</f>
        <v>43.72</v>
      </c>
      <c r="J575" cm="1">
        <f t="array" ref="J575">INDEX(DataAll!$Z$2:$Z$555,MATCH(LOWER(Data!A575),LOWER(DataAll!$Y$2:$Y$555),0))</f>
        <v>2.79</v>
      </c>
      <c r="K575" cm="1">
        <f t="array" ref="K575">INDEX(DataAll!$AM$2:$AM$555,MATCH(LOWER(Data!A575),LOWER(DataAll!$AL$2:$AL$555),0))</f>
        <v>31.57</v>
      </c>
      <c r="L575" cm="1">
        <f t="array" ref="L575">INDEX(DataAll!$AJ$2:$AJ$555,MATCH(LOWER(Data!A575),LOWER(DataAll!$AI$2:$AI$555),0))</f>
        <v>55.27</v>
      </c>
      <c r="M575" cm="1">
        <f t="array" ref="M575">INDEX(DataAll!$AP$2:$AP$555,MATCH(LOWER(Data!A575),LOWER(DataAll!$AO$2:$AO$555),0))</f>
        <v>64.42</v>
      </c>
      <c r="N575" cm="1">
        <f t="array" ref="N575">INDEX(DataAll!$AQ$2:$AQ$555,MATCH(LOWER(Data!A575),LOWER(DataAll!$AO$2:$AO$555),0))</f>
        <v>68.33</v>
      </c>
      <c r="O575" cm="1">
        <f t="array" ref="O575">INDEX(DataAll!$AT$2:$AT$555,MATCH(LOWER(Data!A575),LOWER(DataAll!$AS$2:$AS$555),0))</f>
        <v>4.8499999999999996</v>
      </c>
      <c r="P575" cm="1">
        <f t="array" ref="P575">INDEX(DataAll!$AU$2:$AU$555,MATCH(LOWER(Data!A575),LOWER(DataAll!$AS$2:$AS$555),0))</f>
        <v>2.34</v>
      </c>
      <c r="Q575" cm="1">
        <f t="array" ref="Q575">INDEX(DataAll!$AX$2:$AX$556,MATCH(LOWER(Data!A575),LOWER(DataAll!$AW$2:$AW$556),0))</f>
        <v>6.24</v>
      </c>
      <c r="R575" cm="1">
        <f t="array" ref="R575">INDEX('Longitude and Latitude'!$B$2:$B$579,MATCH(LOWER(Data!A575),LOWER('Longitude and Latitude'!$A$2:$A$579),0))</f>
        <v>-3.3449536000000002</v>
      </c>
      <c r="S575" cm="1">
        <f t="array" ref="S575">INDEX('Longitude and Latitude'!$C$2:$C$579,MATCH(LOWER(Data!A575),LOWER('Longitude and Latitude'!$A$2:$A$579),0))</f>
        <v>140.76244929999999</v>
      </c>
      <c r="T575" t="b">
        <f>IF(EXACT(A575, UPPER(A575)), TRUE, FALSE)</f>
        <v>0</v>
      </c>
    </row>
    <row r="576" spans="1:20" x14ac:dyDescent="0.35">
      <c r="A576" t="s">
        <v>538</v>
      </c>
      <c r="C576" cm="1">
        <f t="array" ref="C576">INDEX(DataAll!$E$2:$E$555,MATCH(LOWER(Data!A576),LOWER(DataAll!$D$2:$D$555),0))</f>
        <v>52.77</v>
      </c>
      <c r="D576" cm="1">
        <f t="array" ref="D576">INDEX(DataAll!$H$2:$H$579,MATCH(LOWER(Data!A576),LOWER(DataAll!$G$2:$G$555),0))</f>
        <v>0.51200000000000001</v>
      </c>
      <c r="E576" cm="1">
        <f t="array" ref="E576">INDEX(DataAll!$K$2:$K$579,MATCH(LOWER(Data!A576),LOWER(DataAll!$J$2:$J$555),0))</f>
        <v>10</v>
      </c>
      <c r="F576" cm="1">
        <f t="array" ref="F576">INDEX(DataAll!$N$2:$N$555,MATCH(LOWER(Data!A576),LOWER(DataAll!$M$2:$M$555),0))</f>
        <v>19.23</v>
      </c>
      <c r="G576" cm="1">
        <f t="array" ref="G576">INDEX(DataAll!$Q$2:$Q$555,MATCH(LOWER(Data!A576),LOWER(DataAll!$P$2:$P$555),0))</f>
        <v>26.1</v>
      </c>
      <c r="H576" cm="1">
        <f t="array" ref="H576">INDEX(DataAll!$T$2:$T$555,MATCH(LOWER(Data!A576),LOWER(DataAll!$S$2:$S$555),0))</f>
        <v>0.20599999999999999</v>
      </c>
      <c r="I576" cm="1">
        <f t="array" ref="I576">INDEX(DataAll!$W$2:$W$555,MATCH(LOWER(Data!A576),LOWER(DataAll!$V$2:$V$555),0))</f>
        <v>43.79</v>
      </c>
      <c r="J576" cm="1">
        <f t="array" ref="J576">INDEX(DataAll!$Z$2:$Z$555,MATCH(LOWER(Data!A576),LOWER(DataAll!$Y$2:$Y$555),0))</f>
        <v>2.44</v>
      </c>
      <c r="K576" cm="1">
        <f t="array" ref="K576">INDEX(DataAll!$AM$2:$AM$555,MATCH(LOWER(Data!A576),LOWER(DataAll!$AL$2:$AL$555),0))</f>
        <v>35.42</v>
      </c>
      <c r="L576" cm="1">
        <f t="array" ref="L576">INDEX(DataAll!$AJ$2:$AJ$555,MATCH(LOWER(Data!A576),LOWER(DataAll!$AI$2:$AI$555),0))</f>
        <v>46.28</v>
      </c>
      <c r="M576" cm="1">
        <f t="array" ref="M576">INDEX(DataAll!$AP$2:$AP$555,MATCH(LOWER(Data!A576),LOWER(DataAll!$AO$2:$AO$555),0))</f>
        <v>62.28</v>
      </c>
      <c r="N576" cm="1">
        <f t="array" ref="N576">INDEX(DataAll!$AQ$2:$AQ$555,MATCH(LOWER(Data!A576),LOWER(DataAll!$AO$2:$AO$555),0))</f>
        <v>66.09</v>
      </c>
      <c r="O576" cm="1">
        <f t="array" ref="O576">INDEX(DataAll!$AT$2:$AT$555,MATCH(LOWER(Data!A576),LOWER(DataAll!$AS$2:$AS$555),0))</f>
        <v>5.27</v>
      </c>
      <c r="P576" cm="1">
        <f t="array" ref="P576">INDEX(DataAll!$AU$2:$AU$555,MATCH(LOWER(Data!A576),LOWER(DataAll!$AS$2:$AS$555),0))</f>
        <v>2.67</v>
      </c>
      <c r="Q576" cm="1">
        <f t="array" ref="Q576">INDEX(DataAll!$AX$2:$AX$556,MATCH(LOWER(Data!A576),LOWER(DataAll!$AW$2:$AW$556),0))</f>
        <v>19.649999999999999</v>
      </c>
      <c r="R576" cm="1">
        <f t="array" ref="R576">INDEX('Longitude and Latitude'!$B$2:$B$579,MATCH(LOWER(Data!A576),LOWER('Longitude and Latitude'!$A$2:$A$579),0))</f>
        <v>-4.0193871999999997</v>
      </c>
      <c r="S576" cm="1">
        <f t="array" ref="S576">INDEX('Longitude and Latitude'!$C$2:$C$579,MATCH(LOWER(Data!A576),LOWER('Longitude and Latitude'!$A$2:$A$579),0))</f>
        <v>135.96104460000001</v>
      </c>
      <c r="T576" t="b">
        <f>IF(EXACT(A576, UPPER(A576)), TRUE, FALSE)</f>
        <v>0</v>
      </c>
    </row>
    <row r="577" spans="1:20" x14ac:dyDescent="0.35">
      <c r="A577" t="s">
        <v>539</v>
      </c>
      <c r="C577" cm="1">
        <f t="array" ref="C577">INDEX(DataAll!$E$2:$E$555,MATCH(LOWER(Data!A577),LOWER(DataAll!$D$2:$D$555),0))</f>
        <v>44.15</v>
      </c>
      <c r="D577" cm="1">
        <f t="array" ref="D577">INDEX(DataAll!$H$2:$H$579,MATCH(LOWER(Data!A577),LOWER(DataAll!$G$2:$G$555),0))</f>
        <v>0.82399999999999995</v>
      </c>
      <c r="F577" cm="1">
        <f t="array" ref="F577">INDEX(DataAll!$N$2:$N$555,MATCH(LOWER(Data!A577),LOWER(DataAll!$M$2:$M$555),0))</f>
        <v>72.92</v>
      </c>
      <c r="G577" cm="1">
        <f t="array" ref="G577">INDEX(DataAll!$Q$2:$Q$555,MATCH(LOWER(Data!A577),LOWER(DataAll!$P$2:$P$555),0))</f>
        <v>17.940000000000001</v>
      </c>
      <c r="H577" cm="1">
        <f t="array" ref="H577">INDEX(DataAll!$T$2:$T$555,MATCH(LOWER(Data!A577),LOWER(DataAll!$S$2:$S$555),0))</f>
        <v>0.25700000000000001</v>
      </c>
      <c r="I577" cm="1">
        <f t="array" ref="I577">INDEX(DataAll!$W$2:$W$555,MATCH(LOWER(Data!A577),LOWER(DataAll!$V$2:$V$555),0))</f>
        <v>45.18</v>
      </c>
      <c r="J577" cm="1">
        <f t="array" ref="J577">INDEX(DataAll!$Z$2:$Z$555,MATCH(LOWER(Data!A577),LOWER(DataAll!$Y$2:$Y$555),0))</f>
        <v>2.79</v>
      </c>
      <c r="K577" cm="1">
        <f t="array" ref="K577">INDEX(DataAll!$AM$2:$AM$555,MATCH(LOWER(Data!A577),LOWER(DataAll!$AL$2:$AL$555),0))</f>
        <v>30.97</v>
      </c>
      <c r="L577" cm="1">
        <f t="array" ref="L577">INDEX(DataAll!$AJ$2:$AJ$555,MATCH(LOWER(Data!A577),LOWER(DataAll!$AI$2:$AI$555),0))</f>
        <v>47.01</v>
      </c>
      <c r="M577" cm="1">
        <f t="array" ref="M577">INDEX(DataAll!$AP$2:$AP$555,MATCH(LOWER(Data!A577),LOWER(DataAll!$AO$2:$AO$555),0))</f>
        <v>64.05</v>
      </c>
      <c r="N577" cm="1">
        <f t="array" ref="N577">INDEX(DataAll!$AQ$2:$AQ$555,MATCH(LOWER(Data!A577),LOWER(DataAll!$AO$2:$AO$555),0))</f>
        <v>67.94</v>
      </c>
      <c r="O577" cm="1">
        <f t="array" ref="O577">INDEX(DataAll!$AT$2:$AT$555,MATCH(LOWER(Data!A577),LOWER(DataAll!$AS$2:$AS$555),0))</f>
        <v>5.13</v>
      </c>
      <c r="P577" cm="1">
        <f t="array" ref="P577">INDEX(DataAll!$AU$2:$AU$555,MATCH(LOWER(Data!A577),LOWER(DataAll!$AS$2:$AS$555),0))</f>
        <v>3.34</v>
      </c>
      <c r="Q577" cm="1">
        <f t="array" ref="Q577">INDEX(DataAll!$AX$2:$AX$556,MATCH(LOWER(Data!A577),LOWER(DataAll!$AW$2:$AW$556),0))</f>
        <v>21.79</v>
      </c>
      <c r="R577" cm="1">
        <f t="array" ref="R577">INDEX('Longitude and Latitude'!$B$2:$B$579,MATCH(LOWER(Data!A577),LOWER('Longitude and Latitude'!$A$2:$A$579),0))</f>
        <v>-3.5076421999999998</v>
      </c>
      <c r="S577" cm="1">
        <f t="array" ref="S577">INDEX('Longitude and Latitude'!$C$2:$C$579,MATCH(LOWER(Data!A577),LOWER('Longitude and Latitude'!$A$2:$A$579),0))</f>
        <v>136.74784930000001</v>
      </c>
      <c r="T577" t="b">
        <f>IF(EXACT(A577, UPPER(A577)), TRUE, FALSE)</f>
        <v>0</v>
      </c>
    </row>
    <row r="578" spans="1:20" x14ac:dyDescent="0.35">
      <c r="A578" t="s">
        <v>528</v>
      </c>
      <c r="C578" cm="1">
        <f t="array" ref="C578">INDEX(DataAll!$E$2:$E$555,MATCH(LOWER(Data!A578),LOWER(DataAll!$D$2:$D$555),0))</f>
        <v>53.31</v>
      </c>
      <c r="D578" cm="1">
        <f t="array" ref="D578">INDEX(DataAll!$H$2:$H$579,MATCH(LOWER(Data!A578),LOWER(DataAll!$G$2:$G$555),0))</f>
        <v>0.66500000000000004</v>
      </c>
      <c r="E578" cm="1">
        <f t="array" ref="E578">INDEX(DataAll!$K$2:$K$579,MATCH(LOWER(Data!A578),LOWER(DataAll!$J$2:$J$555),0))</f>
        <v>3.03</v>
      </c>
      <c r="F578" cm="1">
        <f t="array" ref="F578">INDEX(DataAll!$N$2:$N$555,MATCH(LOWER(Data!A578),LOWER(DataAll!$M$2:$M$555),0))</f>
        <v>29.83</v>
      </c>
      <c r="G578" cm="1">
        <f t="array" ref="G578">INDEX(DataAll!$Q$2:$Q$555,MATCH(LOWER(Data!A578),LOWER(DataAll!$P$2:$P$555),0))</f>
        <v>56.8</v>
      </c>
      <c r="H578" cm="1">
        <f t="array" ref="H578">INDEX(DataAll!$T$2:$T$555,MATCH(LOWER(Data!A578),LOWER(DataAll!$S$2:$S$555),0))</f>
        <v>0.47899999999999998</v>
      </c>
      <c r="I578" cm="1">
        <f t="array" ref="I578">INDEX(DataAll!$W$2:$W$555,MATCH(LOWER(Data!A578),LOWER(DataAll!$V$2:$V$555),0))</f>
        <v>43.14</v>
      </c>
      <c r="J578" cm="1">
        <f t="array" ref="J578">INDEX(DataAll!$Z$2:$Z$555,MATCH(LOWER(Data!A578),LOWER(DataAll!$Y$2:$Y$555),0))</f>
        <v>2.57</v>
      </c>
      <c r="K578" cm="1">
        <f t="array" ref="K578">INDEX(DataAll!$AM$2:$AM$555,MATCH(LOWER(Data!A578),LOWER(DataAll!$AL$2:$AL$555),0))</f>
        <v>36.08</v>
      </c>
      <c r="L578" cm="1">
        <f t="array" ref="L578">INDEX(DataAll!$AJ$2:$AJ$555,MATCH(LOWER(Data!A578),LOWER(DataAll!$AI$2:$AI$555),0))</f>
        <v>60.55</v>
      </c>
      <c r="M578" cm="1">
        <f t="array" ref="M578">INDEX(DataAll!$AP$2:$AP$555,MATCH(LOWER(Data!A578),LOWER(DataAll!$AO$2:$AO$555),0))</f>
        <v>64.510000000000005</v>
      </c>
      <c r="N578" cm="1">
        <f t="array" ref="N578">INDEX(DataAll!$AQ$2:$AQ$555,MATCH(LOWER(Data!A578),LOWER(DataAll!$AO$2:$AO$555),0))</f>
        <v>68.42</v>
      </c>
      <c r="O578" cm="1">
        <f t="array" ref="O578">INDEX(DataAll!$AT$2:$AT$555,MATCH(LOWER(Data!A578),LOWER(DataAll!$AS$2:$AS$555),0))</f>
        <v>5.84</v>
      </c>
      <c r="P578" cm="1">
        <f t="array" ref="P578">INDEX(DataAll!$AU$2:$AU$555,MATCH(LOWER(Data!A578),LOWER(DataAll!$AS$2:$AS$555),0))</f>
        <v>3.2</v>
      </c>
      <c r="Q578" cm="1">
        <f t="array" ref="Q578">INDEX(DataAll!$AX$2:$AX$556,MATCH(LOWER(Data!A578),LOWER(DataAll!$AW$2:$AW$556),0))</f>
        <v>8.4499999999999993</v>
      </c>
      <c r="R578" cm="1">
        <f t="array" ref="R578">INDEX('Longitude and Latitude'!$B$2:$B$579,MATCH(LOWER(Data!A578),LOWER('Longitude and Latitude'!$A$2:$A$579),0))</f>
        <v>-3.4811320000000001</v>
      </c>
      <c r="S578" cm="1">
        <f t="array" ref="S578">INDEX('Longitude and Latitude'!$C$2:$C$579,MATCH(LOWER(Data!A578),LOWER('Longitude and Latitude'!$A$2:$A$579),0))</f>
        <v>138.47872580000001</v>
      </c>
      <c r="T578" t="b">
        <f>IF(EXACT(A578, UPPER(A578)), TRUE, FALSE)</f>
        <v>0</v>
      </c>
    </row>
    <row r="579" spans="1:20" x14ac:dyDescent="0.35">
      <c r="A579" t="s">
        <v>529</v>
      </c>
      <c r="C579" cm="1">
        <f t="array" ref="C579">INDEX(DataAll!$E$2:$E$555,MATCH(LOWER(Data!A579),LOWER(DataAll!$D$2:$D$555),0))</f>
        <v>49.53</v>
      </c>
      <c r="D579" cm="1">
        <f t="array" ref="D579">INDEX(DataAll!$H$2:$H$579,MATCH(LOWER(Data!A579),LOWER(DataAll!$G$2:$G$555),0))</f>
        <v>0.67600000000000005</v>
      </c>
      <c r="E579" cm="1">
        <f t="array" ref="E579">INDEX(DataAll!$K$2:$K$579,MATCH(LOWER(Data!A579),LOWER(DataAll!$J$2:$J$555),0))</f>
        <v>4</v>
      </c>
      <c r="F579" cm="1">
        <f t="array" ref="F579">INDEX(DataAll!$N$2:$N$555,MATCH(LOWER(Data!A579),LOWER(DataAll!$M$2:$M$555),0))</f>
        <v>24.48</v>
      </c>
      <c r="G579" cm="1">
        <f t="array" ref="G579">INDEX(DataAll!$Q$2:$Q$555,MATCH(LOWER(Data!A579),LOWER(DataAll!$P$2:$P$555),0))</f>
        <v>25.43</v>
      </c>
      <c r="H579" cm="1">
        <f t="array" ref="H579">INDEX(DataAll!$T$2:$T$555,MATCH(LOWER(Data!A579),LOWER(DataAll!$S$2:$S$555),0))</f>
        <v>0.41099999999999998</v>
      </c>
      <c r="I579" cm="1">
        <f t="array" ref="I579">INDEX(DataAll!$W$2:$W$555,MATCH(LOWER(Data!A579),LOWER(DataAll!$V$2:$V$555),0))</f>
        <v>45.2</v>
      </c>
      <c r="J579" cm="1">
        <f t="array" ref="J579">INDEX(DataAll!$Z$2:$Z$555,MATCH(LOWER(Data!A579),LOWER(DataAll!$Y$2:$Y$555),0))</f>
        <v>3.1</v>
      </c>
      <c r="K579" cm="1">
        <f t="array" ref="K579">INDEX(DataAll!$AM$2:$AM$555,MATCH(LOWER(Data!A579),LOWER(DataAll!$AL$2:$AL$555),0))</f>
        <v>29.79</v>
      </c>
      <c r="L579" cm="1">
        <f t="array" ref="L579">INDEX(DataAll!$AJ$2:$AJ$555,MATCH(LOWER(Data!A579),LOWER(DataAll!$AI$2:$AI$555),0))</f>
        <v>61.39</v>
      </c>
      <c r="M579" cm="1">
        <f t="array" ref="M579">INDEX(DataAll!$AP$2:$AP$555,MATCH(LOWER(Data!A579),LOWER(DataAll!$AO$2:$AO$555),0))</f>
        <v>63.11</v>
      </c>
      <c r="N579" cm="1">
        <f t="array" ref="N579">INDEX(DataAll!$AQ$2:$AQ$555,MATCH(LOWER(Data!A579),LOWER(DataAll!$AO$2:$AO$555),0))</f>
        <v>66.959999999999994</v>
      </c>
      <c r="O579" cm="1">
        <f t="array" ref="O579">INDEX(DataAll!$AT$2:$AT$555,MATCH(LOWER(Data!A579),LOWER(DataAll!$AS$2:$AS$555),0))</f>
        <v>5.21</v>
      </c>
      <c r="P579" cm="1">
        <f t="array" ref="P579">INDEX(DataAll!$AU$2:$AU$555,MATCH(LOWER(Data!A579),LOWER(DataAll!$AS$2:$AS$555),0))</f>
        <v>2.71</v>
      </c>
      <c r="Q579" cm="1">
        <f t="array" ref="Q579">INDEX(DataAll!$AX$2:$AX$556,MATCH(LOWER(Data!A579),LOWER(DataAll!$AW$2:$AW$556),0))</f>
        <v>10.050000000000001</v>
      </c>
      <c r="R579" cm="1">
        <f t="array" ref="R579">INDEX('Longitude and Latitude'!$B$2:$B$579,MATCH(LOWER(Data!A579),LOWER('Longitude and Latitude'!$A$2:$A$579),0))</f>
        <v>-1.868727</v>
      </c>
      <c r="S579" cm="1">
        <f t="array" ref="S579">INDEX('Longitude and Latitude'!$C$2:$C$579,MATCH(LOWER(Data!A579),LOWER('Longitude and Latitude'!$A$2:$A$579),0))</f>
        <v>138.743607</v>
      </c>
      <c r="T579" t="b">
        <f>IF(EXACT(A579, UPPER(A579)), TRUE, 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44C2-7F17-441B-9FBB-00AB7B7CCF71}">
  <dimension ref="A1:I16"/>
  <sheetViews>
    <sheetView workbookViewId="0"/>
  </sheetViews>
  <sheetFormatPr defaultRowHeight="14.5" x14ac:dyDescent="0.35"/>
  <sheetData>
    <row r="1" spans="1:9" x14ac:dyDescent="0.35">
      <c r="A1" t="s">
        <v>550</v>
      </c>
      <c r="B1" t="s">
        <v>1093</v>
      </c>
    </row>
    <row r="2" spans="1:9" x14ac:dyDescent="0.35">
      <c r="A2" t="s">
        <v>1060</v>
      </c>
      <c r="B2" t="s">
        <v>1094</v>
      </c>
    </row>
    <row r="3" spans="1:9" x14ac:dyDescent="0.35">
      <c r="A3" t="s">
        <v>1059</v>
      </c>
      <c r="B3" t="s">
        <v>1095</v>
      </c>
    </row>
    <row r="4" spans="1:9" x14ac:dyDescent="0.35">
      <c r="A4" t="s">
        <v>1096</v>
      </c>
      <c r="B4" t="s">
        <v>1061</v>
      </c>
    </row>
    <row r="5" spans="1:9" x14ac:dyDescent="0.35">
      <c r="A5" t="s">
        <v>1097</v>
      </c>
      <c r="B5" t="s">
        <v>1062</v>
      </c>
    </row>
    <row r="6" spans="1:9" x14ac:dyDescent="0.35">
      <c r="A6" t="s">
        <v>1098</v>
      </c>
      <c r="B6" t="s">
        <v>1067</v>
      </c>
    </row>
    <row r="7" spans="1:9" x14ac:dyDescent="0.35">
      <c r="A7" t="s">
        <v>1099</v>
      </c>
      <c r="B7" t="s">
        <v>1102</v>
      </c>
    </row>
    <row r="8" spans="1:9" x14ac:dyDescent="0.35">
      <c r="A8" t="s">
        <v>1100</v>
      </c>
      <c r="B8" t="s">
        <v>1070</v>
      </c>
    </row>
    <row r="9" spans="1:9" x14ac:dyDescent="0.35">
      <c r="A9" t="s">
        <v>1101</v>
      </c>
      <c r="B9" s="3" t="s">
        <v>1072</v>
      </c>
    </row>
    <row r="10" spans="1:9" x14ac:dyDescent="0.35">
      <c r="A10" t="s">
        <v>1163</v>
      </c>
      <c r="B10" t="s">
        <v>1164</v>
      </c>
    </row>
    <row r="11" spans="1:9" x14ac:dyDescent="0.35">
      <c r="A11" t="s">
        <v>1170</v>
      </c>
      <c r="B11" t="s">
        <v>1171</v>
      </c>
    </row>
    <row r="12" spans="1:9" x14ac:dyDescent="0.35">
      <c r="A12" t="s">
        <v>1172</v>
      </c>
      <c r="B12" t="s">
        <v>1173</v>
      </c>
    </row>
    <row r="13" spans="1:9" ht="15.5" x14ac:dyDescent="0.35">
      <c r="A13" t="s">
        <v>1183</v>
      </c>
      <c r="B13" s="7" t="s">
        <v>1184</v>
      </c>
      <c r="C13" s="7"/>
      <c r="D13" s="7"/>
      <c r="E13" s="7"/>
      <c r="F13" s="7"/>
      <c r="G13" s="7"/>
    </row>
    <row r="16" spans="1:9" x14ac:dyDescent="0.35">
      <c r="A16" t="s">
        <v>550</v>
      </c>
      <c r="B16" t="s">
        <v>1060</v>
      </c>
      <c r="C16" t="s">
        <v>1059</v>
      </c>
      <c r="D16" t="s">
        <v>1096</v>
      </c>
      <c r="E16" t="s">
        <v>1097</v>
      </c>
      <c r="F16" t="s">
        <v>1098</v>
      </c>
      <c r="G16" t="s">
        <v>1099</v>
      </c>
      <c r="H16" t="s">
        <v>1100</v>
      </c>
      <c r="I16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Longitude and Latitude</vt:lpstr>
      <vt:lpstr>DataAll</vt:lpstr>
      <vt:lpstr>Data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Reyza Rahmatsyah</dc:creator>
  <cp:lastModifiedBy>Reyza Rahmatsyah</cp:lastModifiedBy>
  <dcterms:created xsi:type="dcterms:W3CDTF">2015-06-05T18:17:20Z</dcterms:created>
  <dcterms:modified xsi:type="dcterms:W3CDTF">2025-05-27T02:37:41Z</dcterms:modified>
</cp:coreProperties>
</file>